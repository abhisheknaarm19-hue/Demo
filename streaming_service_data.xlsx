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bhis\OneDrive\Documents\GitHub\Demo\"/>
    </mc:Choice>
  </mc:AlternateContent>
  <xr:revisionPtr revIDLastSave="0" documentId="13_ncr:1_{0991FD0A-5CEE-4C0A-AC42-995255DAC143}" xr6:coauthVersionLast="47" xr6:coauthVersionMax="47" xr10:uidLastSave="{00000000-0000-0000-0000-000000000000}"/>
  <bookViews>
    <workbookView xWindow="-110" yWindow="-110" windowWidth="19420" windowHeight="11500" firstSheet="5" activeTab="7" xr2:uid="{A250913A-E4F7-4920-B7A8-792E9C3EBBB7}"/>
  </bookViews>
  <sheets>
    <sheet name="Dashboard" sheetId="8" r:id="rId1"/>
    <sheet name="Subscription &amp; revenue anys." sheetId="6" r:id="rId2"/>
    <sheet name="User engagement matrix" sheetId="15" r:id="rId3"/>
    <sheet name="Demographic &amp; behavioral" sheetId="17" r:id="rId4"/>
    <sheet name="Retention and loyalty" sheetId="19" r:id="rId5"/>
    <sheet name="Payment prefrence and regional " sheetId="20" r:id="rId6"/>
    <sheet name="Sheet1" sheetId="21" r:id="rId7"/>
    <sheet name="Sheet2" sheetId="22" r:id="rId8"/>
    <sheet name="streaming_service_data" sheetId="1" r:id="rId9"/>
  </sheets>
  <definedNames>
    <definedName name="_xlnm._FilterDatabase" localSheetId="8" hidden="1">streaming_service_data!$C$1:$C$1001</definedName>
    <definedName name="Slicer_Country">#N/A</definedName>
    <definedName name="Slicer_Favorite_Genre">#N/A</definedName>
    <definedName name="Slicer_Monthly_Price">#N/A</definedName>
    <definedName name="Slicer_Months__Join_Date">#N/A</definedName>
    <definedName name="Slicer_Years__Join_Date">#N/A</definedName>
  </definedNames>
  <calcPr calcId="191029"/>
  <pivotCaches>
    <pivotCache cacheId="0"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alcChain>
</file>

<file path=xl/sharedStrings.xml><?xml version="1.0" encoding="utf-8"?>
<sst xmlns="http://schemas.openxmlformats.org/spreadsheetml/2006/main" count="9148" uniqueCount="422">
  <si>
    <t>User_ID</t>
  </si>
  <si>
    <t>User_Name</t>
  </si>
  <si>
    <t>Join_Date</t>
  </si>
  <si>
    <t>Last_Login</t>
  </si>
  <si>
    <t>No. of month subscribed</t>
  </si>
  <si>
    <t>Monthly_Price</t>
  </si>
  <si>
    <t>Revenue per user</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</si>
  <si>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</si>
  <si>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</si>
  <si>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</si>
  <si>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</si>
  <si>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</si>
  <si>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</si>
  <si>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</si>
  <si>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</si>
  <si>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</si>
  <si>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</si>
  <si>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</si>
  <si>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</si>
  <si>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</si>
  <si>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</si>
  <si>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</si>
  <si>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</si>
  <si>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</si>
  <si>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</si>
  <si>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</si>
  <si>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Action</t>
  </si>
  <si>
    <t>USA</t>
  </si>
  <si>
    <t>PayPal</t>
  </si>
  <si>
    <t>Hindi</t>
  </si>
  <si>
    <t>Active</t>
  </si>
  <si>
    <t>Smartphone</t>
  </si>
  <si>
    <t>35-44</t>
  </si>
  <si>
    <t>Late Night</t>
  </si>
  <si>
    <t>Patrick</t>
  </si>
  <si>
    <t>Drama</t>
  </si>
  <si>
    <t>German</t>
  </si>
  <si>
    <t>Desktop</t>
  </si>
  <si>
    <t>25-34</t>
  </si>
  <si>
    <t>Evening</t>
  </si>
  <si>
    <t>Robert</t>
  </si>
  <si>
    <t>Canada</t>
  </si>
  <si>
    <t>Debit Card</t>
  </si>
  <si>
    <t>Mandarin</t>
  </si>
  <si>
    <t>Cole</t>
  </si>
  <si>
    <t>Sci-Fi</t>
  </si>
  <si>
    <t>UK</t>
  </si>
  <si>
    <t>Jamie</t>
  </si>
  <si>
    <t>Documentary</t>
  </si>
  <si>
    <t>Mary</t>
  </si>
  <si>
    <t>India</t>
  </si>
  <si>
    <t>Credit Card</t>
  </si>
  <si>
    <t>Spanish</t>
  </si>
  <si>
    <t>Smart TV</t>
  </si>
  <si>
    <t>18-24</t>
  </si>
  <si>
    <t>Morning</t>
  </si>
  <si>
    <t>Theodore</t>
  </si>
  <si>
    <t>Horror</t>
  </si>
  <si>
    <t>English</t>
  </si>
  <si>
    <t>Laptop</t>
  </si>
  <si>
    <t>Olivia</t>
  </si>
  <si>
    <t>Australia</t>
  </si>
  <si>
    <t>45-54</t>
  </si>
  <si>
    <t>Patricia</t>
  </si>
  <si>
    <t>Comedy</t>
  </si>
  <si>
    <t>Germany</t>
  </si>
  <si>
    <t>Cryptocurrency</t>
  </si>
  <si>
    <t>Tablet</t>
  </si>
  <si>
    <t>Linda</t>
  </si>
  <si>
    <t>French</t>
  </si>
  <si>
    <t>55+</t>
  </si>
  <si>
    <t>Nichole</t>
  </si>
  <si>
    <t>Frances</t>
  </si>
  <si>
    <t>Maurice</t>
  </si>
  <si>
    <t>Jennifer</t>
  </si>
  <si>
    <t>Cheryl</t>
  </si>
  <si>
    <t>France</t>
  </si>
  <si>
    <t>Afternoon</t>
  </si>
  <si>
    <t>Kathy</t>
  </si>
  <si>
    <t>Cassie</t>
  </si>
  <si>
    <t>Charles</t>
  </si>
  <si>
    <t>Romance</t>
  </si>
  <si>
    <t>William</t>
  </si>
  <si>
    <t>Tiffany</t>
  </si>
  <si>
    <t>Mark</t>
  </si>
  <si>
    <t>Anne</t>
  </si>
  <si>
    <t>Carol</t>
  </si>
  <si>
    <t>Cynthia</t>
  </si>
  <si>
    <t>Destiny</t>
  </si>
  <si>
    <t>Brittany</t>
  </si>
  <si>
    <t>Amy</t>
  </si>
  <si>
    <t>Kimberly</t>
  </si>
  <si>
    <t>Ariel</t>
  </si>
  <si>
    <t>Lauren</t>
  </si>
  <si>
    <t>Joshua</t>
  </si>
  <si>
    <t>Megan</t>
  </si>
  <si>
    <t>Stephanie</t>
  </si>
  <si>
    <t>Terrence</t>
  </si>
  <si>
    <t>Julia</t>
  </si>
  <si>
    <t>Derrick</t>
  </si>
  <si>
    <t>Nathan</t>
  </si>
  <si>
    <t>Matthew</t>
  </si>
  <si>
    <t>Ashley</t>
  </si>
  <si>
    <t>Kerri</t>
  </si>
  <si>
    <t>Jessica</t>
  </si>
  <si>
    <t>Phillip</t>
  </si>
  <si>
    <t>Elizabeth</t>
  </si>
  <si>
    <t>Lisa</t>
  </si>
  <si>
    <t>Natalie</t>
  </si>
  <si>
    <t>Autumn</t>
  </si>
  <si>
    <t>James</t>
  </si>
  <si>
    <t>Michael</t>
  </si>
  <si>
    <t>Molly</t>
  </si>
  <si>
    <t>Lance</t>
  </si>
  <si>
    <t>Lori</t>
  </si>
  <si>
    <t>Jeremy</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</si>
  <si>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</si>
  <si>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</si>
  <si>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</si>
  <si>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</si>
  <si>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</si>
  <si>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</si>
  <si>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</si>
  <si>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</si>
  <si>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</si>
  <si>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</si>
  <si>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</si>
  <si>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</si>
  <si>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</si>
  <si>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</si>
  <si>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</si>
  <si>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</si>
  <si>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</si>
  <si>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</si>
  <si>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</si>
  <si>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</si>
  <si>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</si>
  <si>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</si>
  <si>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</si>
  <si>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</si>
  <si>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</si>
  <si>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</si>
  <si>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</si>
  <si>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</si>
  <si>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</si>
  <si>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</si>
  <si>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</si>
  <si>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</si>
  <si>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</si>
  <si>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</si>
  <si>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</si>
  <si>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</si>
  <si>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</si>
  <si>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</si>
  <si>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</si>
  <si>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</si>
  <si>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</si>
  <si>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</si>
  <si>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</si>
  <si>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</si>
  <si>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</si>
  <si>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</si>
  <si>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</si>
  <si>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</si>
  <si>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</si>
  <si>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</si>
  <si>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</si>
  <si>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</si>
  <si>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</si>
  <si>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</si>
  <si>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</si>
  <si>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</si>
  <si>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</si>
  <si>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</si>
  <si>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</si>
  <si>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</si>
  <si>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</si>
  <si>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</si>
  <si>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</si>
  <si>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</si>
  <si>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</si>
  <si>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</si>
  <si>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</si>
  <si>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</si>
  <si>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</si>
  <si>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</si>
  <si>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</si>
  <si>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</si>
  <si>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</si>
  <si>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</si>
  <si>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</si>
  <si>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</si>
  <si>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</si>
  <si>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</si>
  <si>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</si>
  <si>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</si>
  <si>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</si>
  <si>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</si>
  <si>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</si>
  <si>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</si>
  <si>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</si>
  <si>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</si>
  <si>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</si>
  <si>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</si>
  <si>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</si>
  <si>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</si>
  <si>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</si>
  <si>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</si>
  <si>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</si>
  <si>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</si>
  <si>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</si>
  <si>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</si>
  <si>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</si>
  <si>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</si>
  <si>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</si>
  <si>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</si>
  <si>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</si>
  <si>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</si>
  <si>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</si>
  <si>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</si>
  <si>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</si>
  <si>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</si>
  <si>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</si>
  <si>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</si>
  <si>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</si>
  <si>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</si>
  <si>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</si>
  <si>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</si>
  <si>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</si>
  <si>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</si>
  <si>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</si>
  <si>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</si>
  <si>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</si>
  <si>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</si>
  <si>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</si>
  <si>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</si>
  <si>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</si>
  <si>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</si>
  <si>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</si>
  <si>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</si>
  <si>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</si>
  <si>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</si>
  <si>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</si>
  <si>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</si>
  <si>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</si>
  <si>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</si>
  <si>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</si>
  <si>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</si>
  <si>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</si>
  <si>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</si>
  <si>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</si>
  <si>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</si>
  <si>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</si>
  <si>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</si>
  <si>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</si>
  <si>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</si>
  <si>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</si>
  <si>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</si>
  <si>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</si>
  <si>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</si>
  <si>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</si>
  <si>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</si>
  <si>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</si>
  <si>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</si>
  <si>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</si>
  <si>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</si>
  <si>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</si>
  <si>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</si>
  <si>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</si>
  <si>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</si>
  <si>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</si>
  <si>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</si>
  <si>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</si>
  <si>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</si>
  <si>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</si>
  <si>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</si>
  <si>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</si>
  <si>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</si>
  <si>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</si>
  <si>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</si>
  <si>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</si>
  <si>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</si>
  <si>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</si>
  <si>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</si>
  <si>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</si>
  <si>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</si>
  <si>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</si>
  <si>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</si>
  <si>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</si>
  <si>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</si>
  <si>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</si>
  <si>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</si>
  <si>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</si>
  <si>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</si>
  <si>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</si>
  <si>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</si>
  <si>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</si>
  <si>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</si>
  <si>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</si>
  <si>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</si>
  <si>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</si>
  <si>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</si>
  <si>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</si>
  <si>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</si>
  <si>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</si>
  <si>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</si>
  <si>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</si>
  <si>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</si>
  <si>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</si>
  <si>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</si>
  <si>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</si>
  <si>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</si>
  <si>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</si>
  <si>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</si>
  <si>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</si>
  <si>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</si>
  <si>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</si>
  <si>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</si>
  <si>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</si>
  <si>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</si>
  <si>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</si>
  <si>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</si>
  <si>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</si>
  <si>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</si>
  <si>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</si>
  <si>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</si>
  <si>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</si>
  <si>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</si>
  <si>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</si>
  <si>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</si>
  <si>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</si>
  <si>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</si>
  <si>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</si>
  <si>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</si>
  <si>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</si>
  <si>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</si>
  <si>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</si>
  <si>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</si>
  <si>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</si>
  <si>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</si>
  <si>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</si>
  <si>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</si>
  <si>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</si>
  <si>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</si>
  <si>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</si>
  <si>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</si>
  <si>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</si>
  <si>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</si>
  <si>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</si>
  <si>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</si>
  <si>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</si>
  <si>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</si>
  <si>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</si>
  <si>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</si>
  <si>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</si>
  <si>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</si>
  <si>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</si>
  <si>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</si>
  <si>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</si>
  <si>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</si>
  <si>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</si>
  <si>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</si>
  <si>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</si>
  <si>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</si>
  <si>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</si>
  <si>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</si>
  <si>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</si>
  <si>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</si>
  <si>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</si>
  <si>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</si>
  <si>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</si>
  <si>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</si>
  <si>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</si>
  <si>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</si>
  <si>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</si>
  <si>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</si>
  <si>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</si>
  <si>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</si>
  <si>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</si>
  <si>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</si>
  <si>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</si>
  <si>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</si>
  <si>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</si>
  <si>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</si>
  <si>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</si>
  <si>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</si>
  <si>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</si>
  <si>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</si>
  <si>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</si>
  <si>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</si>
  <si>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</si>
  <si>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</si>
  <si>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</si>
  <si>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</si>
  <si>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</si>
  <si>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</si>
  <si>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</si>
  <si>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</si>
  <si>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</si>
  <si>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</si>
  <si>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</si>
  <si>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</si>
  <si>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</si>
  <si>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</si>
  <si>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Grand Total</t>
  </si>
  <si>
    <t>Count of User_Name</t>
  </si>
  <si>
    <t>Column Labels</t>
  </si>
  <si>
    <t>Row Labels</t>
  </si>
  <si>
    <t>2022</t>
  </si>
  <si>
    <t>2023</t>
  </si>
  <si>
    <t>2024</t>
  </si>
  <si>
    <t>Sum of Revenue per user</t>
  </si>
  <si>
    <t>Sum of Total_Movies_Watched</t>
  </si>
  <si>
    <t>Sum of Total_Series_Watched</t>
  </si>
  <si>
    <t>Count of Revenue per user</t>
  </si>
  <si>
    <t>Average of Watch_Hours</t>
  </si>
  <si>
    <t>Count of Favorite_Genre2</t>
  </si>
  <si>
    <t>Sum of Active_Devices</t>
  </si>
  <si>
    <t>Sum of Loyalty_Points</t>
  </si>
  <si>
    <t>Count of Has_Downloaded_Content</t>
  </si>
  <si>
    <t>Count of Membership_Status</t>
  </si>
  <si>
    <t>Count of Payment_Method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</si>
</sst>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1"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[streaming_service_data.xlsx]Subscription &amp; revenue anys.!PivotTable2</c:name>
    <c:fmtId val="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User</a:t>
            </a:r>
            <a:r>
              <a:rPr lang="en-US" b="1" baseline="0"/>
              <a:t> by subscription plan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'Subscription &amp; revenue anys.'!$I$3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'Subscription &amp; revenue anys.'!$H$4:$H$7</c:f>
              <c:strCache>
                <c:ptCount val="3"/>
                <c:pt idx="0">
                  <c:v>7.99</c:v>
                </c:pt>
                <c:pt idx="1">
                  <c:v>11.99</c:v>
                </c:pt>
                <c:pt idx="2">
                  <c:v>15.99</c:v>
                </c:pt>
              </c:strCache>
            </c:strRef>
          </c:cat>
          <c:val>
            <c:numRef>
              <c:f>'Subscription &amp; revenue anys.'!$I$4:$I$7</c:f>
              <c:numCache>
                <c:formatCode>0</c:formatCode>
                <c:ptCount val="3"/>
                <c:pt idx="0">
                  <c:v>29291.340000000004</c:v>
                </c:pt>
                <c:pt idx="1">
                  <c:v>45562.000000000029</c:v>
                </c:pt>
                <c:pt idx="2">
                  <c:v>59370.869999999995</c:v>
                </c:pt>
              </c:numCache>
            </c:numRef>
          </c:val>
          <c:extLst>
            <c:ext xmlns:c16="http://schemas.microsoft.com/office/drawing/2014/chart" uri="{C3380CC4-5D6E-409C-BE32-E72D297353CC}">
              <c16:uniqueId val="{00000000-6A37-47DF-BA55-6CD7E0A6459B}"/>
            </c:ext>
          </c:extLst>
        </c:ser>
        <c:dLbls>
          <c:dLblPos val="outEnd"/>
          <c:showLegendKey val="0"/>
          <c:showVal val="1"/>
          <c:showCatName val="0"/>
          <c:showSerName val="0"/>
          <c:showPercent val="0"/>
          <c:showBubbleSize val="0"/>
        </c:dLbls>
        <c:gapWidth val="219"/>
        <c:overlap val="-27"/>
        <c:axId val="1830833952"/>
        <c:axId val="1830834912"/>
      </c:barChart>
      <c:catAx>
        <c:axId val="183083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0834912"/>
        <c:crosses val="autoZero"/>
        <c:auto val="1"/>
        <c:lblAlgn val="ctr"/>
        <c:lblOffset val="100"/>
        <c:noMultiLvlLbl val="0"/>
      </c:catAx>
      <c:valAx>
        <c:axId val="1830834912"/>
        <c:scaling>
          <c:orientation val="minMax"/>
        </c:scaling>
        <c:delete val="1"/>
        <c:axPos val="l"/>
        <c:numFmt formatCode="0" sourceLinked="1"/>
        <c:majorTickMark val="none"/>
        <c:minorTickMark val="none"/>
        <c:tickLblPos val="nextTo"/>
        <c:crossAx val="183083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per month</a:t>
            </a:r>
            <a:endParaRPr lang="en-US" b="1"/>
          </a:p>
        </c:rich>
      </c:tx>
      <c:layout>
        <c:manualLayout>
          <c:xMode val="edge"/>
          <c:yMode val="edge"/>
          <c:x val="0.29343257575757575"/>
          <c:y val="3.52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7.99</c:v>
              </c:pt>
              <c:pt idx="1">
                <c:v>11.99</c:v>
              </c:pt>
              <c:pt idx="2">
                <c:v>15.99</c:v>
              </c:pt>
            </c:strLit>
          </c:cat>
          <c:val>
            <c:numLit>
              <c:formatCode>General</c:formatCode>
              <c:ptCount val="3"/>
              <c:pt idx="0">
                <c:v>3028.2100000000005</c:v>
              </c:pt>
              <c:pt idx="1">
                <c:v>4568.1900000000005</c:v>
              </c:pt>
              <c:pt idx="2">
                <c:v>10105.679999999998</c:v>
              </c:pt>
            </c:numLit>
          </c:val>
          <c:smooth val="0"/>
          <c:extLst>
            <c:ext xmlns:c16="http://schemas.microsoft.com/office/drawing/2014/chart" uri="{C3380CC4-5D6E-409C-BE32-E72D297353CC}">
              <c16:uniqueId val="{00000000-A22D-4744-A2D3-8374EB791CB1}"/>
            </c:ext>
          </c:extLst>
        </c:ser>
        <c:dLbls>
          <c:dLblPos val="t"/>
          <c:showLegendKey val="0"/>
          <c:showVal val="1"/>
          <c:showCatName val="0"/>
          <c:showSerName val="0"/>
          <c:showPercent val="0"/>
          <c:showBubbleSize val="0"/>
        </c:dLbls>
        <c:smooth val="0"/>
        <c:axId val="1830836832"/>
        <c:axId val="1830829152"/>
      </c:lineChart>
      <c:catAx>
        <c:axId val="1830836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0829152"/>
        <c:crosses val="autoZero"/>
        <c:auto val="1"/>
        <c:lblAlgn val="ctr"/>
        <c:lblOffset val="100"/>
        <c:noMultiLvlLbl val="0"/>
      </c:catAx>
      <c:valAx>
        <c:axId val="1830829152"/>
        <c:scaling>
          <c:orientation val="minMax"/>
        </c:scaling>
        <c:delete val="1"/>
        <c:axPos val="l"/>
        <c:numFmt formatCode="General" sourceLinked="1"/>
        <c:majorTickMark val="out"/>
        <c:minorTickMark val="none"/>
        <c:tickLblPos val="nextTo"/>
        <c:crossAx val="18308368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[streaming_service_data.xlsx]User engagement matrix!PivotTable6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Movie</a:t>
            </a:r>
            <a:r>
              <a:rPr lang="en-IN" b="1" baseline="0"/>
              <a:t> watched vs series watches</a:t>
            </a:r>
            <a:endParaRPr lang="en-IN" b="1"/>
          </a:p>
        </c:rich>
      </c:tx>
      <c:layout>
        <c:manualLayout>
          <c:xMode val="edge"/>
          <c:yMode val="edge"/>
          <c:x val="0.12672222222222224"/>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matrix'!$B$3</c:f>
              <c:strCache>
                <c:ptCount val="1"/>
                <c:pt idx="0">
                  <c:v>Sum of Total_Movies_Watched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matrix'!$A$4:$A$5</c:f>
              <c:strCache>
                <c:ptCount val="1"/>
                <c:pt idx="0">
                  <c:v>15.99</c:v>
                </c:pt>
              </c:strCache>
            </c:strRef>
          </c:cat>
          <c:val>
            <c:numRef>
              <c:f>'User engagement matrix'!$B$4:$B$5</c:f>
              <c:numCache>
                <c:formatCode>General</c:formatCode>
                <c:ptCount val="1"/>
                <c:pt idx="0">
                  <c:v>170278</c:v>
                </c:pt>
              </c:numCache>
            </c:numRef>
          </c:val>
          <c:extLst>
            <c:ext xmlns:c16="http://schemas.microsoft.com/office/drawing/2014/chart" uri="{C3380CC4-5D6E-409C-BE32-E72D297353CC}">
              <c16:uniqueId val="{00000000-0261-4B26-B59B-5D7E609FFFAA}"/>
            </c:ext>
          </c:extLst>
        </c:ser>
        <c:ser>
          <c:idx val="1"/>
          <c:order val="1"/>
          <c:tx>
            <c:strRef>
              <c:f>'User engagement matrix'!$C$3</c:f>
              <c:strCache>
                <c:ptCount val="1"/>
                <c:pt idx="0">
                  <c:v>Sum of Total_Series_Watched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matrix'!$A$4:$A$5</c:f>
              <c:strCache>
                <c:ptCount val="1"/>
                <c:pt idx="0">
                  <c:v>15.99</c:v>
                </c:pt>
              </c:strCache>
            </c:strRef>
          </c:cat>
          <c:val>
            <c:numRef>
              <c:f>'User engagement matrix'!$C$4:$C$5</c:f>
              <c:numCache>
                <c:formatCode>General</c:formatCode>
                <c:ptCount val="1"/>
                <c:pt idx="0">
                  <c:v>33766</c:v>
                </c:pt>
              </c:numCache>
            </c:numRef>
          </c:val>
          <c:extLst>
            <c:ext xmlns:c16="http://schemas.microsoft.com/office/drawing/2014/chart" uri="{C3380CC4-5D6E-409C-BE32-E72D297353CC}">
              <c16:uniqueId val="{00000001-0261-4B26-B59B-5D7E609FFFAA}"/>
            </c:ext>
          </c:extLst>
        </c:ser>
        <c:dLbls>
          <c:dLblPos val="outEnd"/>
          <c:showLegendKey val="0"/>
          <c:showVal val="1"/>
          <c:showCatName val="0"/>
          <c:showSerName val="0"/>
          <c:showPercent val="0"/>
          <c:showBubbleSize val="0"/>
        </c:dLbls>
        <c:gapWidth val="219"/>
        <c:overlap val="-27"/>
        <c:axId val="1706844720"/>
        <c:axId val="1706844240"/>
      </c:barChart>
      <c:catAx>
        <c:axId val="170684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6844240"/>
        <c:crosses val="autoZero"/>
        <c:auto val="1"/>
        <c:lblAlgn val="ctr"/>
        <c:lblOffset val="100"/>
        <c:noMultiLvlLbl val="0"/>
      </c:catAx>
      <c:valAx>
        <c:axId val="1706844240"/>
        <c:scaling>
          <c:orientation val="minMax"/>
        </c:scaling>
        <c:delete val="1"/>
        <c:axPos val="l"/>
        <c:numFmt formatCode="General" sourceLinked="1"/>
        <c:majorTickMark val="none"/>
        <c:minorTickMark val="none"/>
        <c:tickLblPos val="nextTo"/>
        <c:crossAx val="1706844720"/>
        <c:crosses val="autoZero"/>
        <c:crossBetween val="between"/>
      </c:valAx>
      <c:spPr>
        <a:noFill/>
        <a:ln>
          <a:noFill/>
        </a:ln>
        <a:effectLst/>
      </c:spPr>
    </c:plotArea>
    <c:legend>
      <c:legendPos val="r"/>
      <c:layout>
        <c:manualLayout>
          <c:xMode val="edge"/>
          <c:yMode val="edge"/>
          <c:x val="0.65851728031202805"/>
          <c:y val="0.3145054827330257"/>
          <c:w val="0.2861443569553806"/>
          <c:h val="0.25789479440069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[streaming_service_data.xlsx]User engagement matrix!PivotTable7</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watch hours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0.15782407407407409"/>
          <c:w val="0.93888888888888888"/>
          <c:h val="0.72088764946048411"/>
        </c:manualLayout>
      </c:layout>
      <c:barChart>
        <c:barDir val="col"/>
        <c:grouping val="stacked"/>
        <c:varyColors val="0"/>
        <c:ser>
          <c:idx val="0"/>
          <c:order val="0"/>
          <c:tx>
            <c:strRef>
              <c:f>'User engagement matrix'!$G$3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matrix'!$F$4:$F$5</c:f>
              <c:strCache>
                <c:ptCount val="1"/>
                <c:pt idx="0">
                  <c:v>15.99</c:v>
                </c:pt>
              </c:strCache>
            </c:strRef>
          </c:cat>
          <c:val>
            <c:numRef>
              <c:f>'User engagement matrix'!$G$4:$G$5</c:f>
              <c:numCache>
                <c:formatCode>0</c:formatCode>
                <c:ptCount val="1"/>
                <c:pt idx="0">
                  <c:v>251.86746987951807</c:v>
                </c:pt>
              </c:numCache>
            </c:numRef>
          </c:val>
          <c:extLst>
            <c:ext xmlns:c16="http://schemas.microsoft.com/office/drawing/2014/chart" uri="{C3380CC4-5D6E-409C-BE32-E72D297353CC}">
              <c16:uniqueId val="{00000000-6C2A-4CAD-82F2-72C39D48BA78}"/>
            </c:ext>
          </c:extLst>
        </c:ser>
        <c:dLbls>
          <c:dLblPos val="ctr"/>
          <c:showLegendKey val="0"/>
          <c:showVal val="1"/>
          <c:showCatName val="0"/>
          <c:showSerName val="0"/>
          <c:showPercent val="0"/>
          <c:showBubbleSize val="0"/>
        </c:dLbls>
        <c:gapWidth val="150"/>
        <c:overlap val="100"/>
        <c:axId val="136221952"/>
        <c:axId val="136229152"/>
      </c:barChart>
      <c:catAx>
        <c:axId val="13622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229152"/>
        <c:crosses val="autoZero"/>
        <c:auto val="1"/>
        <c:lblAlgn val="ctr"/>
        <c:lblOffset val="100"/>
        <c:noMultiLvlLbl val="0"/>
      </c:catAx>
      <c:valAx>
        <c:axId val="136229152"/>
        <c:scaling>
          <c:orientation val="minMax"/>
        </c:scaling>
        <c:delete val="1"/>
        <c:axPos val="l"/>
        <c:numFmt formatCode="0" sourceLinked="1"/>
        <c:majorTickMark val="none"/>
        <c:minorTickMark val="none"/>
        <c:tickLblPos val="nextTo"/>
        <c:crossAx val="13622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[streaming_service_data.xlsx]Demographic &amp; behavioral!PivotTable10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Prefered genre by age group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behavioral'!$A$4:$A$9</c:f>
              <c:strCache>
                <c:ptCount val="5"/>
                <c:pt idx="0">
                  <c:v>18-24</c:v>
                </c:pt>
                <c:pt idx="1">
                  <c:v>25-34</c:v>
                </c:pt>
                <c:pt idx="2">
                  <c:v>35-44</c:v>
                </c:pt>
                <c:pt idx="3">
                  <c:v>45-54</c:v>
                </c:pt>
                <c:pt idx="4">
                  <c:v>55+</c:v>
                </c:pt>
              </c:strCache>
            </c:strRef>
          </c:cat>
          <c:val>
            <c:numRef>
              <c:f>'Demographic &amp; behavioral'!$B$4:$B$9</c:f>
              <c:numCache>
                <c:formatCode>General</c:formatCode>
                <c:ptCount val="5"/>
                <c:pt idx="0">
                  <c:v>23</c:v>
                </c:pt>
                <c:pt idx="1">
                  <c:v>36</c:v>
                </c:pt>
                <c:pt idx="2">
                  <c:v>34</c:v>
                </c:pt>
                <c:pt idx="3">
                  <c:v>32</c:v>
                </c:pt>
                <c:pt idx="4">
                  <c:v>32</c:v>
                </c:pt>
              </c:numCache>
            </c:numRef>
          </c:val>
          <c:extLst>
            <c:ext xmlns:c16="http://schemas.microsoft.com/office/drawing/2014/chart" uri="{C3380CC4-5D6E-409C-BE32-E72D297353CC}">
              <c16:uniqueId val="{00000000-2E55-4C57-BFE7-E99AC0823295}"/>
            </c:ext>
          </c:extLst>
        </c:ser>
        <c:dLbls>
          <c:dLblPos val="outEnd"/>
          <c:showLegendKey val="0"/>
          <c:showVal val="1"/>
          <c:showCatName val="0"/>
          <c:showSerName val="0"/>
          <c:showPercent val="0"/>
          <c:showBubbleSize val="0"/>
        </c:dLbls>
        <c:gapWidth val="219"/>
        <c:overlap val="-27"/>
        <c:axId val="218279904"/>
        <c:axId val="218277024"/>
      </c:barChart>
      <c:catAx>
        <c:axId val="2182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277024"/>
        <c:crosses val="autoZero"/>
        <c:auto val="1"/>
        <c:lblAlgn val="ctr"/>
        <c:lblOffset val="100"/>
        <c:noMultiLvlLbl val="0"/>
      </c:catAx>
      <c:valAx>
        <c:axId val="218277024"/>
        <c:scaling>
          <c:orientation val="minMax"/>
        </c:scaling>
        <c:delete val="1"/>
        <c:axPos val="l"/>
        <c:numFmt formatCode="General" sourceLinked="1"/>
        <c:majorTickMark val="none"/>
        <c:minorTickMark val="none"/>
        <c:tickLblPos val="nextTo"/>
        <c:crossAx val="21827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[streaming_service_data.xlsx]Demographic &amp; behavioral!PivotTable11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Device</a:t>
            </a:r>
            <a:r>
              <a:rPr lang="en-IN" b="1" baseline="0"/>
              <a:t> usage prefrence</a:t>
            </a:r>
            <a:endParaRPr lang="en-IN" b="1"/>
          </a:p>
        </c:rich>
      </c:tx>
      <c:layout>
        <c:manualLayout>
          <c:xMode val="edge"/>
          <c:yMode val="edge"/>
          <c:x val="0.24529011998500194"/>
          <c:y val="4.03361344537815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behavioral'!$E$3:$E$4</c:f>
              <c:strCache>
                <c:ptCount val="1"/>
                <c:pt idx="0">
                  <c:v>Desktop</c:v>
                </c:pt>
              </c:strCache>
            </c:strRef>
          </c:tx>
          <c:spPr>
            <a:solidFill>
              <a:schemeClr val="accent1"/>
            </a:solidFill>
            <a:ln>
              <a:noFill/>
            </a:ln>
            <a:effectLst/>
          </c:spPr>
          <c:invertIfNegative val="0"/>
          <c:cat>
            <c:strRef>
              <c:f>'Demographic &amp; behavioral'!$D$5:$D$10</c:f>
              <c:strCache>
                <c:ptCount val="5"/>
                <c:pt idx="0">
                  <c:v>18-24</c:v>
                </c:pt>
                <c:pt idx="1">
                  <c:v>25-34</c:v>
                </c:pt>
                <c:pt idx="2">
                  <c:v>35-44</c:v>
                </c:pt>
                <c:pt idx="3">
                  <c:v>45-54</c:v>
                </c:pt>
                <c:pt idx="4">
                  <c:v>55+</c:v>
                </c:pt>
              </c:strCache>
            </c:strRef>
          </c:cat>
          <c:val>
            <c:numRef>
              <c:f>'Demographic &amp; behavioral'!$E$5:$E$10</c:f>
              <c:numCache>
                <c:formatCode>General</c:formatCode>
                <c:ptCount val="5"/>
                <c:pt idx="0">
                  <c:v>13</c:v>
                </c:pt>
                <c:pt idx="1">
                  <c:v>19</c:v>
                </c:pt>
                <c:pt idx="2">
                  <c:v>15</c:v>
                </c:pt>
                <c:pt idx="3">
                  <c:v>29</c:v>
                </c:pt>
                <c:pt idx="4">
                  <c:v>19</c:v>
                </c:pt>
              </c:numCache>
            </c:numRef>
          </c:val>
          <c:extLst>
            <c:ext xmlns:c16="http://schemas.microsoft.com/office/drawing/2014/chart" uri="{C3380CC4-5D6E-409C-BE32-E72D297353CC}">
              <c16:uniqueId val="{00000000-2772-4B55-82AD-3D455E22F42E}"/>
            </c:ext>
          </c:extLst>
        </c:ser>
        <c:ser>
          <c:idx val="1"/>
          <c:order val="1"/>
          <c:tx>
            <c:strRef>
              <c:f>'Demographic &amp; behavioral'!$F$3:$F$4</c:f>
              <c:strCache>
                <c:ptCount val="1"/>
                <c:pt idx="0">
                  <c:v>Laptop</c:v>
                </c:pt>
              </c:strCache>
            </c:strRef>
          </c:tx>
          <c:spPr>
            <a:solidFill>
              <a:schemeClr val="accent2"/>
            </a:solidFill>
            <a:ln>
              <a:noFill/>
            </a:ln>
            <a:effectLst/>
          </c:spPr>
          <c:invertIfNegative val="0"/>
          <c:cat>
            <c:strRef>
              <c:f>'Demographic &amp; behavioral'!$D$5:$D$10</c:f>
              <c:strCache>
                <c:ptCount val="5"/>
                <c:pt idx="0">
                  <c:v>18-24</c:v>
                </c:pt>
                <c:pt idx="1">
                  <c:v>25-34</c:v>
                </c:pt>
                <c:pt idx="2">
                  <c:v>35-44</c:v>
                </c:pt>
                <c:pt idx="3">
                  <c:v>45-54</c:v>
                </c:pt>
                <c:pt idx="4">
                  <c:v>55+</c:v>
                </c:pt>
              </c:strCache>
            </c:strRef>
          </c:cat>
          <c:val>
            <c:numRef>
              <c:f>'Demographic &amp; behavioral'!$F$5:$F$10</c:f>
              <c:numCache>
                <c:formatCode>General</c:formatCode>
                <c:ptCount val="5"/>
                <c:pt idx="0">
                  <c:v>17</c:v>
                </c:pt>
                <c:pt idx="1">
                  <c:v>27</c:v>
                </c:pt>
                <c:pt idx="2">
                  <c:v>13</c:v>
                </c:pt>
                <c:pt idx="3">
                  <c:v>7</c:v>
                </c:pt>
                <c:pt idx="4">
                  <c:v>15</c:v>
                </c:pt>
              </c:numCache>
            </c:numRef>
          </c:val>
          <c:extLst>
            <c:ext xmlns:c16="http://schemas.microsoft.com/office/drawing/2014/chart" uri="{C3380CC4-5D6E-409C-BE32-E72D297353CC}">
              <c16:uniqueId val="{00000001-2772-4B55-82AD-3D455E22F42E}"/>
            </c:ext>
          </c:extLst>
        </c:ser>
        <c:ser>
          <c:idx val="2"/>
          <c:order val="2"/>
          <c:tx>
            <c:strRef>
              <c:f>'Demographic &amp; behavioral'!$G$3:$G$4</c:f>
              <c:strCache>
                <c:ptCount val="1"/>
                <c:pt idx="0">
                  <c:v>Smart TV</c:v>
                </c:pt>
              </c:strCache>
            </c:strRef>
          </c:tx>
          <c:spPr>
            <a:solidFill>
              <a:schemeClr val="accent3"/>
            </a:solidFill>
            <a:ln>
              <a:noFill/>
            </a:ln>
            <a:effectLst/>
          </c:spPr>
          <c:invertIfNegative val="0"/>
          <c:cat>
            <c:strRef>
              <c:f>'Demographic &amp; behavioral'!$D$5:$D$10</c:f>
              <c:strCache>
                <c:ptCount val="5"/>
                <c:pt idx="0">
                  <c:v>18-24</c:v>
                </c:pt>
                <c:pt idx="1">
                  <c:v>25-34</c:v>
                </c:pt>
                <c:pt idx="2">
                  <c:v>35-44</c:v>
                </c:pt>
                <c:pt idx="3">
                  <c:v>45-54</c:v>
                </c:pt>
                <c:pt idx="4">
                  <c:v>55+</c:v>
                </c:pt>
              </c:strCache>
            </c:strRef>
          </c:cat>
          <c:val>
            <c:numRef>
              <c:f>'Demographic &amp; behavioral'!$G$5:$G$10</c:f>
              <c:numCache>
                <c:formatCode>General</c:formatCode>
                <c:ptCount val="5"/>
                <c:pt idx="0">
                  <c:v>8</c:v>
                </c:pt>
                <c:pt idx="1">
                  <c:v>25</c:v>
                </c:pt>
                <c:pt idx="2">
                  <c:v>17</c:v>
                </c:pt>
                <c:pt idx="3">
                  <c:v>20</c:v>
                </c:pt>
                <c:pt idx="4">
                  <c:v>19</c:v>
                </c:pt>
              </c:numCache>
            </c:numRef>
          </c:val>
          <c:extLst>
            <c:ext xmlns:c16="http://schemas.microsoft.com/office/drawing/2014/chart" uri="{C3380CC4-5D6E-409C-BE32-E72D297353CC}">
              <c16:uniqueId val="{00000002-2772-4B55-82AD-3D455E22F42E}"/>
            </c:ext>
          </c:extLst>
        </c:ser>
        <c:ser>
          <c:idx val="3"/>
          <c:order val="3"/>
          <c:tx>
            <c:strRef>
              <c:f>'Demographic &amp; behavioral'!$H$3:$H$4</c:f>
              <c:strCache>
                <c:ptCount val="1"/>
                <c:pt idx="0">
                  <c:v>Smartphone</c:v>
                </c:pt>
              </c:strCache>
            </c:strRef>
          </c:tx>
          <c:spPr>
            <a:solidFill>
              <a:schemeClr val="accent4"/>
            </a:solidFill>
            <a:ln>
              <a:noFill/>
            </a:ln>
            <a:effectLst/>
          </c:spPr>
          <c:invertIfNegative val="0"/>
          <c:cat>
            <c:strRef>
              <c:f>'Demographic &amp; behavioral'!$D$5:$D$10</c:f>
              <c:strCache>
                <c:ptCount val="5"/>
                <c:pt idx="0">
                  <c:v>18-24</c:v>
                </c:pt>
                <c:pt idx="1">
                  <c:v>25-34</c:v>
                </c:pt>
                <c:pt idx="2">
                  <c:v>35-44</c:v>
                </c:pt>
                <c:pt idx="3">
                  <c:v>45-54</c:v>
                </c:pt>
                <c:pt idx="4">
                  <c:v>55+</c:v>
                </c:pt>
              </c:strCache>
            </c:strRef>
          </c:cat>
          <c:val>
            <c:numRef>
              <c:f>'Demographic &amp; behavioral'!$H$5:$H$10</c:f>
              <c:numCache>
                <c:formatCode>General</c:formatCode>
                <c:ptCount val="5"/>
                <c:pt idx="0">
                  <c:v>18</c:v>
                </c:pt>
                <c:pt idx="1">
                  <c:v>17</c:v>
                </c:pt>
                <c:pt idx="2">
                  <c:v>28</c:v>
                </c:pt>
                <c:pt idx="3">
                  <c:v>23</c:v>
                </c:pt>
                <c:pt idx="4">
                  <c:v>33</c:v>
                </c:pt>
              </c:numCache>
            </c:numRef>
          </c:val>
          <c:extLst>
            <c:ext xmlns:c16="http://schemas.microsoft.com/office/drawing/2014/chart" uri="{C3380CC4-5D6E-409C-BE32-E72D297353CC}">
              <c16:uniqueId val="{00000003-2772-4B55-82AD-3D455E22F42E}"/>
            </c:ext>
          </c:extLst>
        </c:ser>
        <c:ser>
          <c:idx val="4"/>
          <c:order val="4"/>
          <c:tx>
            <c:strRef>
              <c:f>'Demographic &amp; behavioral'!$I$3:$I$4</c:f>
              <c:strCache>
                <c:ptCount val="1"/>
                <c:pt idx="0">
                  <c:v>Tablet</c:v>
                </c:pt>
              </c:strCache>
            </c:strRef>
          </c:tx>
          <c:spPr>
            <a:solidFill>
              <a:schemeClr val="accent5"/>
            </a:solidFill>
            <a:ln>
              <a:noFill/>
            </a:ln>
            <a:effectLst/>
          </c:spPr>
          <c:invertIfNegative val="0"/>
          <c:cat>
            <c:strRef>
              <c:f>'Demographic &amp; behavioral'!$D$5:$D$10</c:f>
              <c:strCache>
                <c:ptCount val="5"/>
                <c:pt idx="0">
                  <c:v>18-24</c:v>
                </c:pt>
                <c:pt idx="1">
                  <c:v>25-34</c:v>
                </c:pt>
                <c:pt idx="2">
                  <c:v>35-44</c:v>
                </c:pt>
                <c:pt idx="3">
                  <c:v>45-54</c:v>
                </c:pt>
                <c:pt idx="4">
                  <c:v>55+</c:v>
                </c:pt>
              </c:strCache>
            </c:strRef>
          </c:cat>
          <c:val>
            <c:numRef>
              <c:f>'Demographic &amp; behavioral'!$I$5:$I$10</c:f>
              <c:numCache>
                <c:formatCode>General</c:formatCode>
                <c:ptCount val="5"/>
                <c:pt idx="0">
                  <c:v>18</c:v>
                </c:pt>
                <c:pt idx="1">
                  <c:v>37</c:v>
                </c:pt>
                <c:pt idx="2">
                  <c:v>30</c:v>
                </c:pt>
                <c:pt idx="3">
                  <c:v>17</c:v>
                </c:pt>
                <c:pt idx="4">
                  <c:v>9</c:v>
                </c:pt>
              </c:numCache>
            </c:numRef>
          </c:val>
          <c:extLst>
            <c:ext xmlns:c16="http://schemas.microsoft.com/office/drawing/2014/chart" uri="{C3380CC4-5D6E-409C-BE32-E72D297353CC}">
              <c16:uniqueId val="{00000004-2772-4B55-82AD-3D455E22F42E}"/>
            </c:ext>
          </c:extLst>
        </c:ser>
        <c:dLbls>
          <c:showLegendKey val="0"/>
          <c:showVal val="0"/>
          <c:showCatName val="0"/>
          <c:showSerName val="0"/>
          <c:showPercent val="0"/>
          <c:showBubbleSize val="0"/>
        </c:dLbls>
        <c:gapWidth val="219"/>
        <c:overlap val="-27"/>
        <c:axId val="141438384"/>
        <c:axId val="141438864"/>
      </c:barChart>
      <c:catAx>
        <c:axId val="14143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438864"/>
        <c:crosses val="autoZero"/>
        <c:auto val="1"/>
        <c:lblAlgn val="ctr"/>
        <c:lblOffset val="100"/>
        <c:noMultiLvlLbl val="0"/>
      </c:catAx>
      <c:valAx>
        <c:axId val="14143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43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[streaming_service_data.xlsx]Demographic &amp; behavioral!PivotTable14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Time</a:t>
            </a:r>
            <a:r>
              <a:rPr lang="en-IN" b="1" baseline="0"/>
              <a:t> Prefrence</a:t>
            </a:r>
            <a:endParaRPr lang="en-IN" b="1"/>
          </a:p>
        </c:rich>
      </c:tx>
      <c:layout>
        <c:manualLayout>
          <c:xMode val="edge"/>
          <c:yMode val="edge"/>
          <c:x val="0.35585291507433164"/>
          <c:y val="4.06161285473817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behavioral'!$M$3:$M$4</c:f>
              <c:strCache>
                <c:ptCount val="1"/>
                <c:pt idx="0">
                  <c:v>Afternoon</c:v>
                </c:pt>
              </c:strCache>
            </c:strRef>
          </c:tx>
          <c:spPr>
            <a:solidFill>
              <a:schemeClr val="accent1"/>
            </a:solidFill>
            <a:ln>
              <a:noFill/>
            </a:ln>
            <a:effectLst/>
          </c:spPr>
          <c:invertIfNegative val="0"/>
          <c:cat>
            <c:strRef>
              <c:f>'Demographic &amp; behavioral'!$L$5:$L$10</c:f>
              <c:strCache>
                <c:ptCount val="5"/>
                <c:pt idx="0">
                  <c:v>18-24</c:v>
                </c:pt>
                <c:pt idx="1">
                  <c:v>25-34</c:v>
                </c:pt>
                <c:pt idx="2">
                  <c:v>35-44</c:v>
                </c:pt>
                <c:pt idx="3">
                  <c:v>45-54</c:v>
                </c:pt>
                <c:pt idx="4">
                  <c:v>55+</c:v>
                </c:pt>
              </c:strCache>
            </c:strRef>
          </c:cat>
          <c:val>
            <c:numRef>
              <c:f>'Demographic &amp; behavioral'!$M$5:$M$10</c:f>
              <c:numCache>
                <c:formatCode>General</c:formatCode>
                <c:ptCount val="5"/>
                <c:pt idx="0">
                  <c:v>8</c:v>
                </c:pt>
                <c:pt idx="1">
                  <c:v>11</c:v>
                </c:pt>
                <c:pt idx="2">
                  <c:v>6</c:v>
                </c:pt>
                <c:pt idx="3">
                  <c:v>12</c:v>
                </c:pt>
                <c:pt idx="4">
                  <c:v>9</c:v>
                </c:pt>
              </c:numCache>
            </c:numRef>
          </c:val>
          <c:extLst>
            <c:ext xmlns:c16="http://schemas.microsoft.com/office/drawing/2014/chart" uri="{C3380CC4-5D6E-409C-BE32-E72D297353CC}">
              <c16:uniqueId val="{00000000-302D-4FCC-A83D-98DEFAF9DE1F}"/>
            </c:ext>
          </c:extLst>
        </c:ser>
        <c:ser>
          <c:idx val="1"/>
          <c:order val="1"/>
          <c:tx>
            <c:strRef>
              <c:f>'Demographic &amp; behavioral'!$N$3:$N$4</c:f>
              <c:strCache>
                <c:ptCount val="1"/>
                <c:pt idx="0">
                  <c:v>Evening</c:v>
                </c:pt>
              </c:strCache>
            </c:strRef>
          </c:tx>
          <c:spPr>
            <a:solidFill>
              <a:schemeClr val="accent2"/>
            </a:solidFill>
            <a:ln>
              <a:noFill/>
            </a:ln>
            <a:effectLst/>
          </c:spPr>
          <c:invertIfNegative val="0"/>
          <c:cat>
            <c:strRef>
              <c:f>'Demographic &amp; behavioral'!$L$5:$L$10</c:f>
              <c:strCache>
                <c:ptCount val="5"/>
                <c:pt idx="0">
                  <c:v>18-24</c:v>
                </c:pt>
                <c:pt idx="1">
                  <c:v>25-34</c:v>
                </c:pt>
                <c:pt idx="2">
                  <c:v>35-44</c:v>
                </c:pt>
                <c:pt idx="3">
                  <c:v>45-54</c:v>
                </c:pt>
                <c:pt idx="4">
                  <c:v>55+</c:v>
                </c:pt>
              </c:strCache>
            </c:strRef>
          </c:cat>
          <c:val>
            <c:numRef>
              <c:f>'Demographic &amp; behavioral'!$N$5:$N$10</c:f>
              <c:numCache>
                <c:formatCode>General</c:formatCode>
                <c:ptCount val="5"/>
                <c:pt idx="0">
                  <c:v>5</c:v>
                </c:pt>
                <c:pt idx="1">
                  <c:v>11</c:v>
                </c:pt>
                <c:pt idx="2">
                  <c:v>12</c:v>
                </c:pt>
                <c:pt idx="3">
                  <c:v>7</c:v>
                </c:pt>
                <c:pt idx="4">
                  <c:v>10</c:v>
                </c:pt>
              </c:numCache>
            </c:numRef>
          </c:val>
          <c:extLst>
            <c:ext xmlns:c16="http://schemas.microsoft.com/office/drawing/2014/chart" uri="{C3380CC4-5D6E-409C-BE32-E72D297353CC}">
              <c16:uniqueId val="{00000001-302D-4FCC-A83D-98DEFAF9DE1F}"/>
            </c:ext>
          </c:extLst>
        </c:ser>
        <c:ser>
          <c:idx val="2"/>
          <c:order val="2"/>
          <c:tx>
            <c:strRef>
              <c:f>'Demographic &amp; behavioral'!$O$3:$O$4</c:f>
              <c:strCache>
                <c:ptCount val="1"/>
                <c:pt idx="0">
                  <c:v>Late Night</c:v>
                </c:pt>
              </c:strCache>
            </c:strRef>
          </c:tx>
          <c:spPr>
            <a:solidFill>
              <a:schemeClr val="accent3"/>
            </a:solidFill>
            <a:ln>
              <a:noFill/>
            </a:ln>
            <a:effectLst/>
          </c:spPr>
          <c:invertIfNegative val="0"/>
          <c:cat>
            <c:strRef>
              <c:f>'Demographic &amp; behavioral'!$L$5:$L$10</c:f>
              <c:strCache>
                <c:ptCount val="5"/>
                <c:pt idx="0">
                  <c:v>18-24</c:v>
                </c:pt>
                <c:pt idx="1">
                  <c:v>25-34</c:v>
                </c:pt>
                <c:pt idx="2">
                  <c:v>35-44</c:v>
                </c:pt>
                <c:pt idx="3">
                  <c:v>45-54</c:v>
                </c:pt>
                <c:pt idx="4">
                  <c:v>55+</c:v>
                </c:pt>
              </c:strCache>
            </c:strRef>
          </c:cat>
          <c:val>
            <c:numRef>
              <c:f>'Demographic &amp; behavioral'!$O$5:$O$10</c:f>
              <c:numCache>
                <c:formatCode>General</c:formatCode>
                <c:ptCount val="5"/>
                <c:pt idx="0">
                  <c:v>6</c:v>
                </c:pt>
                <c:pt idx="1">
                  <c:v>9</c:v>
                </c:pt>
                <c:pt idx="2">
                  <c:v>9</c:v>
                </c:pt>
                <c:pt idx="3">
                  <c:v>8</c:v>
                </c:pt>
                <c:pt idx="4">
                  <c:v>8</c:v>
                </c:pt>
              </c:numCache>
            </c:numRef>
          </c:val>
          <c:extLst>
            <c:ext xmlns:c16="http://schemas.microsoft.com/office/drawing/2014/chart" uri="{C3380CC4-5D6E-409C-BE32-E72D297353CC}">
              <c16:uniqueId val="{00000002-302D-4FCC-A83D-98DEFAF9DE1F}"/>
            </c:ext>
          </c:extLst>
        </c:ser>
        <c:ser>
          <c:idx val="3"/>
          <c:order val="3"/>
          <c:tx>
            <c:strRef>
              <c:f>'Demographic &amp; behavioral'!$P$3:$P$4</c:f>
              <c:strCache>
                <c:ptCount val="1"/>
                <c:pt idx="0">
                  <c:v>Morning</c:v>
                </c:pt>
              </c:strCache>
            </c:strRef>
          </c:tx>
          <c:spPr>
            <a:solidFill>
              <a:schemeClr val="accent4"/>
            </a:solidFill>
            <a:ln>
              <a:noFill/>
            </a:ln>
            <a:effectLst/>
          </c:spPr>
          <c:invertIfNegative val="0"/>
          <c:cat>
            <c:strRef>
              <c:f>'Demographic &amp; behavioral'!$L$5:$L$10</c:f>
              <c:strCache>
                <c:ptCount val="5"/>
                <c:pt idx="0">
                  <c:v>18-24</c:v>
                </c:pt>
                <c:pt idx="1">
                  <c:v>25-34</c:v>
                </c:pt>
                <c:pt idx="2">
                  <c:v>35-44</c:v>
                </c:pt>
                <c:pt idx="3">
                  <c:v>45-54</c:v>
                </c:pt>
                <c:pt idx="4">
                  <c:v>55+</c:v>
                </c:pt>
              </c:strCache>
            </c:strRef>
          </c:cat>
          <c:val>
            <c:numRef>
              <c:f>'Demographic &amp; behavioral'!$P$5:$P$10</c:f>
              <c:numCache>
                <c:formatCode>General</c:formatCode>
                <c:ptCount val="5"/>
                <c:pt idx="0">
                  <c:v>4</c:v>
                </c:pt>
                <c:pt idx="1">
                  <c:v>5</c:v>
                </c:pt>
                <c:pt idx="2">
                  <c:v>7</c:v>
                </c:pt>
                <c:pt idx="3">
                  <c:v>5</c:v>
                </c:pt>
                <c:pt idx="4">
                  <c:v>5</c:v>
                </c:pt>
              </c:numCache>
            </c:numRef>
          </c:val>
          <c:extLst>
            <c:ext xmlns:c16="http://schemas.microsoft.com/office/drawing/2014/chart" uri="{C3380CC4-5D6E-409C-BE32-E72D297353CC}">
              <c16:uniqueId val="{00000003-302D-4FCC-A83D-98DEFAF9DE1F}"/>
            </c:ext>
          </c:extLst>
        </c:ser>
        <c:dLbls>
          <c:showLegendKey val="0"/>
          <c:showVal val="0"/>
          <c:showCatName val="0"/>
          <c:showSerName val="0"/>
          <c:showPercent val="0"/>
          <c:showBubbleSize val="0"/>
        </c:dLbls>
        <c:gapWidth val="219"/>
        <c:overlap val="-27"/>
        <c:axId val="1712143504"/>
        <c:axId val="1712144944"/>
      </c:barChart>
      <c:catAx>
        <c:axId val="171214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144944"/>
        <c:crosses val="autoZero"/>
        <c:auto val="1"/>
        <c:lblAlgn val="ctr"/>
        <c:lblOffset val="100"/>
        <c:noMultiLvlLbl val="0"/>
      </c:catAx>
      <c:valAx>
        <c:axId val="171214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14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[streaming_service_data.xlsx]Retention and loyalty!PivotTable18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Loyalty</a:t>
            </a:r>
            <a:r>
              <a:rPr lang="en-US" b="1" baseline="0"/>
              <a:t> point as per age group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and loyalty'!$B$3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and loyalty'!$A$4:$A$9</c:f>
              <c:strCache>
                <c:ptCount val="5"/>
                <c:pt idx="0">
                  <c:v>18-24</c:v>
                </c:pt>
                <c:pt idx="1">
                  <c:v>25-34</c:v>
                </c:pt>
                <c:pt idx="2">
                  <c:v>35-44</c:v>
                </c:pt>
                <c:pt idx="3">
                  <c:v>45-54</c:v>
                </c:pt>
                <c:pt idx="4">
                  <c:v>55+</c:v>
                </c:pt>
              </c:strCache>
            </c:strRef>
          </c:cat>
          <c:val>
            <c:numRef>
              <c:f>'Retention and loyalty'!$B$4:$B$9</c:f>
              <c:numCache>
                <c:formatCode>General</c:formatCode>
                <c:ptCount val="5"/>
                <c:pt idx="0">
                  <c:v>420911</c:v>
                </c:pt>
                <c:pt idx="1">
                  <c:v>482356</c:v>
                </c:pt>
                <c:pt idx="2">
                  <c:v>533170</c:v>
                </c:pt>
                <c:pt idx="3">
                  <c:v>512665</c:v>
                </c:pt>
                <c:pt idx="4">
                  <c:v>495115</c:v>
                </c:pt>
              </c:numCache>
            </c:numRef>
          </c:val>
          <c:extLst>
            <c:ext xmlns:c16="http://schemas.microsoft.com/office/drawing/2014/chart" uri="{C3380CC4-5D6E-409C-BE32-E72D297353CC}">
              <c16:uniqueId val="{00000000-C7C5-49BE-B32D-C07048D69AD3}"/>
            </c:ext>
          </c:extLst>
        </c:ser>
        <c:dLbls>
          <c:dLblPos val="outEnd"/>
          <c:showLegendKey val="0"/>
          <c:showVal val="1"/>
          <c:showCatName val="0"/>
          <c:showSerName val="0"/>
          <c:showPercent val="0"/>
          <c:showBubbleSize val="0"/>
        </c:dLbls>
        <c:gapWidth val="219"/>
        <c:overlap val="-27"/>
        <c:axId val="216807888"/>
        <c:axId val="216808848"/>
      </c:barChart>
      <c:catAx>
        <c:axId val="21680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6808848"/>
        <c:crosses val="autoZero"/>
        <c:auto val="1"/>
        <c:lblAlgn val="ctr"/>
        <c:lblOffset val="100"/>
        <c:noMultiLvlLbl val="0"/>
      </c:catAx>
      <c:valAx>
        <c:axId val="216808848"/>
        <c:scaling>
          <c:orientation val="minMax"/>
        </c:scaling>
        <c:delete val="1"/>
        <c:axPos val="l"/>
        <c:numFmt formatCode="General" sourceLinked="1"/>
        <c:majorTickMark val="none"/>
        <c:minorTickMark val="none"/>
        <c:tickLblPos val="nextTo"/>
        <c:crossAx val="21680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[streaming_service_data.xlsx]Retention and loyalty!PivotTable19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Content</a:t>
            </a:r>
            <a:r>
              <a:rPr lang="en-US" b="1" baseline="0"/>
              <a:t> download as per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and loyalty'!$E$3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and loyalty'!$D$4:$D$9</c:f>
              <c:strCache>
                <c:ptCount val="5"/>
                <c:pt idx="0">
                  <c:v>18-24</c:v>
                </c:pt>
                <c:pt idx="1">
                  <c:v>25-34</c:v>
                </c:pt>
                <c:pt idx="2">
                  <c:v>35-44</c:v>
                </c:pt>
                <c:pt idx="3">
                  <c:v>45-54</c:v>
                </c:pt>
                <c:pt idx="4">
                  <c:v>55+</c:v>
                </c:pt>
              </c:strCache>
            </c:strRef>
          </c:cat>
          <c:val>
            <c:numRef>
              <c:f>'Retention and loyalty'!$E$4:$E$9</c:f>
              <c:numCache>
                <c:formatCode>General</c:formatCode>
                <c:ptCount val="5"/>
                <c:pt idx="0">
                  <c:v>180</c:v>
                </c:pt>
                <c:pt idx="1">
                  <c:v>200</c:v>
                </c:pt>
                <c:pt idx="2">
                  <c:v>207</c:v>
                </c:pt>
                <c:pt idx="3">
                  <c:v>208</c:v>
                </c:pt>
                <c:pt idx="4">
                  <c:v>205</c:v>
                </c:pt>
              </c:numCache>
            </c:numRef>
          </c:val>
          <c:extLst>
            <c:ext xmlns:c16="http://schemas.microsoft.com/office/drawing/2014/chart" uri="{C3380CC4-5D6E-409C-BE32-E72D297353CC}">
              <c16:uniqueId val="{00000000-2989-4855-97B2-93C776DDF716}"/>
            </c:ext>
          </c:extLst>
        </c:ser>
        <c:dLbls>
          <c:dLblPos val="outEnd"/>
          <c:showLegendKey val="0"/>
          <c:showVal val="1"/>
          <c:showCatName val="0"/>
          <c:showSerName val="0"/>
          <c:showPercent val="0"/>
          <c:showBubbleSize val="0"/>
        </c:dLbls>
        <c:gapWidth val="219"/>
        <c:overlap val="-27"/>
        <c:axId val="1712143984"/>
        <c:axId val="1553877488"/>
      </c:barChart>
      <c:catAx>
        <c:axId val="171214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3877488"/>
        <c:crosses val="autoZero"/>
        <c:auto val="1"/>
        <c:lblAlgn val="ctr"/>
        <c:lblOffset val="100"/>
        <c:noMultiLvlLbl val="0"/>
      </c:catAx>
      <c:valAx>
        <c:axId val="1553877488"/>
        <c:scaling>
          <c:orientation val="minMax"/>
        </c:scaling>
        <c:delete val="1"/>
        <c:axPos val="l"/>
        <c:numFmt formatCode="General" sourceLinked="1"/>
        <c:majorTickMark val="none"/>
        <c:minorTickMark val="none"/>
        <c:tickLblPos val="nextTo"/>
        <c:crossAx val="171214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[streaming_service_data.xlsx]Retention and loyalty!PivotTable20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Active</a:t>
            </a:r>
            <a:r>
              <a:rPr lang="en-IN" b="1" baseline="0"/>
              <a:t> status in each country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and loyalty'!$H$3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and loyalty'!$G$4:$G$9</c:f>
              <c:strCache>
                <c:ptCount val="5"/>
                <c:pt idx="0">
                  <c:v>18-24</c:v>
                </c:pt>
                <c:pt idx="1">
                  <c:v>25-34</c:v>
                </c:pt>
                <c:pt idx="2">
                  <c:v>35-44</c:v>
                </c:pt>
                <c:pt idx="3">
                  <c:v>45-54</c:v>
                </c:pt>
                <c:pt idx="4">
                  <c:v>55+</c:v>
                </c:pt>
              </c:strCache>
            </c:strRef>
          </c:cat>
          <c:val>
            <c:numRef>
              <c:f>'Retention and loyalty'!$H$4:$H$9</c:f>
              <c:numCache>
                <c:formatCode>General</c:formatCode>
                <c:ptCount val="5"/>
                <c:pt idx="0">
                  <c:v>180</c:v>
                </c:pt>
                <c:pt idx="1">
                  <c:v>200</c:v>
                </c:pt>
                <c:pt idx="2">
                  <c:v>207</c:v>
                </c:pt>
                <c:pt idx="3">
                  <c:v>208</c:v>
                </c:pt>
                <c:pt idx="4">
                  <c:v>205</c:v>
                </c:pt>
              </c:numCache>
            </c:numRef>
          </c:val>
          <c:extLst>
            <c:ext xmlns:c16="http://schemas.microsoft.com/office/drawing/2014/chart" uri="{C3380CC4-5D6E-409C-BE32-E72D297353CC}">
              <c16:uniqueId val="{00000000-D35C-49DE-BE5F-95BB4FEBE19F}"/>
            </c:ext>
          </c:extLst>
        </c:ser>
        <c:dLbls>
          <c:dLblPos val="outEnd"/>
          <c:showLegendKey val="0"/>
          <c:showVal val="1"/>
          <c:showCatName val="0"/>
          <c:showSerName val="0"/>
          <c:showPercent val="0"/>
          <c:showBubbleSize val="0"/>
        </c:dLbls>
        <c:gapWidth val="219"/>
        <c:overlap val="-27"/>
        <c:axId val="1612119264"/>
        <c:axId val="1612119744"/>
      </c:barChart>
      <c:catAx>
        <c:axId val="161211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2119744"/>
        <c:crosses val="autoZero"/>
        <c:auto val="1"/>
        <c:lblAlgn val="ctr"/>
        <c:lblOffset val="100"/>
        <c:noMultiLvlLbl val="0"/>
      </c:catAx>
      <c:valAx>
        <c:axId val="1612119744"/>
        <c:scaling>
          <c:orientation val="minMax"/>
        </c:scaling>
        <c:delete val="1"/>
        <c:axPos val="l"/>
        <c:numFmt formatCode="General" sourceLinked="1"/>
        <c:majorTickMark val="none"/>
        <c:minorTickMark val="none"/>
        <c:tickLblPos val="nextTo"/>
        <c:crossAx val="161211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[streaming_service_data.xlsx]Payment prefrence and regional !PivotTable21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Prefred</a:t>
            </a:r>
            <a:r>
              <a:rPr lang="en-IN" b="1" baseline="0"/>
              <a:t> payment methord</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prefrence and regional '!$B$3:$B$4</c:f>
              <c:strCache>
                <c:ptCount val="1"/>
                <c:pt idx="0">
                  <c:v>Credit Card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'!$A$5:$A$12</c:f>
              <c:strCache>
                <c:ptCount val="7"/>
                <c:pt idx="0">
                  <c:v>Australia</c:v>
                </c:pt>
                <c:pt idx="1">
                  <c:v>Canada</c:v>
                </c:pt>
                <c:pt idx="2">
                  <c:v>France</c:v>
                </c:pt>
                <c:pt idx="3">
                  <c:v>Germany</c:v>
                </c:pt>
                <c:pt idx="4">
                  <c:v>India</c:v>
                </c:pt>
                <c:pt idx="5">
                  <c:v>UK</c:v>
                </c:pt>
                <c:pt idx="6">
                  <c:v>USA</c:v>
                </c:pt>
              </c:strCache>
            </c:strRef>
          </c:cat>
          <c:val>
            <c:numRef>
              <c:f>'Payment prefrence and regional '!$B$5:$B$12</c:f>
              <c:numCache>
                <c:formatCode>General</c:formatCode>
                <c:ptCount val="7"/>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5DCB-401F-8FE0-617E824E4E81}"/>
            </c:ext>
          </c:extLst>
        </c:ser>
        <c:ser>
          <c:idx val="1"/>
          <c:order val="1"/>
          <c:tx>
            <c:strRef>
              <c:f>'Payment prefrence and regional '!$C$3:$C$4</c:f>
              <c:strCache>
                <c:ptCount val="1"/>
                <c:pt idx="0">
                  <c:v>Cryptocurrency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'!$A$5:$A$12</c:f>
              <c:strCache>
                <c:ptCount val="7"/>
                <c:pt idx="0">
                  <c:v>Australia</c:v>
                </c:pt>
                <c:pt idx="1">
                  <c:v>Canada</c:v>
                </c:pt>
                <c:pt idx="2">
                  <c:v>France</c:v>
                </c:pt>
                <c:pt idx="3">
                  <c:v>Germany</c:v>
                </c:pt>
                <c:pt idx="4">
                  <c:v>India</c:v>
                </c:pt>
                <c:pt idx="5">
                  <c:v>UK</c:v>
                </c:pt>
                <c:pt idx="6">
                  <c:v>USA</c:v>
                </c:pt>
              </c:strCache>
            </c:strRef>
          </c:cat>
          <c:val>
            <c:numRef>
              <c:f>'Payment prefrence and regional '!$C$5:$C$12</c:f>
              <c:numCache>
                <c:formatCode>General</c:formatCode>
                <c:ptCount val="7"/>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1-5DCB-401F-8FE0-617E824E4E81}"/>
            </c:ext>
          </c:extLst>
        </c:ser>
        <c:ser>
          <c:idx val="2"/>
          <c:order val="2"/>
          <c:tx>
            <c:strRef>
              <c:f>'Payment prefrence and regional '!$D$3:$D$4</c:f>
              <c:strCache>
                <c:ptCount val="1"/>
                <c:pt idx="0">
                  <c:v>Debit Card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'!$A$5:$A$12</c:f>
              <c:strCache>
                <c:ptCount val="7"/>
                <c:pt idx="0">
                  <c:v>Australia</c:v>
                </c:pt>
                <c:pt idx="1">
                  <c:v>Canada</c:v>
                </c:pt>
                <c:pt idx="2">
                  <c:v>France</c:v>
                </c:pt>
                <c:pt idx="3">
                  <c:v>Germany</c:v>
                </c:pt>
                <c:pt idx="4">
                  <c:v>India</c:v>
                </c:pt>
                <c:pt idx="5">
                  <c:v>UK</c:v>
                </c:pt>
                <c:pt idx="6">
                  <c:v>USA</c:v>
                </c:pt>
              </c:strCache>
            </c:strRef>
          </c:cat>
          <c:val>
            <c:numRef>
              <c:f>'Payment prefrence and regional '!$D$5:$D$12</c:f>
              <c:numCache>
                <c:formatCode>General</c:formatCode>
                <c:ptCount val="7"/>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2-5DCB-401F-8FE0-617E824E4E81}"/>
            </c:ext>
          </c:extLst>
        </c:ser>
        <c:ser>
          <c:idx val="3"/>
          <c:order val="3"/>
          <c:tx>
            <c:strRef>
              <c:f>'Payment prefrence and regional '!$E$3:$E$4</c:f>
              <c:strCache>
                <c:ptCount val="1"/>
                <c:pt idx="0">
                  <c:v>PayPal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'!$A$5:$A$12</c:f>
              <c:strCache>
                <c:ptCount val="7"/>
                <c:pt idx="0">
                  <c:v>Australia</c:v>
                </c:pt>
                <c:pt idx="1">
                  <c:v>Canada</c:v>
                </c:pt>
                <c:pt idx="2">
                  <c:v>France</c:v>
                </c:pt>
                <c:pt idx="3">
                  <c:v>Germany</c:v>
                </c:pt>
                <c:pt idx="4">
                  <c:v>India</c:v>
                </c:pt>
                <c:pt idx="5">
                  <c:v>UK</c:v>
                </c:pt>
                <c:pt idx="6">
                  <c:v>USA</c:v>
                </c:pt>
              </c:strCache>
            </c:strRef>
          </c:cat>
          <c:val>
            <c:numRef>
              <c:f>'Payment prefrence and regional '!$E$5:$E$12</c:f>
              <c:numCache>
                <c:formatCode>General</c:formatCode>
                <c:ptCount val="7"/>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3-5DCB-401F-8FE0-617E824E4E81}"/>
            </c:ext>
          </c:extLst>
        </c:ser>
        <c:dLbls>
          <c:dLblPos val="outEnd"/>
          <c:showLegendKey val="0"/>
          <c:showVal val="1"/>
          <c:showCatName val="0"/>
          <c:showSerName val="0"/>
          <c:showPercent val="0"/>
          <c:showBubbleSize val="0"/>
        </c:dLbls>
        <c:gapWidth val="182"/>
        <c:axId val="136248832"/>
        <c:axId val="136251232"/>
      </c:barChart>
      <c:catAx>
        <c:axId val="13624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251232"/>
        <c:crosses val="autoZero"/>
        <c:auto val="1"/>
        <c:lblAlgn val="ctr"/>
        <c:lblOffset val="100"/>
        <c:noMultiLvlLbl val="0"/>
      </c:catAx>
      <c:valAx>
        <c:axId val="13625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24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[streaming_service_data.xlsx]Payment prefrence and regional !PivotTable22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baseline="0"/>
              <a:t>Subscription trend by country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prefrence and regional '!$I$3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'!$H$4:$H$11</c:f>
              <c:strCache>
                <c:ptCount val="7"/>
                <c:pt idx="0">
                  <c:v>Australia</c:v>
                </c:pt>
                <c:pt idx="1">
                  <c:v>Canada</c:v>
                </c:pt>
                <c:pt idx="2">
                  <c:v>France</c:v>
                </c:pt>
                <c:pt idx="3">
                  <c:v>Germany</c:v>
                </c:pt>
                <c:pt idx="4">
                  <c:v>India</c:v>
                </c:pt>
                <c:pt idx="5">
                  <c:v>UK</c:v>
                </c:pt>
                <c:pt idx="6">
                  <c:v>USA</c:v>
                </c:pt>
              </c:strCache>
            </c:strRef>
          </c:cat>
          <c:val>
            <c:numRef>
              <c:f>'Payment prefrence and regional '!$I$4:$I$11</c:f>
              <c:numCache>
                <c:formatCode>General</c:formatCode>
                <c:ptCount val="7"/>
                <c:pt idx="0">
                  <c:v>140</c:v>
                </c:pt>
                <c:pt idx="1">
                  <c:v>139</c:v>
                </c:pt>
                <c:pt idx="2">
                  <c:v>151</c:v>
                </c:pt>
                <c:pt idx="3">
                  <c:v>146</c:v>
                </c:pt>
                <c:pt idx="4">
                  <c:v>116</c:v>
                </c:pt>
                <c:pt idx="5">
                  <c:v>150</c:v>
                </c:pt>
                <c:pt idx="6">
                  <c:v>158</c:v>
                </c:pt>
              </c:numCache>
            </c:numRef>
          </c:val>
          <c:extLst>
            <c:ext xmlns:c16="http://schemas.microsoft.com/office/drawing/2014/chart" uri="{C3380CC4-5D6E-409C-BE32-E72D297353CC}">
              <c16:uniqueId val="{00000000-EB17-4531-A4A2-3145A8926ECC}"/>
            </c:ext>
          </c:extLst>
        </c:ser>
        <c:dLbls>
          <c:dLblPos val="outEnd"/>
          <c:showLegendKey val="0"/>
          <c:showVal val="1"/>
          <c:showCatName val="0"/>
          <c:showSerName val="0"/>
          <c:showPercent val="0"/>
          <c:showBubbleSize val="0"/>
        </c:dLbls>
        <c:gapWidth val="219"/>
        <c:overlap val="-27"/>
        <c:axId val="326327952"/>
        <c:axId val="326332752"/>
      </c:barChart>
      <c:catAx>
        <c:axId val="3263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6332752"/>
        <c:crosses val="autoZero"/>
        <c:auto val="1"/>
        <c:lblAlgn val="ctr"/>
        <c:lblOffset val="100"/>
        <c:noMultiLvlLbl val="0"/>
      </c:catAx>
      <c:valAx>
        <c:axId val="326332752"/>
        <c:scaling>
          <c:orientation val="minMax"/>
        </c:scaling>
        <c:delete val="1"/>
        <c:axPos val="l"/>
        <c:numFmt formatCode="General" sourceLinked="1"/>
        <c:majorTickMark val="none"/>
        <c:minorTickMark val="none"/>
        <c:tickLblPos val="nextTo"/>
        <c:crossAx val="3263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[streaming_service_data.xlsx]Payment prefrence and regional !PivotTable23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Prefred</a:t>
            </a:r>
            <a:r>
              <a:rPr lang="en-IN" b="1" baseline="0"/>
              <a:t> language in each country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prefrence and regional '!$L$3:$L$4</c:f>
              <c:strCache>
                <c:ptCount val="1"/>
                <c:pt idx="0">
                  <c:v>English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'!$L$5:$L$12</c:f>
              <c:numCache>
                <c:formatCode>General</c:formatCode>
                <c:ptCount val="7"/>
                <c:pt idx="0">
                  <c:v>28</c:v>
                </c:pt>
                <c:pt idx="1">
                  <c:v>22</c:v>
                </c:pt>
                <c:pt idx="2">
                  <c:v>30</c:v>
                </c:pt>
                <c:pt idx="3">
                  <c:v>21</c:v>
                </c:pt>
                <c:pt idx="4">
                  <c:v>21</c:v>
                </c:pt>
                <c:pt idx="5">
                  <c:v>22</c:v>
                </c:pt>
                <c:pt idx="6">
                  <c:v>24</c:v>
                </c:pt>
              </c:numCache>
            </c:numRef>
          </c:val>
          <c:extLst>
            <c:ext xmlns:c16="http://schemas.microsoft.com/office/drawing/2014/chart" uri="{C3380CC4-5D6E-409C-BE32-E72D297353CC}">
              <c16:uniqueId val="{00000000-1CE0-4010-94D4-80FD1B3F3514}"/>
            </c:ext>
          </c:extLst>
        </c:ser>
        <c:ser>
          <c:idx val="1"/>
          <c:order val="1"/>
          <c:tx>
            <c:strRef>
              <c:f>'Payment prefrence and regional '!$M$3:$M$4</c:f>
              <c:strCache>
                <c:ptCount val="1"/>
                <c:pt idx="0">
                  <c:v>French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'!$M$5:$M$12</c:f>
              <c:numCache>
                <c:formatCode>General</c:formatCode>
                <c:ptCount val="7"/>
                <c:pt idx="0">
                  <c:v>27</c:v>
                </c:pt>
                <c:pt idx="1">
                  <c:v>24</c:v>
                </c:pt>
                <c:pt idx="2">
                  <c:v>29</c:v>
                </c:pt>
                <c:pt idx="3">
                  <c:v>23</c:v>
                </c:pt>
                <c:pt idx="4">
                  <c:v>16</c:v>
                </c:pt>
                <c:pt idx="5">
                  <c:v>22</c:v>
                </c:pt>
                <c:pt idx="6">
                  <c:v>30</c:v>
                </c:pt>
              </c:numCache>
            </c:numRef>
          </c:val>
          <c:extLst>
            <c:ext xmlns:c16="http://schemas.microsoft.com/office/drawing/2014/chart" uri="{C3380CC4-5D6E-409C-BE32-E72D297353CC}">
              <c16:uniqueId val="{00000001-1CE0-4010-94D4-80FD1B3F3514}"/>
            </c:ext>
          </c:extLst>
        </c:ser>
        <c:ser>
          <c:idx val="2"/>
          <c:order val="2"/>
          <c:tx>
            <c:strRef>
              <c:f>'Payment prefrence and regional '!$N$3:$N$4</c:f>
              <c:strCache>
                <c:ptCount val="1"/>
                <c:pt idx="0">
                  <c:v>German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'!$N$5:$N$12</c:f>
              <c:numCache>
                <c:formatCode>General</c:formatCode>
                <c:ptCount val="7"/>
                <c:pt idx="0">
                  <c:v>18</c:v>
                </c:pt>
                <c:pt idx="1">
                  <c:v>25</c:v>
                </c:pt>
                <c:pt idx="2">
                  <c:v>25</c:v>
                </c:pt>
                <c:pt idx="3">
                  <c:v>24</c:v>
                </c:pt>
                <c:pt idx="4">
                  <c:v>20</c:v>
                </c:pt>
                <c:pt idx="5">
                  <c:v>26</c:v>
                </c:pt>
                <c:pt idx="6">
                  <c:v>29</c:v>
                </c:pt>
              </c:numCache>
            </c:numRef>
          </c:val>
          <c:extLst>
            <c:ext xmlns:c16="http://schemas.microsoft.com/office/drawing/2014/chart" uri="{C3380CC4-5D6E-409C-BE32-E72D297353CC}">
              <c16:uniqueId val="{00000002-1CE0-4010-94D4-80FD1B3F3514}"/>
            </c:ext>
          </c:extLst>
        </c:ser>
        <c:ser>
          <c:idx val="3"/>
          <c:order val="3"/>
          <c:tx>
            <c:strRef>
              <c:f>'Payment prefrence and regional '!$O$3:$O$4</c:f>
              <c:strCache>
                <c:ptCount val="1"/>
                <c:pt idx="0">
                  <c:v>Hindi</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'!$O$5:$O$12</c:f>
              <c:numCache>
                <c:formatCode>General</c:formatCode>
                <c:ptCount val="7"/>
                <c:pt idx="0">
                  <c:v>15</c:v>
                </c:pt>
                <c:pt idx="1">
                  <c:v>26</c:v>
                </c:pt>
                <c:pt idx="2">
                  <c:v>24</c:v>
                </c:pt>
                <c:pt idx="3">
                  <c:v>25</c:v>
                </c:pt>
                <c:pt idx="4">
                  <c:v>18</c:v>
                </c:pt>
                <c:pt idx="5">
                  <c:v>27</c:v>
                </c:pt>
                <c:pt idx="6">
                  <c:v>27</c:v>
                </c:pt>
              </c:numCache>
            </c:numRef>
          </c:val>
          <c:extLst>
            <c:ext xmlns:c16="http://schemas.microsoft.com/office/drawing/2014/chart" uri="{C3380CC4-5D6E-409C-BE32-E72D297353CC}">
              <c16:uniqueId val="{00000003-1CE0-4010-94D4-80FD1B3F3514}"/>
            </c:ext>
          </c:extLst>
        </c:ser>
        <c:ser>
          <c:idx val="4"/>
          <c:order val="4"/>
          <c:tx>
            <c:strRef>
              <c:f>'Payment prefrence and regional '!$P$3:$P$4</c:f>
              <c:strCache>
                <c:ptCount val="1"/>
                <c:pt idx="0">
                  <c:v>Mandarin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'!$P$5:$P$12</c:f>
              <c:numCache>
                <c:formatCode>General</c:formatCode>
                <c:ptCount val="7"/>
                <c:pt idx="0">
                  <c:v>30</c:v>
                </c:pt>
                <c:pt idx="1">
                  <c:v>28</c:v>
                </c:pt>
                <c:pt idx="2">
                  <c:v>21</c:v>
                </c:pt>
                <c:pt idx="3">
                  <c:v>24</c:v>
                </c:pt>
                <c:pt idx="4">
                  <c:v>21</c:v>
                </c:pt>
                <c:pt idx="5">
                  <c:v>25</c:v>
                </c:pt>
                <c:pt idx="6">
                  <c:v>30</c:v>
                </c:pt>
              </c:numCache>
            </c:numRef>
          </c:val>
          <c:extLst>
            <c:ext xmlns:c16="http://schemas.microsoft.com/office/drawing/2014/chart" uri="{C3380CC4-5D6E-409C-BE32-E72D297353CC}">
              <c16:uniqueId val="{00000004-1CE0-4010-94D4-80FD1B3F3514}"/>
            </c:ext>
          </c:extLst>
        </c:ser>
        <c:ser>
          <c:idx val="5"/>
          <c:order val="5"/>
          <c:tx>
            <c:strRef>
              <c:f>'Payment prefrence and regional '!$Q$3:$Q$4</c:f>
              <c:strCache>
                <c:ptCount val="1"/>
                <c:pt idx="0">
                  <c:v>Spanish</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'!$Q$5:$Q$12</c:f>
              <c:numCache>
                <c:formatCode>General</c:formatCode>
                <c:ptCount val="7"/>
                <c:pt idx="0">
                  <c:v>22</c:v>
                </c:pt>
                <c:pt idx="1">
                  <c:v>14</c:v>
                </c:pt>
                <c:pt idx="2">
                  <c:v>22</c:v>
                </c:pt>
                <c:pt idx="3">
                  <c:v>29</c:v>
                </c:pt>
                <c:pt idx="4">
                  <c:v>20</c:v>
                </c:pt>
                <c:pt idx="5">
                  <c:v>28</c:v>
                </c:pt>
                <c:pt idx="6">
                  <c:v>18</c:v>
                </c:pt>
              </c:numCache>
            </c:numRef>
          </c:val>
          <c:extLst>
            <c:ext xmlns:c16="http://schemas.microsoft.com/office/drawing/2014/chart" uri="{C3380CC4-5D6E-409C-BE32-E72D297353CC}">
              <c16:uniqueId val="{00000005-1CE0-4010-94D4-80FD1B3F3514}"/>
            </c:ext>
          </c:extLst>
        </c:ser>
        <c:dLbls>
          <c:dLblPos val="outEnd"/>
          <c:showLegendKey val="0"/>
          <c:showVal val="1"/>
          <c:showCatName val="0"/>
          <c:showSerName val="0"/>
          <c:showPercent val="0"/>
          <c:showBubbleSize val="0"/>
        </c:dLbls>
        <c:gapWidth val="182"/>
        <c:axId val="1606576256"/>
        <c:axId val="1606576736"/>
      </c:barChart>
      <c:catAx>
        <c:axId val="160657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6576736"/>
        <c:crosses val="autoZero"/>
        <c:auto val="1"/>
        <c:lblAlgn val="ctr"/>
        <c:lblOffset val="100"/>
        <c:noMultiLvlLbl val="0"/>
      </c:catAx>
      <c:valAx>
        <c:axId val="1606576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657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[streaming_service_data.xlsx]Subscription &amp; revenue anys.!PivotTable3</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User</a:t>
            </a:r>
            <a:r>
              <a:rPr lang="en-IN" b="1" baseline="0"/>
              <a:t> each year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'Subscription &amp; revenue anys.'!$B$3:$B$4</c:f>
              <c:strCache>
                <c:ptCount val="1"/>
                <c:pt idx="0">
                  <c:v>2022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'Subscription &amp; revenue anys.'!$A$5:$A$8</c:f>
              <c:strCache>
                <c:ptCount val="3"/>
                <c:pt idx="0">
                  <c:v>7.99</c:v>
                </c:pt>
                <c:pt idx="1">
                  <c:v>11.99</c:v>
                </c:pt>
                <c:pt idx="2">
                  <c:v>15.99</c:v>
                </c:pt>
              </c:strCache>
            </c:strRef>
          </c:cat>
          <c:val>
            <c:numRef>
              <c:f>'Subscription &amp; revenue anys.'!$B$5:$B$8</c:f>
              <c:numCache>
                <c:formatCode>0</c:formatCode>
                <c:ptCount val="3"/>
                <c:pt idx="0">
                  <c:v>4</c:v>
                </c:pt>
                <c:pt idx="1">
                  <c:v>8</c:v>
                </c:pt>
                <c:pt idx="2">
                  <c:v>6</c:v>
                </c:pt>
              </c:numCache>
            </c:numRef>
          </c:val>
          <c:extLst>
            <c:ext xmlns:c16="http://schemas.microsoft.com/office/drawing/2014/chart" uri="{C3380CC4-5D6E-409C-BE32-E72D297353CC}">
              <c16:uniqueId val="{00000000-624D-4828-B0AE-13964680F4B4}"/>
            </c:ext>
          </c:extLst>
        </c:ser>
        <c:ser>
          <c:idx val="1"/>
          <c:order val="1"/>
          <c:tx>
            <c:strRef>
              <c:f>'Subscription &amp; revenue anys.'!$C$3:$C$4</c:f>
              <c:strCache>
                <c:ptCount val="1"/>
                <c:pt idx="0">
                  <c:v>2023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'Subscription &amp; revenue anys.'!$A$5:$A$8</c:f>
              <c:strCache>
                <c:ptCount val="3"/>
                <c:pt idx="0">
                  <c:v>7.99</c:v>
                </c:pt>
                <c:pt idx="1">
                  <c:v>11.99</c:v>
                </c:pt>
                <c:pt idx="2">
                  <c:v>15.99</c:v>
                </c:pt>
              </c:strCache>
            </c:strRef>
          </c:cat>
          <c:val>
            <c:numRef>
              <c:f>'Subscription &amp; revenue anys.'!$C$5:$C$8</c:f>
              <c:numCache>
                <c:formatCode>0</c:formatCode>
                <c:ptCount val="3"/>
                <c:pt idx="0">
                  <c:v>173</c:v>
                </c:pt>
                <c:pt idx="1">
                  <c:v>165</c:v>
                </c:pt>
                <c:pt idx="2">
                  <c:v>173</c:v>
                </c:pt>
              </c:numCache>
            </c:numRef>
          </c:val>
          <c:extLst>
            <c:ext xmlns:c16="http://schemas.microsoft.com/office/drawing/2014/chart" uri="{C3380CC4-5D6E-409C-BE32-E72D297353CC}">
              <c16:uniqueId val="{0000000B-7D81-49B1-87A9-DD587EADD064}"/>
            </c:ext>
          </c:extLst>
        </c:ser>
        <c:ser>
          <c:idx val="2"/>
          <c:order val="2"/>
          <c:tx>
            <c:strRef>
              <c:f>'Subscription &amp; revenue anys.'!$D$3:$D$4</c:f>
              <c:strCache>
                <c:ptCount val="1"/>
                <c:pt idx="0">
                  <c:v>2024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'Subscription &amp; revenue anys.'!$A$5:$A$8</c:f>
              <c:strCache>
                <c:ptCount val="3"/>
                <c:pt idx="0">
                  <c:v>7.99</c:v>
                </c:pt>
                <c:pt idx="1">
                  <c:v>11.99</c:v>
                </c:pt>
                <c:pt idx="2">
                  <c:v>15.99</c:v>
                </c:pt>
              </c:strCache>
            </c:strRef>
          </c:cat>
          <c:val>
            <c:numRef>
              <c:f>'Subscription &amp; revenue anys.'!$D$5:$D$8</c:f>
              <c:numCache>
                <c:formatCode>0</c:formatCode>
                <c:ptCount val="3"/>
                <c:pt idx="0">
                  <c:v>146</c:v>
                </c:pt>
                <c:pt idx="1">
                  <c:v>172</c:v>
                </c:pt>
                <c:pt idx="2">
                  <c:v>153</c:v>
                </c:pt>
              </c:numCache>
            </c:numRef>
          </c:val>
          <c:extLst>
            <c:ext xmlns:c16="http://schemas.microsoft.com/office/drawing/2014/chart" uri="{C3380CC4-5D6E-409C-BE32-E72D297353CC}">
              <c16:uniqueId val="{0000000C-7D81-49B1-87A9-DD587EADD064}"/>
            </c:ext>
          </c:extLst>
        </c:ser>
        <c:dLbls>
          <c:dLblPos val="outEnd"/>
          <c:showLegendKey val="0"/>
          <c:showVal val="1"/>
          <c:showCatName val="0"/>
          <c:showSerName val="0"/>
          <c:showPercent val="0"/>
          <c:showBubbleSize val="0"/>
        </c:dLbls>
        <c:gapWidth val="219"/>
        <c:overlap val="-27"/>
        <c:axId val="1830805632"/>
        <c:axId val="1830813792"/>
      </c:barChart>
      <c:catAx>
        <c:axId val="183080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0813792"/>
        <c:crosses val="autoZero"/>
        <c:auto val="1"/>
        <c:lblAlgn val="ctr"/>
        <c:lblOffset val="100"/>
        <c:noMultiLvlLbl val="0"/>
      </c:catAx>
      <c:valAx>
        <c:axId val="1830813792"/>
        <c:scaling>
          <c:orientation val="minMax"/>
        </c:scaling>
        <c:delete val="1"/>
        <c:axPos val="l"/>
        <c:numFmt formatCode="0" sourceLinked="1"/>
        <c:majorTickMark val="none"/>
        <c:minorTickMark val="none"/>
        <c:tickLblPos val="nextTo"/>
        <c:crossAx val="183080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[streaming_service_data.xlsx]Subscription &amp; revenue anys.!PivotTable2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a:t>
            </a:r>
            <a:r>
              <a:rPr lang="en-US" baseline="0"/>
              <a:t> each subscription plan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'Subscription &amp; revenue anys.'!$I$3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'Subscription &amp; revenue anys.'!$H$4:$H$7</c:f>
              <c:strCache>
                <c:ptCount val="3"/>
                <c:pt idx="0">
                  <c:v>7.99</c:v>
                </c:pt>
                <c:pt idx="1">
                  <c:v>11.99</c:v>
                </c:pt>
                <c:pt idx="2">
                  <c:v>15.99</c:v>
                </c:pt>
              </c:strCache>
            </c:strRef>
          </c:cat>
          <c:val>
            <c:numRef>
              <c:f>'Subscription &amp; revenue anys.'!$I$4:$I$7</c:f>
              <c:numCache>
                <c:formatCode>0</c:formatCode>
                <c:ptCount val="3"/>
                <c:pt idx="0">
                  <c:v>29291.340000000004</c:v>
                </c:pt>
                <c:pt idx="1">
                  <c:v>45562.000000000029</c:v>
                </c:pt>
                <c:pt idx="2">
                  <c:v>59370.869999999995</c:v>
                </c:pt>
              </c:numCache>
            </c:numRef>
          </c:val>
          <c:extLst>
            <c:ext xmlns:c16="http://schemas.microsoft.com/office/drawing/2014/chart" uri="{C3380CC4-5D6E-409C-BE32-E72D297353CC}">
              <c16:uniqueId val="{00000000-3282-4513-888E-B057C0E7BE72}"/>
            </c:ext>
          </c:extLst>
        </c:ser>
        <c:dLbls>
          <c:dLblPos val="outEnd"/>
          <c:showLegendKey val="0"/>
          <c:showVal val="1"/>
          <c:showCatName val="0"/>
          <c:showSerName val="0"/>
          <c:showPercent val="0"/>
          <c:showBubbleSize val="0"/>
        </c:dLbls>
        <c:gapWidth val="219"/>
        <c:overlap val="-27"/>
        <c:axId val="1830833952"/>
        <c:axId val="1830834912"/>
      </c:barChart>
      <c:catAx>
        <c:axId val="183083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0834912"/>
        <c:crosses val="autoZero"/>
        <c:auto val="1"/>
        <c:lblAlgn val="ctr"/>
        <c:lblOffset val="100"/>
        <c:noMultiLvlLbl val="0"/>
      </c:catAx>
      <c:valAx>
        <c:axId val="1830834912"/>
        <c:scaling>
          <c:orientation val="minMax"/>
        </c:scaling>
        <c:delete val="1"/>
        <c:axPos val="l"/>
        <c:numFmt formatCode="0" sourceLinked="1"/>
        <c:majorTickMark val="none"/>
        <c:minorTickMark val="none"/>
        <c:tickLblPos val="nextTo"/>
        <c:crossAx val="183083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[streaming_service_data.xlsx]User engagement matrix!PivotTable6</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Movie</a:t>
            </a:r>
            <a:r>
              <a:rPr lang="en-IN" b="1" baseline="0"/>
              <a:t> watched vs series watches</a:t>
            </a:r>
            <a:endParaRPr lang="en-IN" b="1"/>
          </a:p>
        </c:rich>
      </c:tx>
      <c:layout>
        <c:manualLayout>
          <c:xMode val="edge"/>
          <c:yMode val="edge"/>
          <c:x val="0.12672222222222224"/>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matrix'!$B$3</c:f>
              <c:strCache>
                <c:ptCount val="1"/>
                <c:pt idx="0">
                  <c:v>Sum of Total_Movies_Watched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matrix'!$A$4:$A$5</c:f>
              <c:strCache>
                <c:ptCount val="1"/>
                <c:pt idx="0">
                  <c:v>15.99</c:v>
                </c:pt>
              </c:strCache>
            </c:strRef>
          </c:cat>
          <c:val>
            <c:numRef>
              <c:f>'User engagement matrix'!$B$4:$B$5</c:f>
              <c:numCache>
                <c:formatCode>General</c:formatCode>
                <c:ptCount val="1"/>
                <c:pt idx="0">
                  <c:v>170278</c:v>
                </c:pt>
              </c:numCache>
            </c:numRef>
          </c:val>
          <c:extLst>
            <c:ext xmlns:c16="http://schemas.microsoft.com/office/drawing/2014/chart" uri="{C3380CC4-5D6E-409C-BE32-E72D297353CC}">
              <c16:uniqueId val="{00000000-FDB4-4DB8-8D0E-76F0D0992879}"/>
            </c:ext>
          </c:extLst>
        </c:ser>
        <c:ser>
          <c:idx val="1"/>
          <c:order val="1"/>
          <c:tx>
            <c:strRef>
              <c:f>'User engagement matrix'!$C$3</c:f>
              <c:strCache>
                <c:ptCount val="1"/>
                <c:pt idx="0">
                  <c:v>Sum of Total_Series_Watched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matrix'!$A$4:$A$5</c:f>
              <c:strCache>
                <c:ptCount val="1"/>
                <c:pt idx="0">
                  <c:v>15.99</c:v>
                </c:pt>
              </c:strCache>
            </c:strRef>
          </c:cat>
          <c:val>
            <c:numRef>
              <c:f>'User engagement matrix'!$C$4:$C$5</c:f>
              <c:numCache>
                <c:formatCode>General</c:formatCode>
                <c:ptCount val="1"/>
                <c:pt idx="0">
                  <c:v>33766</c:v>
                </c:pt>
              </c:numCache>
            </c:numRef>
          </c:val>
          <c:extLst>
            <c:ext xmlns:c16="http://schemas.microsoft.com/office/drawing/2014/chart" uri="{C3380CC4-5D6E-409C-BE32-E72D297353CC}">
              <c16:uniqueId val="{00000001-FDB4-4DB8-8D0E-76F0D0992879}"/>
            </c:ext>
          </c:extLst>
        </c:ser>
        <c:dLbls>
          <c:dLblPos val="outEnd"/>
          <c:showLegendKey val="0"/>
          <c:showVal val="1"/>
          <c:showCatName val="0"/>
          <c:showSerName val="0"/>
          <c:showPercent val="0"/>
          <c:showBubbleSize val="0"/>
        </c:dLbls>
        <c:gapWidth val="219"/>
        <c:overlap val="-27"/>
        <c:axId val="1706844720"/>
        <c:axId val="1706844240"/>
      </c:barChart>
      <c:catAx>
        <c:axId val="170684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6844240"/>
        <c:crosses val="autoZero"/>
        <c:auto val="1"/>
        <c:lblAlgn val="ctr"/>
        <c:lblOffset val="100"/>
        <c:noMultiLvlLbl val="0"/>
      </c:catAx>
      <c:valAx>
        <c:axId val="1706844240"/>
        <c:scaling>
          <c:orientation val="minMax"/>
        </c:scaling>
        <c:delete val="1"/>
        <c:axPos val="l"/>
        <c:numFmt formatCode="General" sourceLinked="1"/>
        <c:majorTickMark val="none"/>
        <c:minorTickMark val="none"/>
        <c:tickLblPos val="nextTo"/>
        <c:crossAx val="1706844720"/>
        <c:crosses val="autoZero"/>
        <c:crossBetween val="between"/>
      </c:valAx>
      <c:spPr>
        <a:noFill/>
        <a:ln>
          <a:noFill/>
        </a:ln>
        <a:effectLst/>
      </c:spPr>
    </c:plotArea>
    <c:legend>
      <c:legendPos val="r"/>
      <c:layout>
        <c:manualLayout>
          <c:xMode val="edge"/>
          <c:yMode val="edge"/>
          <c:x val="0.65851728031202805"/>
          <c:y val="0.3145054827330257"/>
          <c:w val="0.2861443569553806"/>
          <c:h val="0.25789479440069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[streaming_service_data.xlsx]User engagement matrix!PivotTable7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watch hours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0.15782407407407409"/>
          <c:w val="0.93888888888888888"/>
          <c:h val="0.72088764946048411"/>
        </c:manualLayout>
      </c:layout>
      <c:barChart>
        <c:barDir val="col"/>
        <c:grouping val="stacked"/>
        <c:varyColors val="0"/>
        <c:ser>
          <c:idx val="0"/>
          <c:order val="0"/>
          <c:tx>
            <c:strRef>
              <c:f>'User engagement matrix'!$G$3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engagement matrix'!$F$4:$F$5</c:f>
              <c:strCache>
                <c:ptCount val="1"/>
                <c:pt idx="0">
                  <c:v>15.99</c:v>
                </c:pt>
              </c:strCache>
            </c:strRef>
          </c:cat>
          <c:val>
            <c:numRef>
              <c:f>'User engagement matrix'!$G$4:$G$5</c:f>
              <c:numCache>
                <c:formatCode>0</c:formatCode>
                <c:ptCount val="1"/>
                <c:pt idx="0">
                  <c:v>251.86746987951807</c:v>
                </c:pt>
              </c:numCache>
            </c:numRef>
          </c:val>
          <c:extLst>
            <c:ext xmlns:c16="http://schemas.microsoft.com/office/drawing/2014/chart" uri="{C3380CC4-5D6E-409C-BE32-E72D297353CC}">
              <c16:uniqueId val="{00000000-23A2-4047-9C31-64298C767B28}"/>
            </c:ext>
          </c:extLst>
        </c:ser>
        <c:dLbls>
          <c:dLblPos val="ctr"/>
          <c:showLegendKey val="0"/>
          <c:showVal val="1"/>
          <c:showCatName val="0"/>
          <c:showSerName val="0"/>
          <c:showPercent val="0"/>
          <c:showBubbleSize val="0"/>
        </c:dLbls>
        <c:gapWidth val="150"/>
        <c:overlap val="100"/>
        <c:axId val="136221952"/>
        <c:axId val="136229152"/>
      </c:barChart>
      <c:catAx>
        <c:axId val="13622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229152"/>
        <c:crosses val="autoZero"/>
        <c:auto val="1"/>
        <c:lblAlgn val="ctr"/>
        <c:lblOffset val="100"/>
        <c:noMultiLvlLbl val="0"/>
      </c:catAx>
      <c:valAx>
        <c:axId val="136229152"/>
        <c:scaling>
          <c:orientation val="minMax"/>
        </c:scaling>
        <c:delete val="1"/>
        <c:axPos val="l"/>
        <c:numFmt formatCode="0" sourceLinked="1"/>
        <c:majorTickMark val="none"/>
        <c:minorTickMark val="none"/>
        <c:tickLblPos val="nextTo"/>
        <c:crossAx val="13622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[streaming_service_data.xlsx]Demographic &amp; behavioral!PivotTable10</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User</a:t>
            </a:r>
            <a:r>
              <a:rPr lang="en-US" b="1" baseline="0"/>
              <a:t> per age group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 &amp; behavioral'!$A$4:$A$9</c:f>
              <c:strCache>
                <c:ptCount val="5"/>
                <c:pt idx="0">
                  <c:v>18-24</c:v>
                </c:pt>
                <c:pt idx="1">
                  <c:v>25-34</c:v>
                </c:pt>
                <c:pt idx="2">
                  <c:v>35-44</c:v>
                </c:pt>
                <c:pt idx="3">
                  <c:v>45-54</c:v>
                </c:pt>
                <c:pt idx="4">
                  <c:v>55+</c:v>
                </c:pt>
              </c:strCache>
            </c:strRef>
          </c:cat>
          <c:val>
            <c:numRef>
              <c:f>'Demographic &amp; behavioral'!$B$4:$B$9</c:f>
              <c:numCache>
                <c:formatCode>General</c:formatCode>
                <c:ptCount val="5"/>
                <c:pt idx="0">
                  <c:v>23</c:v>
                </c:pt>
                <c:pt idx="1">
                  <c:v>36</c:v>
                </c:pt>
                <c:pt idx="2">
                  <c:v>34</c:v>
                </c:pt>
                <c:pt idx="3">
                  <c:v>32</c:v>
                </c:pt>
                <c:pt idx="4">
                  <c:v>32</c:v>
                </c:pt>
              </c:numCache>
            </c:numRef>
          </c:val>
          <c:extLst>
            <c:ext xmlns:c16="http://schemas.microsoft.com/office/drawing/2014/chart" uri="{C3380CC4-5D6E-409C-BE32-E72D297353CC}">
              <c16:uniqueId val="{00000000-4EC8-4203-B057-9209938484AF}"/>
            </c:ext>
          </c:extLst>
        </c:ser>
        <c:dLbls>
          <c:dLblPos val="outEnd"/>
          <c:showLegendKey val="0"/>
          <c:showVal val="1"/>
          <c:showCatName val="0"/>
          <c:showSerName val="0"/>
          <c:showPercent val="0"/>
          <c:showBubbleSize val="0"/>
        </c:dLbls>
        <c:gapWidth val="219"/>
        <c:overlap val="-27"/>
        <c:axId val="218279904"/>
        <c:axId val="218277024"/>
      </c:barChart>
      <c:catAx>
        <c:axId val="2182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277024"/>
        <c:crosses val="autoZero"/>
        <c:auto val="1"/>
        <c:lblAlgn val="ctr"/>
        <c:lblOffset val="100"/>
        <c:noMultiLvlLbl val="0"/>
      </c:catAx>
      <c:valAx>
        <c:axId val="218277024"/>
        <c:scaling>
          <c:orientation val="minMax"/>
        </c:scaling>
        <c:delete val="1"/>
        <c:axPos val="l"/>
        <c:numFmt formatCode="General" sourceLinked="1"/>
        <c:majorTickMark val="none"/>
        <c:minorTickMark val="none"/>
        <c:tickLblPos val="nextTo"/>
        <c:crossAx val="21827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[streaming_service_data.xlsx]Demographic &amp; behavioral!PivotTable11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behavioral'!$E$3:$E$4</c:f>
              <c:strCache>
                <c:ptCount val="1"/>
                <c:pt idx="0">
                  <c:v>Desktop</c:v>
                </c:pt>
              </c:strCache>
            </c:strRef>
          </c:tx>
          <c:spPr>
            <a:solidFill>
              <a:schemeClr val="accent1"/>
            </a:solidFill>
            <a:ln>
              <a:noFill/>
            </a:ln>
            <a:effectLst/>
          </c:spPr>
          <c:invertIfNegative val="0"/>
          <c:cat>
            <c:strRef>
              <c:f>'Demographic &amp; behavioral'!$D$5:$D$10</c:f>
              <c:strCache>
                <c:ptCount val="5"/>
                <c:pt idx="0">
                  <c:v>18-24</c:v>
                </c:pt>
                <c:pt idx="1">
                  <c:v>25-34</c:v>
                </c:pt>
                <c:pt idx="2">
                  <c:v>35-44</c:v>
                </c:pt>
                <c:pt idx="3">
                  <c:v>45-54</c:v>
                </c:pt>
                <c:pt idx="4">
                  <c:v>55+</c:v>
                </c:pt>
              </c:strCache>
            </c:strRef>
          </c:cat>
          <c:val>
            <c:numRef>
              <c:f>'Demographic &amp; behavioral'!$E$5:$E$10</c:f>
              <c:numCache>
                <c:formatCode>General</c:formatCode>
                <c:ptCount val="5"/>
                <c:pt idx="0">
                  <c:v>13</c:v>
                </c:pt>
                <c:pt idx="1">
                  <c:v>19</c:v>
                </c:pt>
                <c:pt idx="2">
                  <c:v>15</c:v>
                </c:pt>
                <c:pt idx="3">
                  <c:v>29</c:v>
                </c:pt>
                <c:pt idx="4">
                  <c:v>19</c:v>
                </c:pt>
              </c:numCache>
            </c:numRef>
          </c:val>
          <c:extLst>
            <c:ext xmlns:c16="http://schemas.microsoft.com/office/drawing/2014/chart" uri="{C3380CC4-5D6E-409C-BE32-E72D297353CC}">
              <c16:uniqueId val="{00000000-AEDD-449C-81FC-21EB14316E2E}"/>
            </c:ext>
          </c:extLst>
        </c:ser>
        <c:ser>
          <c:idx val="1"/>
          <c:order val="1"/>
          <c:tx>
            <c:strRef>
              <c:f>'Demographic &amp; behavioral'!$F$3:$F$4</c:f>
              <c:strCache>
                <c:ptCount val="1"/>
                <c:pt idx="0">
                  <c:v>Laptop</c:v>
                </c:pt>
              </c:strCache>
            </c:strRef>
          </c:tx>
          <c:spPr>
            <a:solidFill>
              <a:schemeClr val="accent2"/>
            </a:solidFill>
            <a:ln>
              <a:noFill/>
            </a:ln>
            <a:effectLst/>
          </c:spPr>
          <c:invertIfNegative val="0"/>
          <c:cat>
            <c:strRef>
              <c:f>'Demographic &amp; behavioral'!$D$5:$D$10</c:f>
              <c:strCache>
                <c:ptCount val="5"/>
                <c:pt idx="0">
                  <c:v>18-24</c:v>
                </c:pt>
                <c:pt idx="1">
                  <c:v>25-34</c:v>
                </c:pt>
                <c:pt idx="2">
                  <c:v>35-44</c:v>
                </c:pt>
                <c:pt idx="3">
                  <c:v>45-54</c:v>
                </c:pt>
                <c:pt idx="4">
                  <c:v>55+</c:v>
                </c:pt>
              </c:strCache>
            </c:strRef>
          </c:cat>
          <c:val>
            <c:numRef>
              <c:f>'Demographic &amp; behavioral'!$F$5:$F$10</c:f>
              <c:numCache>
                <c:formatCode>General</c:formatCode>
                <c:ptCount val="5"/>
                <c:pt idx="0">
                  <c:v>17</c:v>
                </c:pt>
                <c:pt idx="1">
                  <c:v>27</c:v>
                </c:pt>
                <c:pt idx="2">
                  <c:v>13</c:v>
                </c:pt>
                <c:pt idx="3">
                  <c:v>7</c:v>
                </c:pt>
                <c:pt idx="4">
                  <c:v>15</c:v>
                </c:pt>
              </c:numCache>
            </c:numRef>
          </c:val>
          <c:extLst>
            <c:ext xmlns:c16="http://schemas.microsoft.com/office/drawing/2014/chart" uri="{C3380CC4-5D6E-409C-BE32-E72D297353CC}">
              <c16:uniqueId val="{00000001-AEDD-449C-81FC-21EB14316E2E}"/>
            </c:ext>
          </c:extLst>
        </c:ser>
        <c:ser>
          <c:idx val="2"/>
          <c:order val="2"/>
          <c:tx>
            <c:strRef>
              <c:f>'Demographic &amp; behavioral'!$G$3:$G$4</c:f>
              <c:strCache>
                <c:ptCount val="1"/>
                <c:pt idx="0">
                  <c:v>Smart TV</c:v>
                </c:pt>
              </c:strCache>
            </c:strRef>
          </c:tx>
          <c:spPr>
            <a:solidFill>
              <a:schemeClr val="accent3"/>
            </a:solidFill>
            <a:ln>
              <a:noFill/>
            </a:ln>
            <a:effectLst/>
          </c:spPr>
          <c:invertIfNegative val="0"/>
          <c:cat>
            <c:strRef>
              <c:f>'Demographic &amp; behavioral'!$D$5:$D$10</c:f>
              <c:strCache>
                <c:ptCount val="5"/>
                <c:pt idx="0">
                  <c:v>18-24</c:v>
                </c:pt>
                <c:pt idx="1">
                  <c:v>25-34</c:v>
                </c:pt>
                <c:pt idx="2">
                  <c:v>35-44</c:v>
                </c:pt>
                <c:pt idx="3">
                  <c:v>45-54</c:v>
                </c:pt>
                <c:pt idx="4">
                  <c:v>55+</c:v>
                </c:pt>
              </c:strCache>
            </c:strRef>
          </c:cat>
          <c:val>
            <c:numRef>
              <c:f>'Demographic &amp; behavioral'!$G$5:$G$10</c:f>
              <c:numCache>
                <c:formatCode>General</c:formatCode>
                <c:ptCount val="5"/>
                <c:pt idx="0">
                  <c:v>8</c:v>
                </c:pt>
                <c:pt idx="1">
                  <c:v>25</c:v>
                </c:pt>
                <c:pt idx="2">
                  <c:v>17</c:v>
                </c:pt>
                <c:pt idx="3">
                  <c:v>20</c:v>
                </c:pt>
                <c:pt idx="4">
                  <c:v>19</c:v>
                </c:pt>
              </c:numCache>
            </c:numRef>
          </c:val>
          <c:extLst>
            <c:ext xmlns:c16="http://schemas.microsoft.com/office/drawing/2014/chart" uri="{C3380CC4-5D6E-409C-BE32-E72D297353CC}">
              <c16:uniqueId val="{00000002-AEDD-449C-81FC-21EB14316E2E}"/>
            </c:ext>
          </c:extLst>
        </c:ser>
        <c:ser>
          <c:idx val="3"/>
          <c:order val="3"/>
          <c:tx>
            <c:strRef>
              <c:f>'Demographic &amp; behavioral'!$H$3:$H$4</c:f>
              <c:strCache>
                <c:ptCount val="1"/>
                <c:pt idx="0">
                  <c:v>Smartphone</c:v>
                </c:pt>
              </c:strCache>
            </c:strRef>
          </c:tx>
          <c:spPr>
            <a:solidFill>
              <a:schemeClr val="accent4"/>
            </a:solidFill>
            <a:ln>
              <a:noFill/>
            </a:ln>
            <a:effectLst/>
          </c:spPr>
          <c:invertIfNegative val="0"/>
          <c:cat>
            <c:strRef>
              <c:f>'Demographic &amp; behavioral'!$D$5:$D$10</c:f>
              <c:strCache>
                <c:ptCount val="5"/>
                <c:pt idx="0">
                  <c:v>18-24</c:v>
                </c:pt>
                <c:pt idx="1">
                  <c:v>25-34</c:v>
                </c:pt>
                <c:pt idx="2">
                  <c:v>35-44</c:v>
                </c:pt>
                <c:pt idx="3">
                  <c:v>45-54</c:v>
                </c:pt>
                <c:pt idx="4">
                  <c:v>55+</c:v>
                </c:pt>
              </c:strCache>
            </c:strRef>
          </c:cat>
          <c:val>
            <c:numRef>
              <c:f>'Demographic &amp; behavioral'!$H$5:$H$10</c:f>
              <c:numCache>
                <c:formatCode>General</c:formatCode>
                <c:ptCount val="5"/>
                <c:pt idx="0">
                  <c:v>18</c:v>
                </c:pt>
                <c:pt idx="1">
                  <c:v>17</c:v>
                </c:pt>
                <c:pt idx="2">
                  <c:v>28</c:v>
                </c:pt>
                <c:pt idx="3">
                  <c:v>23</c:v>
                </c:pt>
                <c:pt idx="4">
                  <c:v>33</c:v>
                </c:pt>
              </c:numCache>
            </c:numRef>
          </c:val>
          <c:extLst>
            <c:ext xmlns:c16="http://schemas.microsoft.com/office/drawing/2014/chart" uri="{C3380CC4-5D6E-409C-BE32-E72D297353CC}">
              <c16:uniqueId val="{00000003-AEDD-449C-81FC-21EB14316E2E}"/>
            </c:ext>
          </c:extLst>
        </c:ser>
        <c:ser>
          <c:idx val="4"/>
          <c:order val="4"/>
          <c:tx>
            <c:strRef>
              <c:f>'Demographic &amp; behavioral'!$I$3:$I$4</c:f>
              <c:strCache>
                <c:ptCount val="1"/>
                <c:pt idx="0">
                  <c:v>Tablet</c:v>
                </c:pt>
              </c:strCache>
            </c:strRef>
          </c:tx>
          <c:spPr>
            <a:solidFill>
              <a:schemeClr val="accent5"/>
            </a:solidFill>
            <a:ln>
              <a:noFill/>
            </a:ln>
            <a:effectLst/>
          </c:spPr>
          <c:invertIfNegative val="0"/>
          <c:cat>
            <c:strRef>
              <c:f>'Demographic &amp; behavioral'!$D$5:$D$10</c:f>
              <c:strCache>
                <c:ptCount val="5"/>
                <c:pt idx="0">
                  <c:v>18-24</c:v>
                </c:pt>
                <c:pt idx="1">
                  <c:v>25-34</c:v>
                </c:pt>
                <c:pt idx="2">
                  <c:v>35-44</c:v>
                </c:pt>
                <c:pt idx="3">
                  <c:v>45-54</c:v>
                </c:pt>
                <c:pt idx="4">
                  <c:v>55+</c:v>
                </c:pt>
              </c:strCache>
            </c:strRef>
          </c:cat>
          <c:val>
            <c:numRef>
              <c:f>'Demographic &amp; behavioral'!$I$5:$I$10</c:f>
              <c:numCache>
                <c:formatCode>General</c:formatCode>
                <c:ptCount val="5"/>
                <c:pt idx="0">
                  <c:v>18</c:v>
                </c:pt>
                <c:pt idx="1">
                  <c:v>37</c:v>
                </c:pt>
                <c:pt idx="2">
                  <c:v>30</c:v>
                </c:pt>
                <c:pt idx="3">
                  <c:v>17</c:v>
                </c:pt>
                <c:pt idx="4">
                  <c:v>9</c:v>
                </c:pt>
              </c:numCache>
            </c:numRef>
          </c:val>
          <c:extLst>
            <c:ext xmlns:c16="http://schemas.microsoft.com/office/drawing/2014/chart" uri="{C3380CC4-5D6E-409C-BE32-E72D297353CC}">
              <c16:uniqueId val="{00000004-AEDD-449C-81FC-21EB14316E2E}"/>
            </c:ext>
          </c:extLst>
        </c:ser>
        <c:dLbls>
          <c:showLegendKey val="0"/>
          <c:showVal val="0"/>
          <c:showCatName val="0"/>
          <c:showSerName val="0"/>
          <c:showPercent val="0"/>
          <c:showBubbleSize val="0"/>
        </c:dLbls>
        <c:gapWidth val="219"/>
        <c:overlap val="-27"/>
        <c:axId val="141438384"/>
        <c:axId val="141438864"/>
      </c:barChart>
      <c:catAx>
        <c:axId val="14143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438864"/>
        <c:crosses val="autoZero"/>
        <c:auto val="1"/>
        <c:lblAlgn val="ctr"/>
        <c:lblOffset val="100"/>
        <c:noMultiLvlLbl val="0"/>
      </c:catAx>
      <c:valAx>
        <c:axId val="14143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43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[streaming_service_data.xlsx]Demographic &amp; behavioral!PivotTable14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 &amp; behavioral'!$M$3:$M$4</c:f>
              <c:strCache>
                <c:ptCount val="1"/>
                <c:pt idx="0">
                  <c:v>Afternoon</c:v>
                </c:pt>
              </c:strCache>
            </c:strRef>
          </c:tx>
          <c:spPr>
            <a:solidFill>
              <a:schemeClr val="accent1"/>
            </a:solidFill>
            <a:ln>
              <a:noFill/>
            </a:ln>
            <a:effectLst/>
          </c:spPr>
          <c:invertIfNegative val="0"/>
          <c:cat>
            <c:strRef>
              <c:f>'Demographic &amp; behavioral'!$L$5:$L$10</c:f>
              <c:strCache>
                <c:ptCount val="5"/>
                <c:pt idx="0">
                  <c:v>18-24</c:v>
                </c:pt>
                <c:pt idx="1">
                  <c:v>25-34</c:v>
                </c:pt>
                <c:pt idx="2">
                  <c:v>35-44</c:v>
                </c:pt>
                <c:pt idx="3">
                  <c:v>45-54</c:v>
                </c:pt>
                <c:pt idx="4">
                  <c:v>55+</c:v>
                </c:pt>
              </c:strCache>
            </c:strRef>
          </c:cat>
          <c:val>
            <c:numRef>
              <c:f>'Demographic &amp; behavioral'!$M$5:$M$10</c:f>
              <c:numCache>
                <c:formatCode>General</c:formatCode>
                <c:ptCount val="5"/>
                <c:pt idx="0">
                  <c:v>8</c:v>
                </c:pt>
                <c:pt idx="1">
                  <c:v>11</c:v>
                </c:pt>
                <c:pt idx="2">
                  <c:v>6</c:v>
                </c:pt>
                <c:pt idx="3">
                  <c:v>12</c:v>
                </c:pt>
                <c:pt idx="4">
                  <c:v>9</c:v>
                </c:pt>
              </c:numCache>
            </c:numRef>
          </c:val>
          <c:extLst>
            <c:ext xmlns:c16="http://schemas.microsoft.com/office/drawing/2014/chart" uri="{C3380CC4-5D6E-409C-BE32-E72D297353CC}">
              <c16:uniqueId val="{00000000-F9AD-4E20-AF3D-248696273EC3}"/>
            </c:ext>
          </c:extLst>
        </c:ser>
        <c:ser>
          <c:idx val="1"/>
          <c:order val="1"/>
          <c:tx>
            <c:strRef>
              <c:f>'Demographic &amp; behavioral'!$N$3:$N$4</c:f>
              <c:strCache>
                <c:ptCount val="1"/>
                <c:pt idx="0">
                  <c:v>Evening</c:v>
                </c:pt>
              </c:strCache>
            </c:strRef>
          </c:tx>
          <c:spPr>
            <a:solidFill>
              <a:schemeClr val="accent2"/>
            </a:solidFill>
            <a:ln>
              <a:noFill/>
            </a:ln>
            <a:effectLst/>
          </c:spPr>
          <c:invertIfNegative val="0"/>
          <c:cat>
            <c:strRef>
              <c:f>'Demographic &amp; behavioral'!$L$5:$L$10</c:f>
              <c:strCache>
                <c:ptCount val="5"/>
                <c:pt idx="0">
                  <c:v>18-24</c:v>
                </c:pt>
                <c:pt idx="1">
                  <c:v>25-34</c:v>
                </c:pt>
                <c:pt idx="2">
                  <c:v>35-44</c:v>
                </c:pt>
                <c:pt idx="3">
                  <c:v>45-54</c:v>
                </c:pt>
                <c:pt idx="4">
                  <c:v>55+</c:v>
                </c:pt>
              </c:strCache>
            </c:strRef>
          </c:cat>
          <c:val>
            <c:numRef>
              <c:f>'Demographic &amp; behavioral'!$N$5:$N$10</c:f>
              <c:numCache>
                <c:formatCode>General</c:formatCode>
                <c:ptCount val="5"/>
                <c:pt idx="0">
                  <c:v>5</c:v>
                </c:pt>
                <c:pt idx="1">
                  <c:v>11</c:v>
                </c:pt>
                <c:pt idx="2">
                  <c:v>12</c:v>
                </c:pt>
                <c:pt idx="3">
                  <c:v>7</c:v>
                </c:pt>
                <c:pt idx="4">
                  <c:v>10</c:v>
                </c:pt>
              </c:numCache>
            </c:numRef>
          </c:val>
          <c:extLst>
            <c:ext xmlns:c16="http://schemas.microsoft.com/office/drawing/2014/chart" uri="{C3380CC4-5D6E-409C-BE32-E72D297353CC}">
              <c16:uniqueId val="{00000001-F9AD-4E20-AF3D-248696273EC3}"/>
            </c:ext>
          </c:extLst>
        </c:ser>
        <c:ser>
          <c:idx val="2"/>
          <c:order val="2"/>
          <c:tx>
            <c:strRef>
              <c:f>'Demographic &amp; behavioral'!$O$3:$O$4</c:f>
              <c:strCache>
                <c:ptCount val="1"/>
                <c:pt idx="0">
                  <c:v>Late Night</c:v>
                </c:pt>
              </c:strCache>
            </c:strRef>
          </c:tx>
          <c:spPr>
            <a:solidFill>
              <a:schemeClr val="accent3"/>
            </a:solidFill>
            <a:ln>
              <a:noFill/>
            </a:ln>
            <a:effectLst/>
          </c:spPr>
          <c:invertIfNegative val="0"/>
          <c:cat>
            <c:strRef>
              <c:f>'Demographic &amp; behavioral'!$L$5:$L$10</c:f>
              <c:strCache>
                <c:ptCount val="5"/>
                <c:pt idx="0">
                  <c:v>18-24</c:v>
                </c:pt>
                <c:pt idx="1">
                  <c:v>25-34</c:v>
                </c:pt>
                <c:pt idx="2">
                  <c:v>35-44</c:v>
                </c:pt>
                <c:pt idx="3">
                  <c:v>45-54</c:v>
                </c:pt>
                <c:pt idx="4">
                  <c:v>55+</c:v>
                </c:pt>
              </c:strCache>
            </c:strRef>
          </c:cat>
          <c:val>
            <c:numRef>
              <c:f>'Demographic &amp; behavioral'!$O$5:$O$10</c:f>
              <c:numCache>
                <c:formatCode>General</c:formatCode>
                <c:ptCount val="5"/>
                <c:pt idx="0">
                  <c:v>6</c:v>
                </c:pt>
                <c:pt idx="1">
                  <c:v>9</c:v>
                </c:pt>
                <c:pt idx="2">
                  <c:v>9</c:v>
                </c:pt>
                <c:pt idx="3">
                  <c:v>8</c:v>
                </c:pt>
                <c:pt idx="4">
                  <c:v>8</c:v>
                </c:pt>
              </c:numCache>
            </c:numRef>
          </c:val>
          <c:extLst>
            <c:ext xmlns:c16="http://schemas.microsoft.com/office/drawing/2014/chart" uri="{C3380CC4-5D6E-409C-BE32-E72D297353CC}">
              <c16:uniqueId val="{00000002-F9AD-4E20-AF3D-248696273EC3}"/>
            </c:ext>
          </c:extLst>
        </c:ser>
        <c:ser>
          <c:idx val="3"/>
          <c:order val="3"/>
          <c:tx>
            <c:strRef>
              <c:f>'Demographic &amp; behavioral'!$P$3:$P$4</c:f>
              <c:strCache>
                <c:ptCount val="1"/>
                <c:pt idx="0">
                  <c:v>Morning</c:v>
                </c:pt>
              </c:strCache>
            </c:strRef>
          </c:tx>
          <c:spPr>
            <a:solidFill>
              <a:schemeClr val="accent4"/>
            </a:solidFill>
            <a:ln>
              <a:noFill/>
            </a:ln>
            <a:effectLst/>
          </c:spPr>
          <c:invertIfNegative val="0"/>
          <c:cat>
            <c:strRef>
              <c:f>'Demographic &amp; behavioral'!$L$5:$L$10</c:f>
              <c:strCache>
                <c:ptCount val="5"/>
                <c:pt idx="0">
                  <c:v>18-24</c:v>
                </c:pt>
                <c:pt idx="1">
                  <c:v>25-34</c:v>
                </c:pt>
                <c:pt idx="2">
                  <c:v>35-44</c:v>
                </c:pt>
                <c:pt idx="3">
                  <c:v>45-54</c:v>
                </c:pt>
                <c:pt idx="4">
                  <c:v>55+</c:v>
                </c:pt>
              </c:strCache>
            </c:strRef>
          </c:cat>
          <c:val>
            <c:numRef>
              <c:f>'Demographic &amp; behavioral'!$P$5:$P$10</c:f>
              <c:numCache>
                <c:formatCode>General</c:formatCode>
                <c:ptCount val="5"/>
                <c:pt idx="0">
                  <c:v>4</c:v>
                </c:pt>
                <c:pt idx="1">
                  <c:v>5</c:v>
                </c:pt>
                <c:pt idx="2">
                  <c:v>7</c:v>
                </c:pt>
                <c:pt idx="3">
                  <c:v>5</c:v>
                </c:pt>
                <c:pt idx="4">
                  <c:v>5</c:v>
                </c:pt>
              </c:numCache>
            </c:numRef>
          </c:val>
          <c:extLst>
            <c:ext xmlns:c16="http://schemas.microsoft.com/office/drawing/2014/chart" uri="{C3380CC4-5D6E-409C-BE32-E72D297353CC}">
              <c16:uniqueId val="{00000003-F9AD-4E20-AF3D-248696273EC3}"/>
            </c:ext>
          </c:extLst>
        </c:ser>
        <c:dLbls>
          <c:showLegendKey val="0"/>
          <c:showVal val="0"/>
          <c:showCatName val="0"/>
          <c:showSerName val="0"/>
          <c:showPercent val="0"/>
          <c:showBubbleSize val="0"/>
        </c:dLbls>
        <c:gapWidth val="219"/>
        <c:overlap val="-27"/>
        <c:axId val="1712143504"/>
        <c:axId val="1712144944"/>
      </c:barChart>
      <c:catAx>
        <c:axId val="171214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144944"/>
        <c:crosses val="autoZero"/>
        <c:auto val="1"/>
        <c:lblAlgn val="ctr"/>
        <c:lblOffset val="100"/>
        <c:noMultiLvlLbl val="0"/>
      </c:catAx>
      <c:valAx>
        <c:axId val="171214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214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[streaming_service_data.xlsx]Retention and loyalty!PivotTable18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Loyalty</a:t>
            </a:r>
            <a:r>
              <a:rPr lang="en-US" b="1" baseline="0"/>
              <a:t> point as per age group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and loyalty'!$B$3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and loyalty'!$A$4:$A$9</c:f>
              <c:strCache>
                <c:ptCount val="5"/>
                <c:pt idx="0">
                  <c:v>18-24</c:v>
                </c:pt>
                <c:pt idx="1">
                  <c:v>25-34</c:v>
                </c:pt>
                <c:pt idx="2">
                  <c:v>35-44</c:v>
                </c:pt>
                <c:pt idx="3">
                  <c:v>45-54</c:v>
                </c:pt>
                <c:pt idx="4">
                  <c:v>55+</c:v>
                </c:pt>
              </c:strCache>
            </c:strRef>
          </c:cat>
          <c:val>
            <c:numRef>
              <c:f>'Retention and loyalty'!$B$4:$B$9</c:f>
              <c:numCache>
                <c:formatCode>General</c:formatCode>
                <c:ptCount val="5"/>
                <c:pt idx="0">
                  <c:v>420911</c:v>
                </c:pt>
                <c:pt idx="1">
                  <c:v>482356</c:v>
                </c:pt>
                <c:pt idx="2">
                  <c:v>533170</c:v>
                </c:pt>
                <c:pt idx="3">
                  <c:v>512665</c:v>
                </c:pt>
                <c:pt idx="4">
                  <c:v>495115</c:v>
                </c:pt>
              </c:numCache>
            </c:numRef>
          </c:val>
          <c:extLst>
            <c:ext xmlns:c16="http://schemas.microsoft.com/office/drawing/2014/chart" uri="{C3380CC4-5D6E-409C-BE32-E72D297353CC}">
              <c16:uniqueId val="{00000000-1DE9-497B-A6E7-A5197D19A230}"/>
            </c:ext>
          </c:extLst>
        </c:ser>
        <c:dLbls>
          <c:dLblPos val="outEnd"/>
          <c:showLegendKey val="0"/>
          <c:showVal val="1"/>
          <c:showCatName val="0"/>
          <c:showSerName val="0"/>
          <c:showPercent val="0"/>
          <c:showBubbleSize val="0"/>
        </c:dLbls>
        <c:gapWidth val="219"/>
        <c:overlap val="-27"/>
        <c:axId val="216807888"/>
        <c:axId val="216808848"/>
      </c:barChart>
      <c:catAx>
        <c:axId val="21680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6808848"/>
        <c:crosses val="autoZero"/>
        <c:auto val="1"/>
        <c:lblAlgn val="ctr"/>
        <c:lblOffset val="100"/>
        <c:noMultiLvlLbl val="0"/>
      </c:catAx>
      <c:valAx>
        <c:axId val="216808848"/>
        <c:scaling>
          <c:orientation val="minMax"/>
        </c:scaling>
        <c:delete val="1"/>
        <c:axPos val="l"/>
        <c:numFmt formatCode="General" sourceLinked="1"/>
        <c:majorTickMark val="none"/>
        <c:minorTickMark val="none"/>
        <c:tickLblPos val="nextTo"/>
        <c:crossAx val="21680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[streaming_service_data.xlsx]Retention and loyalty!PivotTable19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Content</a:t>
            </a:r>
            <a:r>
              <a:rPr lang="en-US" b="1" baseline="0"/>
              <a:t> download as per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and loyalty'!$E$3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and loyalty'!$D$4:$D$9</c:f>
              <c:strCache>
                <c:ptCount val="5"/>
                <c:pt idx="0">
                  <c:v>18-24</c:v>
                </c:pt>
                <c:pt idx="1">
                  <c:v>25-34</c:v>
                </c:pt>
                <c:pt idx="2">
                  <c:v>35-44</c:v>
                </c:pt>
                <c:pt idx="3">
                  <c:v>45-54</c:v>
                </c:pt>
                <c:pt idx="4">
                  <c:v>55+</c:v>
                </c:pt>
              </c:strCache>
            </c:strRef>
          </c:cat>
          <c:val>
            <c:numRef>
              <c:f>'Retention and loyalty'!$E$4:$E$9</c:f>
              <c:numCache>
                <c:formatCode>General</c:formatCode>
                <c:ptCount val="5"/>
                <c:pt idx="0">
                  <c:v>180</c:v>
                </c:pt>
                <c:pt idx="1">
                  <c:v>200</c:v>
                </c:pt>
                <c:pt idx="2">
                  <c:v>207</c:v>
                </c:pt>
                <c:pt idx="3">
                  <c:v>208</c:v>
                </c:pt>
                <c:pt idx="4">
                  <c:v>205</c:v>
                </c:pt>
              </c:numCache>
            </c:numRef>
          </c:val>
          <c:extLst>
            <c:ext xmlns:c16="http://schemas.microsoft.com/office/drawing/2014/chart" uri="{C3380CC4-5D6E-409C-BE32-E72D297353CC}">
              <c16:uniqueId val="{00000000-BF8E-49C4-89D2-34AF68EB83D6}"/>
            </c:ext>
          </c:extLst>
        </c:ser>
        <c:dLbls>
          <c:dLblPos val="outEnd"/>
          <c:showLegendKey val="0"/>
          <c:showVal val="1"/>
          <c:showCatName val="0"/>
          <c:showSerName val="0"/>
          <c:showPercent val="0"/>
          <c:showBubbleSize val="0"/>
        </c:dLbls>
        <c:gapWidth val="219"/>
        <c:overlap val="-27"/>
        <c:axId val="1712143984"/>
        <c:axId val="1553877488"/>
      </c:barChart>
      <c:catAx>
        <c:axId val="171214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3877488"/>
        <c:crosses val="autoZero"/>
        <c:auto val="1"/>
        <c:lblAlgn val="ctr"/>
        <c:lblOffset val="100"/>
        <c:noMultiLvlLbl val="0"/>
      </c:catAx>
      <c:valAx>
        <c:axId val="1553877488"/>
        <c:scaling>
          <c:orientation val="minMax"/>
        </c:scaling>
        <c:delete val="1"/>
        <c:axPos val="l"/>
        <c:numFmt formatCode="General" sourceLinked="1"/>
        <c:majorTickMark val="none"/>
        <c:minorTickMark val="none"/>
        <c:tickLblPos val="nextTo"/>
        <c:crossAx val="171214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[streaming_service_data.xlsx]Retention and loyalty!PivotTable20</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Active</a:t>
            </a:r>
            <a:r>
              <a:rPr lang="en-IN" b="1" baseline="0"/>
              <a:t> status in each country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'Retention and loyalty'!$H$3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'Retention and loyalty'!$G$4:$G$9</c:f>
              <c:strCache>
                <c:ptCount val="5"/>
                <c:pt idx="0">
                  <c:v>18-24</c:v>
                </c:pt>
                <c:pt idx="1">
                  <c:v>25-34</c:v>
                </c:pt>
                <c:pt idx="2">
                  <c:v>35-44</c:v>
                </c:pt>
                <c:pt idx="3">
                  <c:v>45-54</c:v>
                </c:pt>
                <c:pt idx="4">
                  <c:v>55+</c:v>
                </c:pt>
              </c:strCache>
            </c:strRef>
          </c:cat>
          <c:val>
            <c:numRef>
              <c:f>'Retention and loyalty'!$H$4:$H$9</c:f>
              <c:numCache>
                <c:formatCode>General</c:formatCode>
                <c:ptCount val="5"/>
                <c:pt idx="0">
                  <c:v>180</c:v>
                </c:pt>
                <c:pt idx="1">
                  <c:v>200</c:v>
                </c:pt>
                <c:pt idx="2">
                  <c:v>207</c:v>
                </c:pt>
                <c:pt idx="3">
                  <c:v>208</c:v>
                </c:pt>
                <c:pt idx="4">
                  <c:v>205</c:v>
                </c:pt>
              </c:numCache>
            </c:numRef>
          </c:val>
          <c:extLst>
            <c:ext xmlns:c16="http://schemas.microsoft.com/office/drawing/2014/chart" uri="{C3380CC4-5D6E-409C-BE32-E72D297353CC}">
              <c16:uniqueId val="{00000000-2CB0-45B9-A302-789269FE7722}"/>
            </c:ext>
          </c:extLst>
        </c:ser>
        <c:dLbls>
          <c:dLblPos val="outEnd"/>
          <c:showLegendKey val="0"/>
          <c:showVal val="1"/>
          <c:showCatName val="0"/>
          <c:showSerName val="0"/>
          <c:showPercent val="0"/>
          <c:showBubbleSize val="0"/>
        </c:dLbls>
        <c:gapWidth val="219"/>
        <c:overlap val="-27"/>
        <c:axId val="1612119264"/>
        <c:axId val="1612119744"/>
      </c:barChart>
      <c:catAx>
        <c:axId val="161211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2119744"/>
        <c:crosses val="autoZero"/>
        <c:auto val="1"/>
        <c:lblAlgn val="ctr"/>
        <c:lblOffset val="100"/>
        <c:noMultiLvlLbl val="0"/>
      </c:catAx>
      <c:valAx>
        <c:axId val="1612119744"/>
        <c:scaling>
          <c:orientation val="minMax"/>
        </c:scaling>
        <c:delete val="1"/>
        <c:axPos val="l"/>
        <c:numFmt formatCode="General" sourceLinked="1"/>
        <c:majorTickMark val="none"/>
        <c:minorTickMark val="none"/>
        <c:tickLblPos val="nextTo"/>
        <c:crossAx val="161211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[streaming_service_data.xlsx]Payment prefrence and regional !PivotTable21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Prefred</a:t>
            </a:r>
            <a:r>
              <a:rPr lang="en-IN" b="1" baseline="0"/>
              <a:t> payment methord</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prefrence and regional '!$B$3:$B$4</c:f>
              <c:strCache>
                <c:ptCount val="1"/>
                <c:pt idx="0">
                  <c:v>Credit Card</c:v>
                </c:pt>
              </c:strCache>
            </c:strRef>
          </c:tx>
          <c:spPr>
            <a:solidFill>
              <a:schemeClr val="accent1"/>
            </a:solidFill>
            <a:ln>
              <a:noFill/>
            </a:ln>
            <a:effectLst/>
          </c:spPr>
          <c:invertIfNegative val="0"/>
          <c:cat>
            <c:strRef>
              <c:f>'Payment prefrence and regional '!$A$5:$A$12</c:f>
              <c:strCache>
                <c:ptCount val="7"/>
                <c:pt idx="0">
                  <c:v>Australia</c:v>
                </c:pt>
                <c:pt idx="1">
                  <c:v>Canada</c:v>
                </c:pt>
                <c:pt idx="2">
                  <c:v>France</c:v>
                </c:pt>
                <c:pt idx="3">
                  <c:v>Germany</c:v>
                </c:pt>
                <c:pt idx="4">
                  <c:v>India</c:v>
                </c:pt>
                <c:pt idx="5">
                  <c:v>UK</c:v>
                </c:pt>
                <c:pt idx="6">
                  <c:v>USA</c:v>
                </c:pt>
              </c:strCache>
            </c:strRef>
          </c:cat>
          <c:val>
            <c:numRef>
              <c:f>'Payment prefrence and regional '!$B$5:$B$12</c:f>
              <c:numCache>
                <c:formatCode>General</c:formatCode>
                <c:ptCount val="7"/>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3E82-4447-8001-80CACDA3389C}"/>
            </c:ext>
          </c:extLst>
        </c:ser>
        <c:ser>
          <c:idx val="1"/>
          <c:order val="1"/>
          <c:tx>
            <c:strRef>
              <c:f>'Payment prefrence and regional '!$C$3:$C$4</c:f>
              <c:strCache>
                <c:ptCount val="1"/>
                <c:pt idx="0">
                  <c:v>Cryptocurrency</c:v>
                </c:pt>
              </c:strCache>
            </c:strRef>
          </c:tx>
          <c:spPr>
            <a:solidFill>
              <a:schemeClr val="accent2"/>
            </a:solidFill>
            <a:ln>
              <a:noFill/>
            </a:ln>
            <a:effectLst/>
          </c:spPr>
          <c:invertIfNegative val="0"/>
          <c:cat>
            <c:strRef>
              <c:f>'Payment prefrence and regional '!$A$5:$A$12</c:f>
              <c:strCache>
                <c:ptCount val="7"/>
                <c:pt idx="0">
                  <c:v>Australia</c:v>
                </c:pt>
                <c:pt idx="1">
                  <c:v>Canada</c:v>
                </c:pt>
                <c:pt idx="2">
                  <c:v>France</c:v>
                </c:pt>
                <c:pt idx="3">
                  <c:v>Germany</c:v>
                </c:pt>
                <c:pt idx="4">
                  <c:v>India</c:v>
                </c:pt>
                <c:pt idx="5">
                  <c:v>UK</c:v>
                </c:pt>
                <c:pt idx="6">
                  <c:v>USA</c:v>
                </c:pt>
              </c:strCache>
            </c:strRef>
          </c:cat>
          <c:val>
            <c:numRef>
              <c:f>'Payment prefrence and regional '!$C$5:$C$12</c:f>
              <c:numCache>
                <c:formatCode>General</c:formatCode>
                <c:ptCount val="7"/>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1-3E82-4447-8001-80CACDA3389C}"/>
            </c:ext>
          </c:extLst>
        </c:ser>
        <c:ser>
          <c:idx val="2"/>
          <c:order val="2"/>
          <c:tx>
            <c:strRef>
              <c:f>'Payment prefrence and regional '!$D$3:$D$4</c:f>
              <c:strCache>
                <c:ptCount val="1"/>
                <c:pt idx="0">
                  <c:v>Debit Card</c:v>
                </c:pt>
              </c:strCache>
            </c:strRef>
          </c:tx>
          <c:spPr>
            <a:solidFill>
              <a:schemeClr val="accent3"/>
            </a:solidFill>
            <a:ln>
              <a:noFill/>
            </a:ln>
            <a:effectLst/>
          </c:spPr>
          <c:invertIfNegative val="0"/>
          <c:cat>
            <c:strRef>
              <c:f>'Payment prefrence and regional '!$A$5:$A$12</c:f>
              <c:strCache>
                <c:ptCount val="7"/>
                <c:pt idx="0">
                  <c:v>Australia</c:v>
                </c:pt>
                <c:pt idx="1">
                  <c:v>Canada</c:v>
                </c:pt>
                <c:pt idx="2">
                  <c:v>France</c:v>
                </c:pt>
                <c:pt idx="3">
                  <c:v>Germany</c:v>
                </c:pt>
                <c:pt idx="4">
                  <c:v>India</c:v>
                </c:pt>
                <c:pt idx="5">
                  <c:v>UK</c:v>
                </c:pt>
                <c:pt idx="6">
                  <c:v>USA</c:v>
                </c:pt>
              </c:strCache>
            </c:strRef>
          </c:cat>
          <c:val>
            <c:numRef>
              <c:f>'Payment prefrence and regional '!$D$5:$D$12</c:f>
              <c:numCache>
                <c:formatCode>General</c:formatCode>
                <c:ptCount val="7"/>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2-3E82-4447-8001-80CACDA3389C}"/>
            </c:ext>
          </c:extLst>
        </c:ser>
        <c:ser>
          <c:idx val="3"/>
          <c:order val="3"/>
          <c:tx>
            <c:strRef>
              <c:f>'Payment prefrence and regional '!$E$3:$E$4</c:f>
              <c:strCache>
                <c:ptCount val="1"/>
                <c:pt idx="0">
                  <c:v>PayPal</c:v>
                </c:pt>
              </c:strCache>
            </c:strRef>
          </c:tx>
          <c:spPr>
            <a:solidFill>
              <a:schemeClr val="accent4"/>
            </a:solidFill>
            <a:ln>
              <a:noFill/>
            </a:ln>
            <a:effectLst/>
          </c:spPr>
          <c:invertIfNegative val="0"/>
          <c:cat>
            <c:strRef>
              <c:f>'Payment prefrence and regional '!$A$5:$A$12</c:f>
              <c:strCache>
                <c:ptCount val="7"/>
                <c:pt idx="0">
                  <c:v>Australia</c:v>
                </c:pt>
                <c:pt idx="1">
                  <c:v>Canada</c:v>
                </c:pt>
                <c:pt idx="2">
                  <c:v>France</c:v>
                </c:pt>
                <c:pt idx="3">
                  <c:v>Germany</c:v>
                </c:pt>
                <c:pt idx="4">
                  <c:v>India</c:v>
                </c:pt>
                <c:pt idx="5">
                  <c:v>UK</c:v>
                </c:pt>
                <c:pt idx="6">
                  <c:v>USA</c:v>
                </c:pt>
              </c:strCache>
            </c:strRef>
          </c:cat>
          <c:val>
            <c:numRef>
              <c:f>'Payment prefrence and regional '!$E$5:$E$12</c:f>
              <c:numCache>
                <c:formatCode>General</c:formatCode>
                <c:ptCount val="7"/>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3-3E82-4447-8001-80CACDA3389C}"/>
            </c:ext>
          </c:extLst>
        </c:ser>
        <c:dLbls>
          <c:showLegendKey val="0"/>
          <c:showVal val="0"/>
          <c:showCatName val="0"/>
          <c:showSerName val="0"/>
          <c:showPercent val="0"/>
          <c:showBubbleSize val="0"/>
        </c:dLbls>
        <c:gapWidth val="182"/>
        <c:axId val="136248832"/>
        <c:axId val="136251232"/>
      </c:barChart>
      <c:catAx>
        <c:axId val="13624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251232"/>
        <c:crosses val="autoZero"/>
        <c:auto val="1"/>
        <c:lblAlgn val="ctr"/>
        <c:lblOffset val="100"/>
        <c:noMultiLvlLbl val="0"/>
      </c:catAx>
      <c:valAx>
        <c:axId val="13625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24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[streaming_service_data.xlsx]Payment prefrence and regional !PivotTable22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Active</a:t>
            </a:r>
            <a:r>
              <a:rPr lang="en-IN" b="1" baseline="0"/>
              <a:t> subscriber each country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prefrence and regional '!$I$3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prefrence and regional '!$H$4:$H$11</c:f>
              <c:strCache>
                <c:ptCount val="7"/>
                <c:pt idx="0">
                  <c:v>Australia</c:v>
                </c:pt>
                <c:pt idx="1">
                  <c:v>Canada</c:v>
                </c:pt>
                <c:pt idx="2">
                  <c:v>France</c:v>
                </c:pt>
                <c:pt idx="3">
                  <c:v>Germany</c:v>
                </c:pt>
                <c:pt idx="4">
                  <c:v>India</c:v>
                </c:pt>
                <c:pt idx="5">
                  <c:v>UK</c:v>
                </c:pt>
                <c:pt idx="6">
                  <c:v>USA</c:v>
                </c:pt>
              </c:strCache>
            </c:strRef>
          </c:cat>
          <c:val>
            <c:numRef>
              <c:f>'Payment prefrence and regional '!$I$4:$I$11</c:f>
              <c:numCache>
                <c:formatCode>General</c:formatCode>
                <c:ptCount val="7"/>
                <c:pt idx="0">
                  <c:v>140</c:v>
                </c:pt>
                <c:pt idx="1">
                  <c:v>139</c:v>
                </c:pt>
                <c:pt idx="2">
                  <c:v>151</c:v>
                </c:pt>
                <c:pt idx="3">
                  <c:v>146</c:v>
                </c:pt>
                <c:pt idx="4">
                  <c:v>116</c:v>
                </c:pt>
                <c:pt idx="5">
                  <c:v>150</c:v>
                </c:pt>
                <c:pt idx="6">
                  <c:v>158</c:v>
                </c:pt>
              </c:numCache>
            </c:numRef>
          </c:val>
          <c:extLst>
            <c:ext xmlns:c16="http://schemas.microsoft.com/office/drawing/2014/chart" uri="{C3380CC4-5D6E-409C-BE32-E72D297353CC}">
              <c16:uniqueId val="{00000000-CB40-4F12-850C-720386C02FC9}"/>
            </c:ext>
          </c:extLst>
        </c:ser>
        <c:dLbls>
          <c:dLblPos val="outEnd"/>
          <c:showLegendKey val="0"/>
          <c:showVal val="1"/>
          <c:showCatName val="0"/>
          <c:showSerName val="0"/>
          <c:showPercent val="0"/>
          <c:showBubbleSize val="0"/>
        </c:dLbls>
        <c:gapWidth val="219"/>
        <c:overlap val="-27"/>
        <c:axId val="326327952"/>
        <c:axId val="326332752"/>
      </c:barChart>
      <c:catAx>
        <c:axId val="3263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6332752"/>
        <c:crosses val="autoZero"/>
        <c:auto val="1"/>
        <c:lblAlgn val="ctr"/>
        <c:lblOffset val="100"/>
        <c:noMultiLvlLbl val="0"/>
      </c:catAx>
      <c:valAx>
        <c:axId val="326332752"/>
        <c:scaling>
          <c:orientation val="minMax"/>
        </c:scaling>
        <c:delete val="1"/>
        <c:axPos val="l"/>
        <c:numFmt formatCode="General" sourceLinked="1"/>
        <c:majorTickMark val="none"/>
        <c:minorTickMark val="none"/>
        <c:tickLblPos val="nextTo"/>
        <c:crossAx val="3263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[streaming_service_data.xlsx]Payment prefrence and regional !PivotTable23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Prefred</a:t>
            </a:r>
            <a:r>
              <a:rPr lang="en-IN" b="1" baseline="0"/>
              <a:t> language in each country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prefrence and regional '!$L$3:$L$4</c:f>
              <c:strCache>
                <c:ptCount val="1"/>
                <c:pt idx="0">
                  <c:v>English</c:v>
                </c:pt>
              </c:strCache>
            </c:strRef>
          </c:tx>
          <c:spPr>
            <a:solidFill>
              <a:schemeClr val="accent1"/>
            </a:solidFill>
            <a:ln>
              <a:noFill/>
            </a:ln>
            <a:effectLst/>
          </c:spPr>
          <c:invertIfNegative val="0"/>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'!$L$5:$L$12</c:f>
              <c:numCache>
                <c:formatCode>General</c:formatCode>
                <c:ptCount val="7"/>
                <c:pt idx="0">
                  <c:v>28</c:v>
                </c:pt>
                <c:pt idx="1">
                  <c:v>22</c:v>
                </c:pt>
                <c:pt idx="2">
                  <c:v>30</c:v>
                </c:pt>
                <c:pt idx="3">
                  <c:v>21</c:v>
                </c:pt>
                <c:pt idx="4">
                  <c:v>21</c:v>
                </c:pt>
                <c:pt idx="5">
                  <c:v>22</c:v>
                </c:pt>
                <c:pt idx="6">
                  <c:v>24</c:v>
                </c:pt>
              </c:numCache>
            </c:numRef>
          </c:val>
          <c:extLst>
            <c:ext xmlns:c16="http://schemas.microsoft.com/office/drawing/2014/chart" uri="{C3380CC4-5D6E-409C-BE32-E72D297353CC}">
              <c16:uniqueId val="{00000000-72AE-4E67-8B86-F7A808F1E919}"/>
            </c:ext>
          </c:extLst>
        </c:ser>
        <c:ser>
          <c:idx val="1"/>
          <c:order val="1"/>
          <c:tx>
            <c:strRef>
              <c:f>'Payment prefrence and regional '!$M$3:$M$4</c:f>
              <c:strCache>
                <c:ptCount val="1"/>
                <c:pt idx="0">
                  <c:v>French</c:v>
                </c:pt>
              </c:strCache>
            </c:strRef>
          </c:tx>
          <c:spPr>
            <a:solidFill>
              <a:schemeClr val="accent2"/>
            </a:solidFill>
            <a:ln>
              <a:noFill/>
            </a:ln>
            <a:effectLst/>
          </c:spPr>
          <c:invertIfNegative val="0"/>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'!$M$5:$M$12</c:f>
              <c:numCache>
                <c:formatCode>General</c:formatCode>
                <c:ptCount val="7"/>
                <c:pt idx="0">
                  <c:v>27</c:v>
                </c:pt>
                <c:pt idx="1">
                  <c:v>24</c:v>
                </c:pt>
                <c:pt idx="2">
                  <c:v>29</c:v>
                </c:pt>
                <c:pt idx="3">
                  <c:v>23</c:v>
                </c:pt>
                <c:pt idx="4">
                  <c:v>16</c:v>
                </c:pt>
                <c:pt idx="5">
                  <c:v>22</c:v>
                </c:pt>
                <c:pt idx="6">
                  <c:v>30</c:v>
                </c:pt>
              </c:numCache>
            </c:numRef>
          </c:val>
          <c:extLst>
            <c:ext xmlns:c16="http://schemas.microsoft.com/office/drawing/2014/chart" uri="{C3380CC4-5D6E-409C-BE32-E72D297353CC}">
              <c16:uniqueId val="{00000001-72AE-4E67-8B86-F7A808F1E919}"/>
            </c:ext>
          </c:extLst>
        </c:ser>
        <c:ser>
          <c:idx val="2"/>
          <c:order val="2"/>
          <c:tx>
            <c:strRef>
              <c:f>'Payment prefrence and regional '!$N$3:$N$4</c:f>
              <c:strCache>
                <c:ptCount val="1"/>
                <c:pt idx="0">
                  <c:v>German</c:v>
                </c:pt>
              </c:strCache>
            </c:strRef>
          </c:tx>
          <c:spPr>
            <a:solidFill>
              <a:schemeClr val="accent3"/>
            </a:solidFill>
            <a:ln>
              <a:noFill/>
            </a:ln>
            <a:effectLst/>
          </c:spPr>
          <c:invertIfNegative val="0"/>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'!$N$5:$N$12</c:f>
              <c:numCache>
                <c:formatCode>General</c:formatCode>
                <c:ptCount val="7"/>
                <c:pt idx="0">
                  <c:v>18</c:v>
                </c:pt>
                <c:pt idx="1">
                  <c:v>25</c:v>
                </c:pt>
                <c:pt idx="2">
                  <c:v>25</c:v>
                </c:pt>
                <c:pt idx="3">
                  <c:v>24</c:v>
                </c:pt>
                <c:pt idx="4">
                  <c:v>20</c:v>
                </c:pt>
                <c:pt idx="5">
                  <c:v>26</c:v>
                </c:pt>
                <c:pt idx="6">
                  <c:v>29</c:v>
                </c:pt>
              </c:numCache>
            </c:numRef>
          </c:val>
          <c:extLst>
            <c:ext xmlns:c16="http://schemas.microsoft.com/office/drawing/2014/chart" uri="{C3380CC4-5D6E-409C-BE32-E72D297353CC}">
              <c16:uniqueId val="{00000002-72AE-4E67-8B86-F7A808F1E919}"/>
            </c:ext>
          </c:extLst>
        </c:ser>
        <c:ser>
          <c:idx val="3"/>
          <c:order val="3"/>
          <c:tx>
            <c:strRef>
              <c:f>'Payment prefrence and regional '!$O$3:$O$4</c:f>
              <c:strCache>
                <c:ptCount val="1"/>
                <c:pt idx="0">
                  <c:v>Hindi</c:v>
                </c:pt>
              </c:strCache>
            </c:strRef>
          </c:tx>
          <c:spPr>
            <a:solidFill>
              <a:schemeClr val="accent4"/>
            </a:solidFill>
            <a:ln>
              <a:noFill/>
            </a:ln>
            <a:effectLst/>
          </c:spPr>
          <c:invertIfNegative val="0"/>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'!$O$5:$O$12</c:f>
              <c:numCache>
                <c:formatCode>General</c:formatCode>
                <c:ptCount val="7"/>
                <c:pt idx="0">
                  <c:v>15</c:v>
                </c:pt>
                <c:pt idx="1">
                  <c:v>26</c:v>
                </c:pt>
                <c:pt idx="2">
                  <c:v>24</c:v>
                </c:pt>
                <c:pt idx="3">
                  <c:v>25</c:v>
                </c:pt>
                <c:pt idx="4">
                  <c:v>18</c:v>
                </c:pt>
                <c:pt idx="5">
                  <c:v>27</c:v>
                </c:pt>
                <c:pt idx="6">
                  <c:v>27</c:v>
                </c:pt>
              </c:numCache>
            </c:numRef>
          </c:val>
          <c:extLst>
            <c:ext xmlns:c16="http://schemas.microsoft.com/office/drawing/2014/chart" uri="{C3380CC4-5D6E-409C-BE32-E72D297353CC}">
              <c16:uniqueId val="{00000003-72AE-4E67-8B86-F7A808F1E919}"/>
            </c:ext>
          </c:extLst>
        </c:ser>
        <c:ser>
          <c:idx val="4"/>
          <c:order val="4"/>
          <c:tx>
            <c:strRef>
              <c:f>'Payment prefrence and regional '!$P$3:$P$4</c:f>
              <c:strCache>
                <c:ptCount val="1"/>
                <c:pt idx="0">
                  <c:v>Mandarin</c:v>
                </c:pt>
              </c:strCache>
            </c:strRef>
          </c:tx>
          <c:spPr>
            <a:solidFill>
              <a:schemeClr val="accent5"/>
            </a:solidFill>
            <a:ln>
              <a:noFill/>
            </a:ln>
            <a:effectLst/>
          </c:spPr>
          <c:invertIfNegative val="0"/>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'!$P$5:$P$12</c:f>
              <c:numCache>
                <c:formatCode>General</c:formatCode>
                <c:ptCount val="7"/>
                <c:pt idx="0">
                  <c:v>30</c:v>
                </c:pt>
                <c:pt idx="1">
                  <c:v>28</c:v>
                </c:pt>
                <c:pt idx="2">
                  <c:v>21</c:v>
                </c:pt>
                <c:pt idx="3">
                  <c:v>24</c:v>
                </c:pt>
                <c:pt idx="4">
                  <c:v>21</c:v>
                </c:pt>
                <c:pt idx="5">
                  <c:v>25</c:v>
                </c:pt>
                <c:pt idx="6">
                  <c:v>30</c:v>
                </c:pt>
              </c:numCache>
            </c:numRef>
          </c:val>
          <c:extLst>
            <c:ext xmlns:c16="http://schemas.microsoft.com/office/drawing/2014/chart" uri="{C3380CC4-5D6E-409C-BE32-E72D297353CC}">
              <c16:uniqueId val="{00000004-72AE-4E67-8B86-F7A808F1E919}"/>
            </c:ext>
          </c:extLst>
        </c:ser>
        <c:ser>
          <c:idx val="5"/>
          <c:order val="5"/>
          <c:tx>
            <c:strRef>
              <c:f>'Payment prefrence and regional '!$Q$3:$Q$4</c:f>
              <c:strCache>
                <c:ptCount val="1"/>
                <c:pt idx="0">
                  <c:v>Spanish</c:v>
                </c:pt>
              </c:strCache>
            </c:strRef>
          </c:tx>
          <c:spPr>
            <a:solidFill>
              <a:schemeClr val="accent6"/>
            </a:solidFill>
            <a:ln>
              <a:noFill/>
            </a:ln>
            <a:effectLst/>
          </c:spPr>
          <c:invertIfNegative val="0"/>
          <c:cat>
            <c:strRef>
              <c:f>'Payment prefrence and regional '!$K$5:$K$12</c:f>
              <c:strCache>
                <c:ptCount val="7"/>
                <c:pt idx="0">
                  <c:v>Australia</c:v>
                </c:pt>
                <c:pt idx="1">
                  <c:v>Canada</c:v>
                </c:pt>
                <c:pt idx="2">
                  <c:v>France</c:v>
                </c:pt>
                <c:pt idx="3">
                  <c:v>Germany</c:v>
                </c:pt>
                <c:pt idx="4">
                  <c:v>India</c:v>
                </c:pt>
                <c:pt idx="5">
                  <c:v>UK</c:v>
                </c:pt>
                <c:pt idx="6">
                  <c:v>USA</c:v>
                </c:pt>
              </c:strCache>
            </c:strRef>
          </c:cat>
          <c:val>
            <c:numRef>
              <c:f>'Payment prefrence and regional '!$Q$5:$Q$12</c:f>
              <c:numCache>
                <c:formatCode>General</c:formatCode>
                <c:ptCount val="7"/>
                <c:pt idx="0">
                  <c:v>22</c:v>
                </c:pt>
                <c:pt idx="1">
                  <c:v>14</c:v>
                </c:pt>
                <c:pt idx="2">
                  <c:v>22</c:v>
                </c:pt>
                <c:pt idx="3">
                  <c:v>29</c:v>
                </c:pt>
                <c:pt idx="4">
                  <c:v>20</c:v>
                </c:pt>
                <c:pt idx="5">
                  <c:v>28</c:v>
                </c:pt>
                <c:pt idx="6">
                  <c:v>18</c:v>
                </c:pt>
              </c:numCache>
            </c:numRef>
          </c:val>
          <c:extLst>
            <c:ext xmlns:c16="http://schemas.microsoft.com/office/drawing/2014/chart" uri="{C3380CC4-5D6E-409C-BE32-E72D297353CC}">
              <c16:uniqueId val="{00000005-72AE-4E67-8B86-F7A808F1E919}"/>
            </c:ext>
          </c:extLst>
        </c:ser>
        <c:dLbls>
          <c:showLegendKey val="0"/>
          <c:showVal val="0"/>
          <c:showCatName val="0"/>
          <c:showSerName val="0"/>
          <c:showPercent val="0"/>
          <c:showBubbleSize val="0"/>
        </c:dLbls>
        <c:gapWidth val="182"/>
        <c:axId val="1606576256"/>
        <c:axId val="1606576736"/>
      </c:barChart>
      <c:catAx>
        <c:axId val="160657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6576736"/>
        <c:crosses val="autoZero"/>
        <c:auto val="1"/>
        <c:lblAlgn val="ctr"/>
        <c:lblOffset val="100"/>
        <c:noMultiLvlLbl val="0"/>
      </c:catAx>
      <c:valAx>
        <c:axId val="1606576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657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0</xdr:rowOff>
    </xdr:from>
    <xdr:to>
      <xdr:col>7</xdr:col>
      <xdr:colOff>321450</xdr:colOff>
      <xdr:row>9</xdr:row>
      <xdr:rowOff>142650</xdr:rowOff>
    </xdr:to>
    <xdr:graphicFrame macro="">
      <xdr:nvGraphicFramePr>
        <xdr:cNvPr id="11" name="Chart 10">
          <a:extLst>
            <a:ext uri="{FF2B5EF4-FFF2-40B4-BE49-F238E27FC236}">
              <a16:creationId xmlns:a16="http://schemas.microsoft.com/office/drawing/2014/main" id="{8E3C7979-AE51-4133-A4A5-E541CFA4F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12700</xdr:colOff>
      <xdr:row>9</xdr:row>
      <xdr:rowOff>152400</xdr:rowOff>
    </xdr:from>
    <xdr:to>
      <xdr:col>7</xdr:col>
      <xdr:colOff>315100</xdr:colOff>
      <xdr:row>19</xdr:row>
      <xdr:rowOff>110900</xdr:rowOff>
    </xdr:to>
    <xdr:graphicFrame macro="">
      <xdr:nvGraphicFramePr>
        <xdr:cNvPr id="13" name="Chart 12">
          <a:extLst>
            <a:ext uri="{FF2B5EF4-FFF2-40B4-BE49-F238E27FC236}">
              <a16:creationId xmlns:a16="http://schemas.microsoft.com/office/drawing/2014/main" id="{E3C6BD95-6DEE-41AA-AA18-26854B8F8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336550</xdr:colOff>
      <xdr:row>9</xdr:row>
      <xdr:rowOff>152400</xdr:rowOff>
    </xdr:from>
    <xdr:to>
      <xdr:col>9</xdr:col>
      <xdr:colOff>450850</xdr:colOff>
      <xdr:row>19</xdr:row>
      <xdr:rowOff>152400</xdr:rowOff>
    </xdr:to>
    <mc:AlternateContent xmlns:mc="http://schemas.openxmlformats.org/markup-compatibility/2006" xmlns:a14="http://schemas.microsoft.com/office/drawing/2010/main">
      <mc:Choice Requires="a14">
        <xdr:graphicFrame macro="">
          <xdr:nvGraphicFramePr>
            <xdr:cNvPr id="14" name="Months (Join_Date) 1">
              <a:extLst>
                <a:ext uri="{FF2B5EF4-FFF2-40B4-BE49-F238E27FC236}">
                  <a16:creationId xmlns:a16="http://schemas.microsoft.com/office/drawing/2014/main" id="{66109665-4850-B118-7602-470D123B4290}"/>
                </a:ext>
              </a:extLst>
            </xdr:cNvPr>
            <xdr:cNvGraphicFramePr/>
          </xdr:nvGraphicFramePr>
          <xdr:xfrm>
            <a:off x="0" y="0"/>
            <a:ext cx="0" cy="0"/>
          </xdr:xfrm>
          <a:graphic>
            <a:graphicData uri="http://schemas.microsoft.com/office/drawing/2010/slicer">
              <sle:slicer xmlns:sle="http://schemas.microsoft.com/office/drawing/2010/slicer" name="Months (Join_Date) 1"/>
            </a:graphicData>
          </a:graphic>
        </xdr:graphicFrame>
      </mc:Choice>
      <mc:Fallback xmlns="">
        <xdr:sp macro="" textlink="">
          <xdr:nvSpPr>
            <xdr:cNvPr id="0" name=""/>
            <xdr:cNvSpPr>
              <a:spLocks noTextEdit="1"/>
            </xdr:cNvSpPr>
          </xdr:nvSpPr>
          <xdr:spPr>
            <a:xfrm>
              <a:off x="4633383" y="1771650"/>
              <a:ext cx="1341967" cy="1799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336550</xdr:colOff>
      <xdr:row>0</xdr:row>
      <xdr:rowOff>0</xdr:rowOff>
    </xdr:from>
    <xdr:to>
      <xdr:col>9</xdr:col>
      <xdr:colOff>450850</xdr:colOff>
      <xdr:row>9</xdr:row>
      <xdr:rowOff>158750</xdr:rowOff>
    </xdr:to>
    <mc:AlternateContent xmlns:mc="http://schemas.openxmlformats.org/markup-compatibility/2006" xmlns:a14="http://schemas.microsoft.com/office/drawing/2010/main">
      <mc:Choice Requires="a14">
        <xdr:graphicFrame macro="">
          <xdr:nvGraphicFramePr>
            <xdr:cNvPr id="2" name="Years ">
              <a:extLst>
                <a:ext uri="{FF2B5EF4-FFF2-40B4-BE49-F238E27FC236}">
                  <a16:creationId xmlns:a16="http://schemas.microsoft.com/office/drawing/2014/main" id="{60130272-4086-7D47-B330-6CD88B062ADC}"/>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4633383" y="0"/>
              <a:ext cx="1341967" cy="17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457200</xdr:colOff>
      <xdr:row>0</xdr:row>
      <xdr:rowOff>6350</xdr:rowOff>
    </xdr:from>
    <xdr:to>
      <xdr:col>16</xdr:col>
      <xdr:colOff>590550</xdr:colOff>
      <xdr:row>13</xdr:row>
      <xdr:rowOff>132400</xdr:rowOff>
    </xdr:to>
    <xdr:graphicFrame macro="">
      <xdr:nvGraphicFramePr>
        <xdr:cNvPr id="6" name="Chart 5">
          <a:extLst>
            <a:ext uri="{FF2B5EF4-FFF2-40B4-BE49-F238E27FC236}">
              <a16:creationId xmlns:a16="http://schemas.microsoft.com/office/drawing/2014/main" id="{BE17CA15-1753-4BCF-A402-36EFFF33C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444500</xdr:colOff>
      <xdr:row>13</xdr:row>
      <xdr:rowOff>120650</xdr:rowOff>
    </xdr:from>
    <xdr:to>
      <xdr:col>14</xdr:col>
      <xdr:colOff>184150</xdr:colOff>
      <xdr:row>24</xdr:row>
      <xdr:rowOff>146050</xdr:rowOff>
    </xdr:to>
    <xdr:graphicFrame macro="">
      <xdr:nvGraphicFramePr>
        <xdr:cNvPr id="8" name="Chart 7">
          <a:extLst>
            <a:ext uri="{FF2B5EF4-FFF2-40B4-BE49-F238E27FC236}">
              <a16:creationId xmlns:a16="http://schemas.microsoft.com/office/drawing/2014/main" id="{8BD5206D-820E-44C5-9074-82A6C16C5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146050</xdr:colOff>
      <xdr:row>13</xdr:row>
      <xdr:rowOff>120651</xdr:rowOff>
    </xdr:from>
    <xdr:to>
      <xdr:col>17</xdr:col>
      <xdr:colOff>12700</xdr:colOff>
      <xdr:row>24</xdr:row>
      <xdr:rowOff>120651</xdr:rowOff>
    </xdr:to>
    <mc:AlternateContent xmlns:mc="http://schemas.openxmlformats.org/markup-compatibility/2006" xmlns:a14="http://schemas.microsoft.com/office/drawing/2010/main">
      <mc:Choice Requires="a14">
        <xdr:graphicFrame macro="">
          <xdr:nvGraphicFramePr>
            <xdr:cNvPr id="9" name="Monthly_Price">
              <a:extLst>
                <a:ext uri="{FF2B5EF4-FFF2-40B4-BE49-F238E27FC236}">
                  <a16:creationId xmlns:a16="http://schemas.microsoft.com/office/drawing/2014/main" id="{E656057B-0449-90F9-39C3-74C94B4C36C6}"/>
                </a:ext>
              </a:extLst>
            </xdr:cNvPr>
            <xdr:cNvGraphicFramePr/>
          </xdr:nvGraphicFramePr>
          <xdr:xfrm>
            <a:off x="0" y="0"/>
            <a:ext cx="0" cy="0"/>
          </xdr:xfrm>
          <a:graphic>
            <a:graphicData uri="http://schemas.microsoft.com/office/drawing/2010/slicer">
              <sle:slicer xmlns:sle="http://schemas.microsoft.com/office/drawing/2010/slicer" name="Monthly_Price"/>
            </a:graphicData>
          </a:graphic>
        </xdr:graphicFrame>
      </mc:Choice>
      <mc:Fallback xmlns="">
        <xdr:sp macro="" textlink="">
          <xdr:nvSpPr>
            <xdr:cNvPr id="0" name=""/>
            <xdr:cNvSpPr>
              <a:spLocks noTextEdit="1"/>
            </xdr:cNvSpPr>
          </xdr:nvSpPr>
          <xdr:spPr>
            <a:xfrm>
              <a:off x="8739717" y="2459568"/>
              <a:ext cx="1708150" cy="1979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0</xdr:row>
      <xdr:rowOff>0</xdr:rowOff>
    </xdr:from>
    <xdr:to>
      <xdr:col>21</xdr:col>
      <xdr:colOff>508000</xdr:colOff>
      <xdr:row>8</xdr:row>
      <xdr:rowOff>117475</xdr:rowOff>
    </xdr:to>
    <xdr:graphicFrame macro="">
      <xdr:nvGraphicFramePr>
        <xdr:cNvPr id="10" name="Chart 9">
          <a:extLst>
            <a:ext uri="{FF2B5EF4-FFF2-40B4-BE49-F238E27FC236}">
              <a16:creationId xmlns:a16="http://schemas.microsoft.com/office/drawing/2014/main" id="{07147224-D707-4F5F-A43F-BC00B41F5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8</xdr:row>
      <xdr:rowOff>120650</xdr:rowOff>
    </xdr:from>
    <xdr:to>
      <xdr:col>24</xdr:col>
      <xdr:colOff>0</xdr:colOff>
      <xdr:row>18</xdr:row>
      <xdr:rowOff>168275</xdr:rowOff>
    </xdr:to>
    <xdr:graphicFrame macro="">
      <xdr:nvGraphicFramePr>
        <xdr:cNvPr id="12" name="Chart 11">
          <a:extLst>
            <a:ext uri="{FF2B5EF4-FFF2-40B4-BE49-F238E27FC236}">
              <a16:creationId xmlns:a16="http://schemas.microsoft.com/office/drawing/2014/main" id="{64F86434-763A-4300-AB95-59EA47325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527050</xdr:colOff>
      <xdr:row>0</xdr:row>
      <xdr:rowOff>38101</xdr:rowOff>
    </xdr:from>
    <xdr:to>
      <xdr:col>24</xdr:col>
      <xdr:colOff>527050</xdr:colOff>
      <xdr:row>8</xdr:row>
      <xdr:rowOff>95250</xdr:rowOff>
    </xdr:to>
    <mc:AlternateContent xmlns:mc="http://schemas.openxmlformats.org/markup-compatibility/2006" xmlns:a14="http://schemas.microsoft.com/office/drawing/2010/main">
      <mc:Choice Requires="a14">
        <xdr:graphicFrame macro="">
          <xdr:nvGraphicFramePr>
            <xdr:cNvPr id="15" name="Favorite_Genre">
              <a:extLst>
                <a:ext uri="{FF2B5EF4-FFF2-40B4-BE49-F238E27FC236}">
                  <a16:creationId xmlns:a16="http://schemas.microsoft.com/office/drawing/2014/main" id="{07CFFC0F-DEB9-4666-131C-AE93F77F0E77}"/>
                </a:ext>
              </a:extLst>
            </xdr:cNvPr>
            <xdr:cNvGraphicFramePr/>
          </xdr:nvGraphicFramePr>
          <xdr:xfrm>
            <a:off x="0" y="0"/>
            <a:ext cx="0" cy="0"/>
          </xdr:xfrm>
          <a:graphic>
            <a:graphicData uri="http://schemas.microsoft.com/office/drawing/2010/slicer">
              <sle:slicer xmlns:sle="http://schemas.microsoft.com/office/drawing/2010/slicer" name="Favorite_Genre"/>
            </a:graphicData>
          </a:graphic>
        </xdr:graphicFrame>
      </mc:Choice>
      <mc:Fallback xmlns="">
        <xdr:sp macro="" textlink="">
          <xdr:nvSpPr>
            <xdr:cNvPr id="0" name=""/>
            <xdr:cNvSpPr>
              <a:spLocks noTextEdit="1"/>
            </xdr:cNvSpPr>
          </xdr:nvSpPr>
          <xdr:spPr>
            <a:xfrm>
              <a:off x="13417550" y="38101"/>
              <a:ext cx="1841500" cy="1496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6350</xdr:colOff>
      <xdr:row>18</xdr:row>
      <xdr:rowOff>152400</xdr:rowOff>
    </xdr:from>
    <xdr:to>
      <xdr:col>24</xdr:col>
      <xdr:colOff>25400</xdr:colOff>
      <xdr:row>29</xdr:row>
      <xdr:rowOff>15875</xdr:rowOff>
    </xdr:to>
    <xdr:graphicFrame macro="">
      <xdr:nvGraphicFramePr>
        <xdr:cNvPr id="16" name="Chart 15">
          <a:extLst>
            <a:ext uri="{FF2B5EF4-FFF2-40B4-BE49-F238E27FC236}">
              <a16:creationId xmlns:a16="http://schemas.microsoft.com/office/drawing/2014/main" id="{50A58CA2-11DB-4D23-8EF5-CCA8FEE9E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0</xdr:colOff>
      <xdr:row>8</xdr:row>
      <xdr:rowOff>123472</xdr:rowOff>
    </xdr:from>
    <xdr:to>
      <xdr:col>29</xdr:col>
      <xdr:colOff>230356</xdr:colOff>
      <xdr:row>18</xdr:row>
      <xdr:rowOff>132292</xdr:rowOff>
    </xdr:to>
    <xdr:graphicFrame macro="">
      <xdr:nvGraphicFramePr>
        <xdr:cNvPr id="18" name="Chart 17">
          <a:extLst>
            <a:ext uri="{FF2B5EF4-FFF2-40B4-BE49-F238E27FC236}">
              <a16:creationId xmlns:a16="http://schemas.microsoft.com/office/drawing/2014/main" id="{0A107E2C-05DD-4EF3-AA47-51C219F90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1</xdr:colOff>
      <xdr:row>18</xdr:row>
      <xdr:rowOff>149931</xdr:rowOff>
    </xdr:from>
    <xdr:to>
      <xdr:col>29</xdr:col>
      <xdr:colOff>255765</xdr:colOff>
      <xdr:row>28</xdr:row>
      <xdr:rowOff>132291</xdr:rowOff>
    </xdr:to>
    <xdr:graphicFrame macro="">
      <xdr:nvGraphicFramePr>
        <xdr:cNvPr id="21" name="Chart 20">
          <a:extLst>
            <a:ext uri="{FF2B5EF4-FFF2-40B4-BE49-F238E27FC236}">
              <a16:creationId xmlns:a16="http://schemas.microsoft.com/office/drawing/2014/main" id="{7EF9E1CD-5D20-4435-A5C7-C69217F53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29</xdr:col>
      <xdr:colOff>194029</xdr:colOff>
      <xdr:row>8</xdr:row>
      <xdr:rowOff>79375</xdr:rowOff>
    </xdr:from>
    <xdr:to>
      <xdr:col>31</xdr:col>
      <xdr:colOff>105833</xdr:colOff>
      <xdr:row>21</xdr:row>
      <xdr:rowOff>114653</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87AE6765-C644-50EE-8E6D-1796A4B8F6B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995196" y="1518708"/>
              <a:ext cx="1139470" cy="2374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537986</xdr:colOff>
      <xdr:row>0</xdr:row>
      <xdr:rowOff>0</xdr:rowOff>
    </xdr:from>
    <xdr:to>
      <xdr:col>31</xdr:col>
      <xdr:colOff>79375</xdr:colOff>
      <xdr:row>8</xdr:row>
      <xdr:rowOff>79375</xdr:rowOff>
    </xdr:to>
    <xdr:graphicFrame macro="">
      <xdr:nvGraphicFramePr>
        <xdr:cNvPr id="24" name="Chart 23">
          <a:extLst>
            <a:ext uri="{FF2B5EF4-FFF2-40B4-BE49-F238E27FC236}">
              <a16:creationId xmlns:a16="http://schemas.microsoft.com/office/drawing/2014/main" id="{06C6ECF3-6B48-4C16-B3F2-AC5070C20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114652</xdr:colOff>
      <xdr:row>0</xdr:row>
      <xdr:rowOff>0</xdr:rowOff>
    </xdr:from>
    <xdr:to>
      <xdr:col>38</xdr:col>
      <xdr:colOff>312208</xdr:colOff>
      <xdr:row>18</xdr:row>
      <xdr:rowOff>132292</xdr:rowOff>
    </xdr:to>
    <xdr:graphicFrame macro="">
      <xdr:nvGraphicFramePr>
        <xdr:cNvPr id="25" name="Chart 24">
          <a:extLst>
            <a:ext uri="{FF2B5EF4-FFF2-40B4-BE49-F238E27FC236}">
              <a16:creationId xmlns:a16="http://schemas.microsoft.com/office/drawing/2014/main" id="{F24D3EC6-14A1-4176-AB0F-339ADDFCE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31</xdr:col>
      <xdr:colOff>97014</xdr:colOff>
      <xdr:row>19</xdr:row>
      <xdr:rowOff>0</xdr:rowOff>
    </xdr:from>
    <xdr:to>
      <xdr:col>38</xdr:col>
      <xdr:colOff>312209</xdr:colOff>
      <xdr:row>29</xdr:row>
      <xdr:rowOff>88194</xdr:rowOff>
    </xdr:to>
    <xdr:graphicFrame macro="">
      <xdr:nvGraphicFramePr>
        <xdr:cNvPr id="28" name="Chart 27">
          <a:extLst>
            <a:ext uri="{FF2B5EF4-FFF2-40B4-BE49-F238E27FC236}">
              <a16:creationId xmlns:a16="http://schemas.microsoft.com/office/drawing/2014/main" id="{30D5F616-424F-4718-8EDF-44474AE17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38</xdr:col>
      <xdr:colOff>343959</xdr:colOff>
      <xdr:row>0</xdr:row>
      <xdr:rowOff>0</xdr:rowOff>
    </xdr:from>
    <xdr:to>
      <xdr:col>46</xdr:col>
      <xdr:colOff>312208</xdr:colOff>
      <xdr:row>29</xdr:row>
      <xdr:rowOff>111125</xdr:rowOff>
    </xdr:to>
    <xdr:graphicFrame macro="">
      <xdr:nvGraphicFramePr>
        <xdr:cNvPr id="30" name="Chart 29">
          <a:extLst>
            <a:ext uri="{FF2B5EF4-FFF2-40B4-BE49-F238E27FC236}">
              <a16:creationId xmlns:a16="http://schemas.microsoft.com/office/drawing/2014/main" id="{07AED966-1384-4BAF-A7CF-54DFE9B7C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44450</xdr:colOff>
      <xdr:row>12</xdr:row>
      <xdr:rowOff>114300</xdr:rowOff>
    </xdr:from>
    <xdr:to>
      <xdr:col>7</xdr:col>
      <xdr:colOff>273050</xdr:colOff>
      <xdr:row>20</xdr:row>
      <xdr:rowOff>107950</xdr:rowOff>
    </xdr:to>
    <xdr:graphicFrame macro="">
      <xdr:nvGraphicFramePr>
        <xdr:cNvPr id="2" name="Chart 1">
          <a:extLst>
            <a:ext uri="{FF2B5EF4-FFF2-40B4-BE49-F238E27FC236}">
              <a16:creationId xmlns:a16="http://schemas.microsoft.com/office/drawing/2014/main" id="{84A06684-6547-D4DB-9875-201E7C546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120650</xdr:rowOff>
    </xdr:from>
    <xdr:to>
      <xdr:col>2</xdr:col>
      <xdr:colOff>25400</xdr:colOff>
      <xdr:row>20</xdr:row>
      <xdr:rowOff>101600</xdr:rowOff>
    </xdr:to>
    <xdr:graphicFrame macro="">
      <xdr:nvGraphicFramePr>
        <xdr:cNvPr id="3" name="Chart 2">
          <a:extLst>
            <a:ext uri="{FF2B5EF4-FFF2-40B4-BE49-F238E27FC236}">
              <a16:creationId xmlns:a16="http://schemas.microsoft.com/office/drawing/2014/main" id="{510D48F1-B6D6-AF73-5ED9-6AA3A7420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6</xdr:row>
      <xdr:rowOff>155574</xdr:rowOff>
    </xdr:from>
    <xdr:to>
      <xdr:col>2</xdr:col>
      <xdr:colOff>1168400</xdr:colOff>
      <xdr:row>24</xdr:row>
      <xdr:rowOff>107949</xdr:rowOff>
    </xdr:to>
    <xdr:graphicFrame macro="">
      <xdr:nvGraphicFramePr>
        <xdr:cNvPr id="2" name="Chart 1">
          <a:extLst>
            <a:ext uri="{FF2B5EF4-FFF2-40B4-BE49-F238E27FC236}">
              <a16:creationId xmlns:a16="http://schemas.microsoft.com/office/drawing/2014/main" id="{68EA090C-BA64-C098-D0BC-E0D11D1D7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1120775</xdr:colOff>
      <xdr:row>6</xdr:row>
      <xdr:rowOff>149225</xdr:rowOff>
    </xdr:from>
    <xdr:to>
      <xdr:col>7</xdr:col>
      <xdr:colOff>1076325</xdr:colOff>
      <xdr:row>21</xdr:row>
      <xdr:rowOff>130175</xdr:rowOff>
    </xdr:to>
    <xdr:graphicFrame macro="">
      <xdr:nvGraphicFramePr>
        <xdr:cNvPr id="3" name="Chart 2">
          <a:extLst>
            <a:ext uri="{FF2B5EF4-FFF2-40B4-BE49-F238E27FC236}">
              <a16:creationId xmlns:a16="http://schemas.microsoft.com/office/drawing/2014/main" id="{85C94AC2-CECC-E74E-F8E4-106F08654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123825</xdr:rowOff>
    </xdr:from>
    <xdr:to>
      <xdr:col>2</xdr:col>
      <xdr:colOff>495300</xdr:colOff>
      <xdr:row>19</xdr:row>
      <xdr:rowOff>57150</xdr:rowOff>
    </xdr:to>
    <xdr:graphicFrame macro="">
      <xdr:nvGraphicFramePr>
        <xdr:cNvPr id="4" name="Chart 3">
          <a:extLst>
            <a:ext uri="{FF2B5EF4-FFF2-40B4-BE49-F238E27FC236}">
              <a16:creationId xmlns:a16="http://schemas.microsoft.com/office/drawing/2014/main" id="{8C84EAC3-8CC1-D81C-4125-10AAA82B5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501650</xdr:colOff>
      <xdr:row>10</xdr:row>
      <xdr:rowOff>3175</xdr:rowOff>
    </xdr:from>
    <xdr:to>
      <xdr:col>7</xdr:col>
      <xdr:colOff>742950</xdr:colOff>
      <xdr:row>20</xdr:row>
      <xdr:rowOff>50800</xdr:rowOff>
    </xdr:to>
    <xdr:graphicFrame macro="">
      <xdr:nvGraphicFramePr>
        <xdr:cNvPr id="6" name="Chart 5">
          <a:extLst>
            <a:ext uri="{FF2B5EF4-FFF2-40B4-BE49-F238E27FC236}">
              <a16:creationId xmlns:a16="http://schemas.microsoft.com/office/drawing/2014/main" id="{E8641ACD-5B6C-42B6-12E6-F016077E7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768350</xdr:colOff>
      <xdr:row>10</xdr:row>
      <xdr:rowOff>22225</xdr:rowOff>
    </xdr:from>
    <xdr:to>
      <xdr:col>12</xdr:col>
      <xdr:colOff>400050</xdr:colOff>
      <xdr:row>20</xdr:row>
      <xdr:rowOff>69850</xdr:rowOff>
    </xdr:to>
    <xdr:graphicFrame macro="">
      <xdr:nvGraphicFramePr>
        <xdr:cNvPr id="7" name="Chart 6">
          <a:extLst>
            <a:ext uri="{FF2B5EF4-FFF2-40B4-BE49-F238E27FC236}">
              <a16:creationId xmlns:a16="http://schemas.microsoft.com/office/drawing/2014/main" id="{4FD12864-65AC-F00F-DE02-29D44ABE6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19049</xdr:rowOff>
    </xdr:from>
    <xdr:to>
      <xdr:col>3</xdr:col>
      <xdr:colOff>438150</xdr:colOff>
      <xdr:row>18</xdr:row>
      <xdr:rowOff>114300</xdr:rowOff>
    </xdr:to>
    <xdr:graphicFrame macro="">
      <xdr:nvGraphicFramePr>
        <xdr:cNvPr id="2" name="Chart 1">
          <a:extLst>
            <a:ext uri="{FF2B5EF4-FFF2-40B4-BE49-F238E27FC236}">
              <a16:creationId xmlns:a16="http://schemas.microsoft.com/office/drawing/2014/main" id="{7D73DC4F-3E52-262A-C756-8F7891C6D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31750</xdr:colOff>
      <xdr:row>4</xdr:row>
      <xdr:rowOff>22225</xdr:rowOff>
    </xdr:from>
    <xdr:to>
      <xdr:col>4</xdr:col>
      <xdr:colOff>800100</xdr:colOff>
      <xdr:row>19</xdr:row>
      <xdr:rowOff>3175</xdr:rowOff>
    </xdr:to>
    <xdr:graphicFrame macro="">
      <xdr:nvGraphicFramePr>
        <xdr:cNvPr id="3" name="Chart 2">
          <a:extLst>
            <a:ext uri="{FF2B5EF4-FFF2-40B4-BE49-F238E27FC236}">
              <a16:creationId xmlns:a16="http://schemas.microsoft.com/office/drawing/2014/main" id="{509CF9E0-FAF4-9E6B-2A32-45CC9E4AB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946150</xdr:colOff>
      <xdr:row>4</xdr:row>
      <xdr:rowOff>3175</xdr:rowOff>
    </xdr:from>
    <xdr:to>
      <xdr:col>7</xdr:col>
      <xdr:colOff>1231900</xdr:colOff>
      <xdr:row>18</xdr:row>
      <xdr:rowOff>168275</xdr:rowOff>
    </xdr:to>
    <xdr:graphicFrame macro="">
      <xdr:nvGraphicFramePr>
        <xdr:cNvPr id="4" name="Chart 3">
          <a:extLst>
            <a:ext uri="{FF2B5EF4-FFF2-40B4-BE49-F238E27FC236}">
              <a16:creationId xmlns:a16="http://schemas.microsoft.com/office/drawing/2014/main" id="{815DD61F-3533-015B-626F-2A9CAF9CF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444500</xdr:colOff>
      <xdr:row>6</xdr:row>
      <xdr:rowOff>66675</xdr:rowOff>
    </xdr:from>
    <xdr:to>
      <xdr:col>5</xdr:col>
      <xdr:colOff>190500</xdr:colOff>
      <xdr:row>21</xdr:row>
      <xdr:rowOff>47625</xdr:rowOff>
    </xdr:to>
    <xdr:graphicFrame macro="">
      <xdr:nvGraphicFramePr>
        <xdr:cNvPr id="2" name="Chart 1">
          <a:extLst>
            <a:ext uri="{FF2B5EF4-FFF2-40B4-BE49-F238E27FC236}">
              <a16:creationId xmlns:a16="http://schemas.microsoft.com/office/drawing/2014/main" id="{2B267281-0D72-273F-F633-90DBF8B95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549275</xdr:colOff>
      <xdr:row>11</xdr:row>
      <xdr:rowOff>63499</xdr:rowOff>
    </xdr:from>
    <xdr:to>
      <xdr:col>9</xdr:col>
      <xdr:colOff>69850</xdr:colOff>
      <xdr:row>21</xdr:row>
      <xdr:rowOff>66674</xdr:rowOff>
    </xdr:to>
    <xdr:graphicFrame macro="">
      <xdr:nvGraphicFramePr>
        <xdr:cNvPr id="3" name="Chart 2">
          <a:extLst>
            <a:ext uri="{FF2B5EF4-FFF2-40B4-BE49-F238E27FC236}">
              <a16:creationId xmlns:a16="http://schemas.microsoft.com/office/drawing/2014/main" id="{5A735922-63C0-9ED2-FB1A-EA476899A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460375</xdr:colOff>
      <xdr:row>10</xdr:row>
      <xdr:rowOff>104775</xdr:rowOff>
    </xdr:from>
    <xdr:to>
      <xdr:col>16</xdr:col>
      <xdr:colOff>193675</xdr:colOff>
      <xdr:row>25</xdr:row>
      <xdr:rowOff>85725</xdr:rowOff>
    </xdr:to>
    <xdr:graphicFrame macro="">
      <xdr:nvGraphicFramePr>
        <xdr:cNvPr id="4" name="Chart 3">
          <a:extLst>
            <a:ext uri="{FF2B5EF4-FFF2-40B4-BE49-F238E27FC236}">
              <a16:creationId xmlns:a16="http://schemas.microsoft.com/office/drawing/2014/main" id="{DA0096E7-88D4-A36E-E060-7B2B1C1DA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ingh" refreshedDate="46157.83743796296" createdVersion="8" refreshedVersion="8" minRefreshableVersion="3" recordCount="1001" xr:uid="{70566CF1-4A28-46EB-9A49-27A09D85B7C9}">
  <cacheSource type="worksheet">
    <worksheetSource ref="A1:Y1048576" sheet="streaming_service_data"/>
  </cacheSource>
  <cacheFields count="28">
    <cacheField name="User_ID" numFmtId="0">
      <sharedItems containsString="0" containsBlank="1" containsNumber="1" containsInteger="1" minValue="1003" maxValue="9996"/>
    </cacheField>
    <cacheField name="User_Name" numFmtId="0">
      <sharedItems containsBlank="1"/>
    </cacheField>
    <cacheField name="Join_Date" numFmtId="0">
      <sharedItems containsNonDate="0" containsDate="1" containsString="0" containsBlank="1" minDate="2022-12-19T00:00:00" maxDate="2024-12-19T00:00:00" count="541">
        <d v="2023-05-15T00:00:00"/>
        <d v="2023-04-03T00:00:00"/>
        <d v="2023-08-02T00:00:00"/>
        <d v="2023-01-31T00:00:00"/>
        <d v="2023-06-06T00:00:00"/>
        <d v="2023-09-17T00:00:00"/>
        <d v="2024-08-25T00:00:00"/>
        <d v="2024-05-31T00:00:00"/>
        <d v="2023-06-17T00:00:00"/>
        <d v="2023-12-02T00:00:00"/>
        <d v="2023-03-28T00:00:00"/>
        <d v="2024-03-02T00:00:00"/>
        <d v="2023-03-27T00:00:00"/>
        <d v="2024-09-15T00:00:00"/>
        <d v="2023-06-07T00:00:00"/>
        <d v="2024-05-18T00:00:00"/>
        <d v="2023-02-14T00:00:00"/>
        <d v="2023-06-02T00:00:00"/>
        <d v="2023-09-20T00:00:00"/>
        <d v="2023-07-03T00:00:00"/>
        <d v="2023-07-15T00:00:00"/>
        <d v="2024-06-13T00:00:00"/>
        <d v="2023-11-19T00:00:00"/>
        <d v="2023-09-22T00:00:00"/>
        <d v="2024-05-15T00:00:00"/>
        <d v="2023-06-19T00:00:00"/>
        <d v="2024-05-22T00:00:00"/>
        <d v="2024-01-30T00:00:00"/>
        <d v="2024-03-28T00:00:00"/>
        <d v="2024-07-02T00:00:00"/>
        <d v="2024-12-06T00:00:00"/>
        <d v="2023-06-22T00:00:00"/>
        <d v="2023-11-28T00:00:00"/>
        <d v="2024-01-10T00:00:00"/>
        <d v="2024-10-03T00:00:00"/>
        <d v="2023-09-15T00:00:00"/>
        <d v="2024-10-01T00:00:00"/>
        <d v="2023-08-18T00:00:00"/>
        <d v="2024-02-16T00:00:00"/>
        <d v="2024-08-07T00:00:00"/>
        <d v="2024-09-17T00:00:00"/>
        <d v="2023-07-18T00:00:00"/>
        <d v="2023-04-04T00:00:00"/>
        <d v="2024-04-11T00:00:00"/>
        <d v="2023-04-26T00:00:00"/>
        <d v="2023-03-25T00:00:00"/>
        <d v="2023-09-01T00:00:00"/>
        <d v="2023-03-26T00:00:00"/>
        <d v="2024-06-18T00:00:00"/>
        <d v="2023-07-27T00:00:00"/>
        <d v="2024-10-31T00:00:00"/>
        <d v="2022-12-26T00:00:00"/>
        <d v="2024-04-06T00:00:00"/>
        <d v="2022-12-31T00:00:00"/>
        <d v="2022-12-24T00:00:00"/>
        <d v="2024-09-08T00:00:00"/>
        <d v="2023-12-19T00:00:00"/>
        <d v="2023-10-12T00:00:00"/>
        <d v="2023-02-03T00:00:00"/>
        <d v="2024-11-24T00:00:00"/>
        <d v="2023-06-24T00:00:00"/>
        <d v="2023-12-29T00:00:00"/>
        <d v="2023-03-01T00:00:00"/>
        <d v="2024-03-15T00:00:00"/>
        <d v="2023-04-13T00:00:00"/>
        <d v="2023-02-19T00:00:00"/>
        <d v="2023-11-26T00:00:00"/>
        <d v="2023-10-13T00:00:00"/>
        <d v="2023-07-31T00:00:00"/>
        <d v="2023-09-06T00:00:00"/>
        <d v="2024-07-08T00:00:00"/>
        <d v="2024-07-20T00:00:00"/>
        <d v="2023-12-06T00:00:00"/>
        <d v="2023-10-25T00:00:00"/>
        <d v="2023-12-31T00:00:00"/>
        <d v="2023-08-20T00:00:00"/>
        <d v="2024-10-20T00:00:00"/>
        <d v="2024-07-22T00:00:00"/>
        <d v="2024-08-21T00:00:00"/>
        <d v="2024-08-31T00:00:00"/>
        <d v="2023-04-30T00:00:00"/>
        <d v="2023-12-18T00:00:00"/>
        <d v="2023-10-22T00:00:00"/>
        <d v="2024-02-29T00:00:00"/>
        <d v="2023-09-11T00:00:00"/>
        <d v="2024-06-24T00:00:00"/>
        <d v="2023-02-05T00:00:00"/>
        <d v="2023-10-21T00:00:00"/>
        <d v="2023-08-03T00:00:00"/>
        <d v="2023-10-28T00:00:00"/>
        <d v="2023-04-15T00:00:00"/>
        <d v="2022-12-19T00:00:00"/>
        <d v="2024-02-14T00:00:00"/>
        <d v="2024-06-01T00:00:00"/>
        <d v="2023-07-23T00:00:00"/>
        <d v="2024-10-30T00:00:00"/>
        <d v="2023-12-08T00:00:00"/>
        <d v="2024-07-06T00:00:00"/>
        <d v="2023-06-20T00:00:00"/>
        <d v="2024-03-19T00:00:00"/>
        <d v="2023-02-17T00:00:00"/>
        <d v="2023-08-06T00:00:00"/>
        <d v="2022-12-21T00:00:00"/>
        <d v="2024-03-03T00:00:00"/>
        <d v="2024-02-11T00:00:00"/>
        <d v="2024-09-26T00:00:00"/>
        <d v="2023-10-01T00:00:00"/>
        <d v="2024-12-17T00:00:00"/>
        <d v="2023-04-02T00:00:00"/>
        <d v="2024-07-11T00:00:00"/>
        <d v="2024-01-20T00:00:00"/>
        <d v="2024-11-18T00:00:00"/>
        <d v="2023-03-07T00:00:00"/>
        <d v="2023-10-03T00:00:00"/>
        <d v="2024-12-14T00:00:00"/>
        <d v="2024-11-14T00:00:00"/>
        <d v="2023-02-08T00:00:00"/>
        <d v="2024-10-15T00:00:00"/>
        <d v="2024-05-30T00:00:00"/>
        <d v="2023-01-23T00:00:00"/>
        <d v="2023-11-24T00:00:00"/>
        <d v="2024-02-02T00:00:00"/>
        <d v="2024-11-21T00:00:00"/>
        <d v="2023-03-19T00:00:00"/>
        <d v="2023-05-03T00:00:00"/>
        <d v="2024-12-12T00:00:00"/>
        <d v="2024-01-12T00:00:00"/>
        <d v="2022-12-25T00:00:00"/>
        <d v="2023-02-20T00:00:00"/>
        <d v="2024-12-01T00:00:00"/>
        <d v="2023-05-12T00:00:00"/>
        <d v="2023-02-23T00:00:00"/>
        <d v="2023-05-05T00:00:00"/>
        <d v="2023-09-05T00:00:00"/>
        <d v="2024-10-17T00:00:00"/>
        <d v="2024-08-11T00:00:00"/>
        <d v="2024-09-30T00:00:00"/>
        <d v="2022-12-30T00:00:00"/>
        <d v="2024-04-04T00:00:00"/>
        <d v="2023-03-06T00:00:00"/>
        <d v="2023-10-18T00:00:00"/>
        <d v="2024-06-17T00:00:00"/>
        <d v="2024-01-14T00:00:00"/>
        <d v="2024-12-04T00:00:00"/>
        <d v="2023-11-03T00:00:00"/>
        <d v="2024-02-01T00:00:00"/>
        <d v="2024-04-28T00:00:00"/>
        <d v="2024-09-21T00:00:00"/>
        <d v="2023-02-07T00:00:00"/>
        <d v="2023-06-10T00:00:00"/>
        <d v="2024-05-19T00:00:00"/>
        <d v="2024-02-20T00:00:00"/>
        <d v="2023-03-13T00:00:00"/>
        <d v="2023-02-25T00:00:00"/>
        <d v="2023-10-17T00:00:00"/>
        <d v="2023-04-19T00:00:00"/>
        <d v="2024-02-23T00:00:00"/>
        <d v="2023-06-18T00:00:00"/>
        <d v="2024-03-26T00:00:00"/>
        <d v="2024-12-18T00:00:00"/>
        <d v="2024-11-16T00:00:00"/>
        <d v="2024-10-21T00:00:00"/>
        <d v="2024-01-26T00:00:00"/>
        <d v="2023-09-24T00:00:00"/>
        <d v="2024-02-07T00:00:00"/>
        <d v="2023-07-06T00:00:00"/>
        <d v="2024-07-17T00:00:00"/>
        <d v="2024-10-27T00:00:00"/>
        <d v="2024-07-04T00:00:00"/>
        <d v="2024-08-13T00:00:00"/>
        <d v="2024-05-05T00:00:00"/>
        <d v="2023-12-04T00:00:00"/>
        <d v="2024-02-22T00:00:00"/>
        <d v="2023-05-14T00:00:00"/>
        <d v="2023-06-08T00:00:00"/>
        <d v="2024-08-08T00:00:00"/>
        <d v="2023-06-11T00:00:00"/>
        <d v="2023-01-19T00:00:00"/>
        <d v="2023-05-10T00:00:00"/>
        <d v="2023-06-01T00:00:00"/>
        <d v="2024-05-03T00:00:00"/>
        <d v="2024-03-25T00:00:00"/>
        <d v="2023-05-22T00:00:00"/>
        <d v="2024-06-14T00:00:00"/>
        <d v="2023-08-17T00:00:00"/>
        <d v="2023-12-10T00:00:00"/>
        <d v="2024-02-27T00:00:00"/>
        <d v="2024-09-01T00:00:00"/>
        <d v="2024-08-16T00:00:00"/>
        <d v="2024-12-05T00:00:00"/>
        <d v="2023-08-12T00:00:00"/>
        <d v="2023-05-16T00:00:00"/>
        <d v="2024-09-19T00:00:00"/>
        <d v="2024-10-12T00:00:00"/>
        <d v="2024-09-12T00:00:00"/>
        <d v="2023-05-23T00:00:00"/>
        <d v="2023-11-12T00:00:00"/>
        <d v="2024-12-08T00:00:00"/>
        <d v="2023-11-18T00:00:00"/>
        <d v="2023-09-08T00:00:00"/>
        <d v="2024-02-26T00:00:00"/>
        <d v="2023-07-11T00:00:00"/>
        <d v="2023-02-02T00:00:00"/>
        <d v="2023-01-01T00:00:00"/>
        <d v="2024-03-23T00:00:00"/>
        <d v="2024-01-09T00:00:00"/>
        <d v="2023-03-04T00:00:00"/>
        <d v="2024-01-04T00:00:00"/>
        <d v="2023-09-03T00:00:00"/>
        <d v="2024-09-23T00:00:00"/>
        <d v="2023-08-29T00:00:00"/>
        <d v="2023-12-26T00:00:00"/>
        <d v="2024-04-25T00:00:00"/>
        <d v="2023-04-24T00:00:00"/>
        <d v="2024-11-23T00:00:00"/>
        <d v="2023-11-11T00:00:00"/>
        <d v="2023-08-30T00:00:00"/>
        <d v="2024-06-03T00:00:00"/>
        <d v="2024-01-29T00:00:00"/>
        <d v="2024-09-05T00:00:00"/>
        <d v="2023-02-24T00:00:00"/>
        <d v="2023-01-03T00:00:00"/>
        <d v="2024-03-09T00:00:00"/>
        <d v="2023-06-26T00:00:00"/>
        <d v="2024-06-02T00:00:00"/>
        <d v="2023-01-18T00:00:00"/>
        <d v="2023-10-15T00:00:00"/>
        <d v="2023-02-09T00:00:00"/>
        <d v="2024-11-17T00:00:00"/>
        <d v="2024-06-21T00:00:00"/>
        <d v="2024-09-24T00:00:00"/>
        <d v="2023-01-05T00:00:00"/>
        <d v="2023-07-26T00:00:00"/>
        <d v="2023-05-29T00:00:00"/>
        <d v="2023-10-23T00:00:00"/>
        <d v="2023-04-22T00:00:00"/>
        <d v="2023-02-21T00:00:00"/>
        <d v="2024-10-28T00:00:00"/>
        <d v="2024-05-10T00:00:00"/>
        <d v="2023-08-05T00:00:00"/>
        <d v="2024-07-28T00:00:00"/>
        <d v="2024-07-10T00:00:00"/>
        <d v="2023-07-28T00:00:00"/>
        <d v="2024-10-10T00:00:00"/>
        <d v="2023-04-17T00:00:00"/>
        <d v="2023-02-15T00:00:00"/>
        <d v="2024-01-19T00:00:00"/>
        <d v="2023-07-21T00:00:00"/>
        <d v="2024-10-29T00:00:00"/>
        <d v="2024-02-03T00:00:00"/>
        <d v="2023-08-08T00:00:00"/>
        <d v="2024-01-13T00:00:00"/>
        <d v="2024-09-27T00:00:00"/>
        <d v="2023-08-04T00:00:00"/>
        <d v="2023-01-28T00:00:00"/>
        <d v="2024-03-14T00:00:00"/>
        <d v="2023-03-08T00:00:00"/>
        <d v="2024-05-17T00:00:00"/>
        <d v="2023-01-24T00:00:00"/>
        <d v="2024-05-09T00:00:00"/>
        <d v="2023-05-31T00:00:00"/>
        <d v="2024-08-10T00:00:00"/>
        <d v="2024-09-25T00:00:00"/>
        <d v="2023-08-11T00:00:00"/>
        <d v="2024-01-05T00:00:00"/>
        <d v="2023-12-22T00:00:00"/>
        <d v="2023-12-28T00:00:00"/>
        <d v="2023-03-18T00:00:00"/>
        <d v="2024-11-05T00:00:00"/>
        <d v="2023-05-26T00:00:00"/>
        <d v="2024-10-14T00:00:00"/>
        <d v="2024-08-19T00:00:00"/>
        <d v="2023-03-20T00:00:00"/>
        <d v="2023-01-25T00:00:00"/>
        <d v="2023-09-29T00:00:00"/>
        <d v="2024-04-13T00:00:00"/>
        <d v="2023-07-09T00:00:00"/>
        <d v="2022-12-27T00:00:00"/>
        <d v="2023-04-12T00:00:00"/>
        <d v="2024-09-02T00:00:00"/>
        <d v="2024-07-21T00:00:00"/>
        <d v="2024-09-11T00:00:00"/>
        <d v="2024-09-16T00:00:00"/>
        <d v="2024-01-16T00:00:00"/>
        <d v="2023-01-26T00:00:00"/>
        <d v="2023-05-21T00:00:00"/>
        <d v="2024-04-21T00:00:00"/>
        <d v="2024-08-29T00:00:00"/>
        <d v="2023-11-30T00:00:00"/>
        <d v="2024-01-02T00:00:00"/>
        <d v="2024-01-18T00:00:00"/>
        <d v="2023-09-04T00:00:00"/>
        <d v="2024-07-27T00:00:00"/>
        <d v="2024-04-17T00:00:00"/>
        <d v="2024-07-23T00:00:00"/>
        <d v="2024-04-19T00:00:00"/>
        <d v="2023-09-19T00:00:00"/>
        <d v="2023-07-10T00:00:00"/>
        <d v="2024-07-30T00:00:00"/>
        <d v="2023-08-28T00:00:00"/>
        <d v="2024-06-30T00:00:00"/>
        <d v="2023-11-07T00:00:00"/>
        <d v="2024-06-20T00:00:00"/>
        <d v="2024-04-22T00:00:00"/>
        <d v="2024-08-28T00:00:00"/>
        <d v="2022-12-20T00:00:00"/>
        <d v="2024-01-25T00:00:00"/>
        <d v="2024-08-22T00:00:00"/>
        <d v="2023-10-27T00:00:00"/>
        <d v="2023-04-21T00:00:00"/>
        <d v="2023-12-30T00:00:00"/>
        <d v="2024-11-20T00:00:00"/>
        <d v="2024-02-19T00:00:00"/>
        <d v="2024-05-08T00:00:00"/>
        <d v="2024-10-13T00:00:00"/>
        <d v="2024-10-02T00:00:00"/>
        <d v="2024-09-18T00:00:00"/>
        <d v="2023-05-17T00:00:00"/>
        <d v="2024-09-13T00:00:00"/>
        <d v="2024-01-21T00:00:00"/>
        <d v="2023-05-25T00:00:00"/>
        <d v="2024-10-05T00:00:00"/>
        <d v="2023-12-13T00:00:00"/>
        <d v="2024-02-06T00:00:00"/>
        <d v="2024-11-03T00:00:00"/>
        <d v="2024-09-07T00:00:00"/>
        <d v="2023-05-08T00:00:00"/>
        <d v="2024-07-13T00:00:00"/>
        <d v="2023-11-09T00:00:00"/>
        <d v="2023-12-07T00:00:00"/>
        <d v="2024-03-21T00:00:00"/>
        <d v="2023-12-11T00:00:00"/>
        <d v="2023-08-26T00:00:00"/>
        <d v="2024-10-07T00:00:00"/>
        <d v="2023-09-28T00:00:00"/>
        <d v="2023-01-15T00:00:00"/>
        <d v="2023-04-07T00:00:00"/>
        <d v="2023-08-25T00:00:00"/>
        <d v="2023-04-20T00:00:00"/>
        <d v="2023-09-10T00:00:00"/>
        <d v="2024-06-22T00:00:00"/>
        <d v="2023-06-15T00:00:00"/>
        <d v="2023-10-31T00:00:00"/>
        <d v="2023-11-06T00:00:00"/>
        <d v="2023-12-14T00:00:00"/>
        <d v="2024-04-23T00:00:00"/>
        <d v="2023-01-29T00:00:00"/>
        <d v="2024-06-06T00:00:00"/>
        <d v="2023-10-02T00:00:00"/>
        <d v="2023-11-13T00:00:00"/>
        <d v="2024-02-24T00:00:00"/>
        <d v="2024-08-02T00:00:00"/>
        <d v="2024-05-04T00:00:00"/>
        <d v="2023-06-04T00:00:00"/>
        <d v="2024-05-29T00:00:00"/>
        <d v="2023-03-21T00:00:00"/>
        <d v="2024-03-06T00:00:00"/>
        <d v="2024-03-20T00:00:00"/>
        <d v="2024-06-04T00:00:00"/>
        <d v="2024-01-01T00:00:00"/>
        <d v="2024-03-22T00:00:00"/>
        <d v="2023-02-10T00:00:00"/>
        <d v="2024-10-22T00:00:00"/>
        <d v="2023-03-29T00:00:00"/>
        <d v="2024-08-01T00:00:00"/>
        <d v="2024-05-12T00:00:00"/>
        <d v="2023-03-05T00:00:00"/>
        <d v="2024-06-16T00:00:00"/>
        <d v="2023-05-18T00:00:00"/>
        <d v="2023-04-08T00:00:00"/>
        <d v="2023-01-17T00:00:00"/>
        <d v="2024-11-25T00:00:00"/>
        <d v="2023-05-27T00:00:00"/>
        <d v="2024-04-14T00:00:00"/>
        <d v="2023-12-12T00:00:00"/>
        <d v="2024-12-11T00:00:00"/>
        <d v="2023-02-26T00:00:00"/>
        <d v="2023-07-08T00:00:00"/>
        <d v="2023-01-08T00:00:00"/>
        <d v="2024-03-05T00:00:00"/>
        <d v="2024-05-11T00:00:00"/>
        <d v="2023-12-15T00:00:00"/>
        <d v="2023-03-17T00:00:00"/>
        <d v="2024-03-31T00:00:00"/>
        <d v="2024-07-12T00:00:00"/>
        <d v="2023-09-18T00:00:00"/>
        <d v="2024-12-10T00:00:00"/>
        <d v="2023-09-13T00:00:00"/>
        <d v="2024-04-24T00:00:00"/>
        <d v="2024-10-24T00:00:00"/>
        <d v="2024-06-07T00:00:00"/>
        <d v="2024-02-28T00:00:00"/>
        <d v="2023-11-20T00:00:00"/>
        <d v="2024-07-15T00:00:00"/>
        <d v="2024-10-18T00:00:00"/>
        <d v="2023-06-23T00:00:00"/>
        <d v="2023-05-19T00:00:00"/>
        <d v="2023-03-03T00:00:00"/>
        <d v="2024-01-17T00:00:00"/>
        <d v="2023-07-29T00:00:00"/>
        <d v="2024-05-14T00:00:00"/>
        <d v="2023-03-02T00:00:00"/>
        <d v="2023-08-23T00:00:00"/>
        <d v="2023-08-31T00:00:00"/>
        <d v="2023-05-07T00:00:00"/>
        <d v="2024-04-29T00:00:00"/>
        <d v="2023-07-07T00:00:00"/>
        <d v="2024-05-02T00:00:00"/>
        <d v="2024-07-19T00:00:00"/>
        <d v="2023-06-14T00:00:00"/>
        <d v="2023-12-21T00:00:00"/>
        <d v="2024-11-02T00:00:00"/>
        <d v="2023-04-05T00:00:00"/>
        <d v="2023-09-09T00:00:00"/>
        <d v="2023-04-14T00:00:00"/>
        <d v="2024-06-26T00:00:00"/>
        <d v="2024-04-08T00:00:00"/>
        <d v="2023-04-25T00:00:00"/>
        <d v="2024-01-07T00:00:00"/>
        <d v="2024-02-12T00:00:00"/>
        <d v="2024-09-22T00:00:00"/>
        <d v="2023-01-02T00:00:00"/>
        <d v="2023-12-20T00:00:00"/>
        <d v="2024-02-15T00:00:00"/>
        <d v="2024-04-12T00:00:00"/>
        <d v="2024-10-11T00:00:00"/>
        <d v="2023-10-06T00:00:00"/>
        <d v="2023-09-26T00:00:00"/>
        <d v="2022-12-23T00:00:00"/>
        <d v="2023-09-23T00:00:00"/>
        <d v="2024-03-01T00:00:00"/>
        <d v="2023-05-01T00:00:00"/>
        <d v="2023-04-06T00:00:00"/>
        <d v="2024-06-11T00:00:00"/>
        <d v="2023-10-30T00:00:00"/>
        <d v="2024-03-11T00:00:00"/>
        <d v="2024-09-03T00:00:00"/>
        <d v="2023-06-27T00:00:00"/>
        <d v="2024-12-09T00:00:00"/>
        <d v="2023-08-07T00:00:00"/>
        <d v="2023-10-05T00:00:00"/>
        <d v="2024-02-17T00:00:00"/>
        <d v="2024-05-07T00:00:00"/>
        <d v="2023-02-13T00:00:00"/>
        <d v="2024-06-10T00:00:00"/>
        <d v="2023-09-16T00:00:00"/>
        <d v="2024-01-06T00:00:00"/>
        <d v="2024-04-01T00:00:00"/>
        <d v="2024-04-02T00:00:00"/>
        <d v="2024-07-24T00:00:00"/>
        <d v="2024-07-09T00:00:00"/>
        <d v="2024-06-08T00:00:00"/>
        <d v="2024-10-19T00:00:00"/>
        <d v="2024-04-07T00:00:00"/>
        <d v="2024-11-13T00:00:00"/>
        <d v="2023-12-16T00:00:00"/>
        <d v="2023-03-22T00:00:00"/>
        <d v="2023-06-30T00:00:00"/>
        <d v="2024-07-25T00:00:00"/>
        <d v="2023-11-04T00:00:00"/>
        <d v="2023-09-07T00:00:00"/>
        <d v="2024-05-25T00:00:00"/>
        <d v="2023-04-10T00:00:00"/>
        <d v="2024-10-25T00:00:00"/>
        <d v="2023-05-28T00:00:00"/>
        <d v="2023-11-15T00:00:00"/>
        <d v="2023-01-16T00:00:00"/>
        <d v="2024-11-06T00:00:00"/>
        <d v="2024-05-23T00:00:00"/>
        <d v="2024-07-14T00:00:00"/>
        <d v="2023-09-21T00:00:00"/>
        <d v="2023-07-25T00:00:00"/>
        <d v="2023-06-03T00:00:00"/>
        <d v="2023-01-12T00:00:00"/>
        <d v="2023-02-16T00:00:00"/>
        <d v="2023-11-05T00:00:00"/>
        <d v="2024-02-21T00:00:00"/>
        <d v="2024-08-23T00:00:00"/>
        <d v="2023-03-10T00:00:00"/>
        <d v="2023-07-19T00:00:00"/>
        <d v="2023-10-04T00:00:00"/>
        <d v="2023-02-11T00:00:00"/>
        <d v="2024-11-09T00:00:00"/>
        <d v="2023-05-11T00:00:00"/>
        <d v="2024-06-25T00:00:00"/>
        <d v="2023-08-24T00:00:00"/>
        <d v="2024-08-20T00:00:00"/>
        <d v="2023-01-10T00:00:00"/>
        <d v="2024-11-27T00:00:00"/>
        <d v="2023-09-12T00:00:00"/>
        <d v="2024-11-11T00:00:00"/>
        <d v="2024-06-28T00:00:00"/>
        <d v="2024-01-27T00:00:00"/>
        <d v="2024-05-28T00:00:00"/>
        <d v="2023-04-28T00:00:00"/>
        <d v="2023-12-03T00:00:00"/>
        <d v="2024-08-14T00:00:00"/>
        <d v="2023-04-29T00:00:00"/>
        <d v="2024-03-07T00:00:00"/>
        <d v="2024-10-16T00:00:00"/>
        <d v="2023-01-30T00:00:00"/>
        <d v="2024-03-10T00:00:00"/>
        <d v="2024-09-04T00:00:00"/>
        <d v="2024-06-19T00:00:00"/>
        <d v="2023-10-26T00:00:00"/>
        <d v="2024-06-12T00:00:00"/>
        <d v="2024-10-06T00:00:00"/>
        <d v="2023-02-04T00:00:00"/>
        <d v="2023-04-16T00:00:00"/>
        <d v="2023-06-25T00:00:00"/>
        <d v="2023-02-18T00:00:00"/>
        <d v="2024-08-09T00:00:00"/>
        <d v="2023-06-16T00:00:00"/>
        <d v="2023-07-22T00:00:00"/>
        <d v="2023-08-27T00:00:00"/>
        <d v="2024-05-06T00:00:00"/>
        <d v="2023-01-13T00:00:00"/>
        <d v="2023-01-11T00:00:00"/>
        <d v="2023-08-13T00:00:00"/>
        <d v="2024-09-28T00:00:00"/>
        <d v="2023-11-29T00:00:00"/>
        <d v="2023-03-12T00:00:00"/>
        <d v="2023-06-21T00:00:00"/>
        <d v="2024-05-27T00:00:00"/>
        <d v="2024-06-05T00:00:00"/>
        <d v="2023-12-23T00:00:00"/>
        <d v="2024-04-30T00:00:00"/>
        <d v="2023-01-09T00:00:00"/>
        <d v="2024-02-10T00:00:00"/>
        <d v="2024-04-16T00:00:00"/>
        <d v="2023-12-17T00:00:00"/>
        <d v="2024-08-03T00:00:00"/>
        <d v="2023-11-08T00:00:00"/>
        <d v="2024-12-16T00:00:00"/>
        <d v="2024-03-12T00:00:00"/>
        <d v="2023-05-30T00:00:00"/>
        <d v="2024-04-05T00:00:00"/>
        <d v="2023-11-22T00:00:00"/>
        <d v="2024-04-26T00:00:00"/>
        <d v="2023-11-25T00:00:00"/>
        <m/>
      </sharedItems>
      <fieldGroup par="27"/>
    </cacheField>
    <cacheField name="Last_Login" numFmtId="0">
      <sharedItems containsNonDate="0" containsDate="1" containsString="0" containsBlank="1" minDate="2024-11-19T00:00:00" maxDate="2024-12-19T00:00:00"/>
    </cacheField>
    <cacheField name="No. of month subscribed" numFmtId="0">
      <sharedItems containsString="0" containsBlank="1" containsNumber="1" containsInteger="1" minValue="0" maxValue="23"/>
    </cacheField>
    <cacheField name="Monthly_Price" numFmtId="0">
      <sharedItems containsString="0" containsBlank="1" containsNumber="1" minValue="7.99" maxValue="15.99" count="4">
        <n v="7.99"/>
        <n v="11.99"/>
        <n v="15.99"/>
        <m/>
      </sharedItems>
    </cacheField>
    <cacheField name="Revenue per user" numFmtId="0">
      <sharedItems containsString="0" containsBlank="1" containsNumber="1" minValue="0" maxValue="367.77"/>
    </cacheField>
    <cacheField name="Watch_Hours" numFmtId="0">
      <sharedItems containsString="0" containsBlank="1" containsNumber="1" containsInteger="1" minValue="10" maxValue="500"/>
    </cacheField>
    <cacheField name="Favorite_Genre" numFmtId="0">
      <sharedItems containsBlank="1" count="8">
        <s v="Action"/>
        <s v="Drama"/>
        <s v="Sci-Fi"/>
        <s v="Documentary"/>
        <s v="Horror"/>
        <s v="Comedy"/>
        <s v="Romance"/>
        <m/>
      </sharedItems>
    </cacheField>
    <cacheField name="Active_Devices" numFmtId="0">
      <sharedItems containsString="0" containsBlank="1" containsNumber="1" containsInteger="1" minValue="1" maxValue="5"/>
    </cacheField>
    <cacheField name="Profile_Count" numFmtId="0">
      <sharedItems containsString="0" containsBlank="1" containsNumber="1" containsInteger="1" minValue="1" maxValue="6"/>
    </cacheField>
    <cacheField name="Parental_Controls" numFmtId="0">
      <sharedItems containsBlank="1"/>
    </cacheField>
    <cacheField name="Total_Movies_Watched" numFmtId="0">
      <sharedItems containsString="0" containsBlank="1" containsNumber="1" containsInteger="1" minValue="12" maxValue="1000"/>
    </cacheField>
    <cacheField name="Total_Series_Watched" numFmtId="0">
      <sharedItems containsString="0" containsBlank="1" containsNumber="1" containsInteger="1" minValue="1" maxValue="200"/>
    </cacheField>
    <cacheField name="Country" numFmtId="0">
      <sharedItems containsBlank="1"/>
    </cacheField>
    <cacheField name="Payment_Method" numFmtId="0">
      <sharedItems containsBlank="1"/>
    </cacheField>
    <cacheField name="Language_Preference" numFmtId="0">
      <sharedItems containsBlank="1"/>
    </cacheField>
    <cacheField name="Recommended_Content_Count" numFmtId="0">
      <sharedItems containsString="0" containsBlank="1" containsNumber="1" containsInteger="1" minValue="0" maxValue="100"/>
    </cacheField>
    <cacheField name="Average_Rating_Given" numFmtId="0">
      <sharedItems containsString="0" containsBlank="1" containsNumber="1" minValue="3" maxValue="5" count="22">
        <n v="3.3"/>
        <n v="4"/>
        <n v="3.1"/>
        <n v="4.5999999999999996"/>
        <n v="3.7"/>
        <n v="4.3"/>
        <n v="4.5"/>
        <n v="3.2"/>
        <n v="3"/>
        <n v="4.7"/>
        <n v="3.6"/>
        <n v="4.9000000000000004"/>
        <n v="3.9"/>
        <n v="4.0999999999999996"/>
        <n v="4.8"/>
        <n v="3.4"/>
        <n v="4.4000000000000004"/>
        <n v="3.5"/>
        <n v="4.2"/>
        <n v="5"/>
        <n v="3.8"/>
        <m/>
      </sharedItems>
    </cacheField>
    <cacheField name="Has_Downloaded_Content" numFmtId="0">
      <sharedItems containsBlank="1"/>
    </cacheField>
    <cacheField name="Membership_Status" numFmtId="0">
      <sharedItems containsBlank="1"/>
    </cacheField>
    <cacheField name="Loyalty_Points" numFmtId="0">
      <sharedItems containsString="0" containsBlank="1" containsNumber="1" containsInteger="1" minValue="3" maxValue="4990"/>
    </cacheField>
    <cacheField name="First_Device_Used" numFmtId="0">
      <sharedItems containsBlank="1"/>
    </cacheField>
    <cacheField name="Age_Group" numFmtId="0">
      <sharedItems containsBlank="1"/>
    </cacheField>
    <cacheField name="Primary_Watch_Time" numFmtId="0">
      <sharedItems containsBlank="1"/>
    </cacheField>
    <cacheField name="Months (Join_Date)" numFmtId="0" databaseField="0">
      <fieldGroup base="2">
        <rangePr groupBy="months" startDate="2022-12-19T00:00:00" endDate="2024-12-19T00:00:00"/>
        <groupItems count="14">
          <s v="&lt;19-12-2022"/>
          <s v="Jan"/>
          <s v="Feb"/>
          <s v="Mar"/>
          <s v="Apr"/>
          <s v="May"/>
          <s v="Jun"/>
          <s v="Jul"/>
          <s v="Aug"/>
          <s v="Sep"/>
          <s v="Oct"/>
          <s v="Nov"/>
          <s v="Dec"/>
          <s v="&gt;19-12-2024"/>
        </groupItems>
      </fieldGroup>
    </cacheField>
    <cacheField name="Quarters (Join_Date)" numFmtId="0" databaseField="0">
      <fieldGroup base="2">
        <rangePr groupBy="quarters" startDate="2022-12-19T00:00:00" endDate="2024-12-19T00:00:00"/>
        <groupItems count="6">
          <s v="&lt;19-12-2022"/>
          <s v="Qtr1"/>
          <s v="Qtr2"/>
          <s v="Qtr3"/>
          <s v="Qtr4"/>
          <s v="&gt;19-12-2024"/>
        </groupItems>
      </fieldGroup>
    </cacheField>
    <cacheField name="Years (Join_Date)" numFmtId="0" databaseField="0">
      <fieldGroup base="2">
        <rangePr groupBy="years" startDate="2022-12-19T00:00:00" endDate="2024-12-19T00:00:00"/>
        <groupItems count="5">
          <s v="&lt;19-12-2022"/>
          <s v="2022"/>
          <s v="2023"/>
          <s v="2024"/>
          <s v="&gt;19-12-2024"/>
        </groupItems>
      </fieldGroup>
    </cacheField>
  </cacheFields>
  <extLst>
    <ext xmlns:x14="http://schemas.microsoft.com/office/spreadsheetml/2009/9/main" uri="{725AE2AE-9491-48be-B2B4-4EB974FC3084}">
      <x14:pivotCacheDefinition pivotCacheId="16042472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ingh" refreshedDate="46157.838350925929" createdVersion="8" refreshedVersion="8" minRefreshableVersion="3" recordCount="1000" xr:uid="{920979F5-B9AB-4025-9A06-2059CC3EC4A3}">
  <cacheSource type="worksheet">
    <worksheetSource ref="A1:Y1001" sheet="streaming_service_data"/>
  </cacheSource>
  <cacheFields count="28">
    <cacheField name="User_ID" numFmtId="0">
      <sharedItems containsSemiMixedTypes="0" containsString="0" containsNumber="1" containsInteger="1" minValue="1003" maxValue="9996"/>
    </cacheField>
    <cacheField name="User_Name" numFmtId="0">
      <sharedItems count="340">
        <s v="Amber"/>
        <s v="Patrick"/>
        <s v="Robert"/>
        <s v="Cole"/>
        <s v="Jamie"/>
        <s v="Mary"/>
        <s v="Theodore"/>
        <s v="Olivia"/>
        <s v="Patricia"/>
        <s v="Linda"/>
        <s v="Nichole"/>
        <s v="Frances"/>
        <s v="Maurice"/>
        <s v="Jennifer"/>
        <s v="Cheryl"/>
        <s v="Kathy"/>
        <s v="Cassie"/>
        <s v="Charles"/>
        <s v="William"/>
        <s v="Tiffany"/>
        <s v="Mark"/>
        <s v="Anne"/>
        <s v="Carol"/>
        <s v="Cynthia"/>
        <s v="Destiny"/>
        <s v="Brittany"/>
        <s v="Amy"/>
        <s v="Kimberly"/>
        <s v="Ariel"/>
        <s v="Lauren"/>
        <s v="Joshua"/>
        <s v="Megan"/>
        <s v="Stephanie"/>
        <s v="Terrence"/>
        <s v="Julia"/>
        <s v="Derrick"/>
        <s v="Nathan"/>
        <s v="Matthew"/>
        <s v="Ashley"/>
        <s v="Kerri"/>
        <s v="Jessica"/>
        <s v="Phillip"/>
        <s v="Elizabeth"/>
        <s v="Lisa"/>
        <s v="Natalie"/>
        <s v="Autumn"/>
        <s v="James"/>
        <s v="Michael"/>
        <s v="Molly"/>
        <s v="Lance"/>
        <s v="Lori"/>
        <s v="Jeremy"/>
        <s v="Scott"/>
        <s v="Sabrina"/>
        <s v="Zachary"/>
        <s v="Levi"/>
        <s v="Christine"/>
        <s v="Emily"/>
        <s v="Jonathan"/>
        <s v="David"/>
        <s v="Gina"/>
        <s v="Kristin"/>
        <s v="Douglas"/>
        <s v="Nicole"/>
        <s v="Chloe"/>
        <s v="Kevin"/>
        <s v="Nicholas"/>
        <s v="Terry"/>
        <s v="Garrett"/>
        <s v="Jose"/>
        <s v="Courtney"/>
        <s v="Kim"/>
        <s v="Katherine"/>
        <s v="Lynn"/>
        <s v="Leah"/>
        <s v="Kayla"/>
        <s v="Katelyn"/>
        <s v="Maria"/>
        <s v="Justin"/>
        <s v="Susan"/>
        <s v="Sue"/>
        <s v="Jean"/>
        <s v="Ebony"/>
        <s v="Derek"/>
        <s v="John"/>
        <s v="Rebecca"/>
        <s v="Juan"/>
        <s v="Gabrielle"/>
        <s v="Samantha"/>
        <s v="Jesse"/>
        <s v="Aaron"/>
        <s v="Melissa"/>
        <s v="Erin"/>
        <s v="Dale"/>
        <s v="Gregory"/>
        <s v="Sarah"/>
        <s v="Carmen"/>
        <s v="April"/>
        <s v="Anthony"/>
        <s v="Brett"/>
        <s v="Carly"/>
        <s v="Dennis"/>
        <s v="Alexandra"/>
        <s v="Ryan"/>
        <s v="Tony"/>
        <s v="Daniel"/>
        <s v="Jacob"/>
        <s v="Carolyn"/>
        <s v="Denise"/>
        <s v="Cassandra"/>
        <s v="Dustin"/>
        <s v="Crystal"/>
        <s v="Barbara"/>
        <s v="Kathryn"/>
        <s v="Christopher"/>
        <s v="Martin"/>
        <s v="Taylor"/>
        <s v="Vickie"/>
        <s v="Betty"/>
        <s v="Amanda"/>
        <s v="Stephen"/>
        <s v="Dawn"/>
        <s v="Paul"/>
        <s v="Kenneth"/>
        <s v="Bruce"/>
        <s v="Andrew"/>
        <s v="Brandon"/>
        <s v="Steven"/>
        <s v="Hunter"/>
        <s v="Catherine"/>
        <s v="Jeff"/>
        <s v="Cathy"/>
        <s v="Sylvia"/>
        <s v="Joseph"/>
        <s v="Laurie"/>
        <s v="Danielle"/>
        <s v="Alexander"/>
        <s v="Randy"/>
        <s v="Michelle"/>
        <s v="Chris"/>
        <s v="Sherri"/>
        <s v="Angela"/>
        <s v="Francis"/>
        <s v="Katie"/>
        <s v="Natasha"/>
        <s v="Julie"/>
        <s v="Jaime"/>
        <s v="Emma"/>
        <s v="Briana"/>
        <s v="Bradley"/>
        <s v="Devin"/>
        <s v="Eric"/>
        <s v="Brian"/>
        <s v="Ann"/>
        <s v="Valerie"/>
        <s v="Carrie"/>
        <s v="Randall"/>
        <s v="Victor"/>
        <s v="Richard"/>
        <s v="Tyler"/>
        <s v="Johnny"/>
        <s v="Jesus"/>
        <s v="Jill"/>
        <s v="Andrea"/>
        <s v="Sara"/>
        <s v="Tammy"/>
        <s v="Sandra"/>
        <s v="Alicia"/>
        <s v="Margaret"/>
        <s v="Renee"/>
        <s v="Wayne"/>
        <s v="Rhonda"/>
        <s v="Darrell"/>
        <s v="Diana"/>
        <s v="Christina"/>
        <s v="Darlene"/>
        <s v="Janet"/>
        <s v="Ethan"/>
        <s v="Phyllis"/>
        <s v="Joel"/>
        <s v="Craig"/>
        <s v="Jordan"/>
        <s v="Victoria"/>
        <s v="Rachel"/>
        <s v="Tina"/>
        <s v="Vincent"/>
        <s v="Cindy"/>
        <s v="Gary"/>
        <s v="Lindsey"/>
        <s v="Gabriel"/>
        <s v="Heidi"/>
        <s v="Darren"/>
        <s v="Bethany"/>
        <s v="Beth"/>
        <s v="Allen"/>
        <s v="Veronica"/>
        <s v="Larry"/>
        <s v="Makayla"/>
        <s v="Angelica"/>
        <s v="Timothy"/>
        <s v="Karen"/>
        <s v="Anna"/>
        <s v="Felicia"/>
        <s v="Stacey"/>
        <s v="Alison"/>
        <s v="Harold"/>
        <s v="Rick"/>
        <s v="Troy"/>
        <s v="Judy"/>
        <s v="Jeffrey"/>
        <s v="Meghan"/>
        <s v="Calvin"/>
        <s v="Sheri"/>
        <s v="Tommy"/>
        <s v="Trevor"/>
        <s v="Dana"/>
        <s v="Jasmine"/>
        <s v="Chelsea"/>
        <s v="Kristy"/>
        <s v="Terri"/>
        <s v="Madison"/>
        <s v="Alyssa"/>
        <s v="Carlos"/>
        <s v="Debra"/>
        <s v="Bianca"/>
        <s v="Joann"/>
        <s v="Gail"/>
        <s v="Travis"/>
        <s v="Reginald"/>
        <s v="Ian"/>
        <s v="Claudia"/>
        <s v="Kristina"/>
        <s v="Desiree"/>
        <s v="Audrey"/>
        <s v="Pamela"/>
        <s v="Jane"/>
        <s v="Norma"/>
        <s v="Wendy"/>
        <s v="Marie"/>
        <s v="Cory"/>
        <s v="Cameron"/>
        <s v="Jerry"/>
        <s v="Brittney"/>
        <s v="Thomas"/>
        <s v="Bryan"/>
        <s v="Walter"/>
        <s v="Samuel"/>
        <s v="Dylan"/>
        <s v="Heather"/>
        <s v="Marisa"/>
        <s v="Tracy"/>
        <s v="Angel"/>
        <s v="Caitlin"/>
        <s v="Johnathan"/>
        <s v="Mariah"/>
        <s v="Jerome"/>
        <s v="Devon"/>
        <s v="Antonio"/>
        <s v="Billy"/>
        <s v="Kelsey"/>
        <s v="Erica"/>
        <s v="Donna"/>
        <s v="Paige"/>
        <s v="Todd"/>
        <s v="Sherry"/>
        <s v="Erika"/>
        <s v="Keith"/>
        <s v="Jimmy"/>
        <s v="Adam"/>
        <s v="Miranda"/>
        <s v="Sierra"/>
        <s v="Andre"/>
        <s v="Jocelyn"/>
        <s v="Kara"/>
        <s v="Krista"/>
        <s v="Eugene"/>
        <s v="Abigail"/>
        <s v="Hayden"/>
        <s v="Carla"/>
        <s v="Shane"/>
        <s v="Brooke"/>
        <s v="Stefanie"/>
        <s v="Jeffery"/>
        <s v="Xavier"/>
        <s v="Kelly"/>
        <s v="Anita"/>
        <s v="Nicolas"/>
        <s v="Hector"/>
        <s v="Jack"/>
        <s v="Julian"/>
        <s v="Jason"/>
        <s v="Jonathon"/>
        <s v="Grace"/>
        <s v="Melvin"/>
        <s v="Kurt"/>
        <s v="Glenda"/>
        <s v="Duane"/>
        <s v="Cody"/>
        <s v="Tanya"/>
        <s v="Claire"/>
        <s v="Caroline"/>
        <s v="Benjamin"/>
        <s v="Yolanda"/>
        <s v="Peter"/>
        <s v="Norman"/>
        <s v="Katrina"/>
        <s v="Shannon"/>
        <s v="Suzanne"/>
        <s v="Jaclyn"/>
        <s v="Deborah"/>
        <s v="Allison"/>
        <s v="Christian"/>
        <s v="Lindsay"/>
        <s v="Breanna"/>
        <s v="Marvin"/>
        <s v="Michele"/>
        <s v="Edward"/>
        <s v="Leslie"/>
        <s v="Donald"/>
        <s v="Grant"/>
        <s v="Sydney"/>
        <s v="Shawna"/>
        <s v="Chad"/>
        <s v="Marissa"/>
        <s v="Mason"/>
        <s v="Alvin"/>
        <s v="Yvonne"/>
        <s v="Gene"/>
        <s v="Nina"/>
        <s v="Stacy"/>
        <s v="Kristen"/>
        <s v="Laura"/>
        <s v="Jeremiah"/>
        <s v="Leon"/>
        <s v="Tracey"/>
        <s v="Helen"/>
        <s v="Kyle"/>
        <s v="Alexandria"/>
        <s v="Spencer"/>
        <s v="Gregg"/>
      </sharedItems>
    </cacheField>
    <cacheField name="Join_Date" numFmtId="14">
      <sharedItems containsSemiMixedTypes="0" containsNonDate="0" containsDate="1" containsString="0" minDate="2022-12-19T00:00:00" maxDate="2024-12-19T00:00:00" count="540">
        <d v="2023-05-15T00:00:00"/>
        <d v="2023-04-03T00:00:00"/>
        <d v="2023-08-02T00:00:00"/>
        <d v="2023-01-31T00:00:00"/>
        <d v="2023-06-06T00:00:00"/>
        <d v="2023-09-17T00:00:00"/>
        <d v="2024-08-25T00:00:00"/>
        <d v="2024-05-31T00:00:00"/>
        <d v="2023-06-17T00:00:00"/>
        <d v="2023-12-02T00:00:00"/>
        <d v="2023-03-28T00:00:00"/>
        <d v="2024-03-02T00:00:00"/>
        <d v="2023-03-27T00:00:00"/>
        <d v="2024-09-15T00:00:00"/>
        <d v="2023-06-07T00:00:00"/>
        <d v="2024-05-18T00:00:00"/>
        <d v="2023-02-14T00:00:00"/>
        <d v="2023-06-02T00:00:00"/>
        <d v="2023-09-20T00:00:00"/>
        <d v="2023-07-03T00:00:00"/>
        <d v="2023-07-15T00:00:00"/>
        <d v="2024-06-13T00:00:00"/>
        <d v="2023-11-19T00:00:00"/>
        <d v="2023-09-22T00:00:00"/>
        <d v="2024-05-15T00:00:00"/>
        <d v="2023-06-19T00:00:00"/>
        <d v="2024-05-22T00:00:00"/>
        <d v="2024-01-30T00:00:00"/>
        <d v="2024-03-28T00:00:00"/>
        <d v="2024-07-02T00:00:00"/>
        <d v="2024-12-06T00:00:00"/>
        <d v="2023-06-22T00:00:00"/>
        <d v="2023-11-28T00:00:00"/>
        <d v="2024-01-10T00:00:00"/>
        <d v="2024-10-03T00:00:00"/>
        <d v="2023-09-15T00:00:00"/>
        <d v="2024-10-01T00:00:00"/>
        <d v="2023-08-18T00:00:00"/>
        <d v="2024-02-16T00:00:00"/>
        <d v="2024-08-07T00:00:00"/>
        <d v="2024-09-17T00:00:00"/>
        <d v="2023-07-18T00:00:00"/>
        <d v="2023-04-04T00:00:00"/>
        <d v="2024-04-11T00:00:00"/>
        <d v="2023-04-26T00:00:00"/>
        <d v="2023-03-25T00:00:00"/>
        <d v="2023-09-01T00:00:00"/>
        <d v="2023-03-26T00:00:00"/>
        <d v="2024-06-18T00:00:00"/>
        <d v="2023-07-27T00:00:00"/>
        <d v="2024-10-31T00:00:00"/>
        <d v="2022-12-26T00:00:00"/>
        <d v="2024-04-06T00:00:00"/>
        <d v="2022-12-31T00:00:00"/>
        <d v="2022-12-24T00:00:00"/>
        <d v="2024-09-08T00:00:00"/>
        <d v="2023-12-19T00:00:00"/>
        <d v="2023-10-12T00:00:00"/>
        <d v="2023-02-03T00:00:00"/>
        <d v="2024-11-24T00:00:00"/>
        <d v="2023-06-24T00:00:00"/>
        <d v="2023-12-29T00:00:00"/>
        <d v="2023-03-01T00:00:00"/>
        <d v="2024-03-15T00:00:00"/>
        <d v="2023-04-13T00:00:00"/>
        <d v="2023-02-19T00:00:00"/>
        <d v="2023-11-26T00:00:00"/>
        <d v="2023-10-13T00:00:00"/>
        <d v="2023-07-31T00:00:00"/>
        <d v="2023-09-06T00:00:00"/>
        <d v="2024-07-08T00:00:00"/>
        <d v="2024-07-20T00:00:00"/>
        <d v="2023-12-06T00:00:00"/>
        <d v="2023-10-25T00:00:00"/>
        <d v="2023-12-31T00:00:00"/>
        <d v="2023-08-20T00:00:00"/>
        <d v="2024-10-20T00:00:00"/>
        <d v="2024-07-22T00:00:00"/>
        <d v="2024-08-21T00:00:00"/>
        <d v="2024-08-31T00:00:00"/>
        <d v="2023-04-30T00:00:00"/>
        <d v="2023-12-18T00:00:00"/>
        <d v="2023-10-22T00:00:00"/>
        <d v="2024-02-29T00:00:00"/>
        <d v="2023-09-11T00:00:00"/>
        <d v="2024-06-24T00:00:00"/>
        <d v="2023-02-05T00:00:00"/>
        <d v="2023-10-21T00:00:00"/>
        <d v="2023-08-03T00:00:00"/>
        <d v="2023-10-28T00:00:00"/>
        <d v="2023-04-15T00:00:00"/>
        <d v="2022-12-19T00:00:00"/>
        <d v="2024-02-14T00:00:00"/>
        <d v="2024-06-01T00:00:00"/>
        <d v="2023-07-23T00:00:00"/>
        <d v="2024-10-30T00:00:00"/>
        <d v="2023-12-08T00:00:00"/>
        <d v="2024-07-06T00:00:00"/>
        <d v="2023-06-20T00:00:00"/>
        <d v="2024-03-19T00:00:00"/>
        <d v="2023-02-17T00:00:00"/>
        <d v="2023-08-06T00:00:00"/>
        <d v="2022-12-21T00:00:00"/>
        <d v="2024-03-03T00:00:00"/>
        <d v="2024-02-11T00:00:00"/>
        <d v="2024-09-26T00:00:00"/>
        <d v="2023-10-01T00:00:00"/>
        <d v="2024-12-17T00:00:00"/>
        <d v="2023-04-02T00:00:00"/>
        <d v="2024-07-11T00:00:00"/>
        <d v="2024-01-20T00:00:00"/>
        <d v="2024-11-18T00:00:00"/>
        <d v="2023-03-07T00:00:00"/>
        <d v="2023-10-03T00:00:00"/>
        <d v="2024-12-14T00:00:00"/>
        <d v="2024-11-14T00:00:00"/>
        <d v="2023-02-08T00:00:00"/>
        <d v="2024-10-15T00:00:00"/>
        <d v="2024-05-30T00:00:00"/>
        <d v="2023-01-23T00:00:00"/>
        <d v="2023-11-24T00:00:00"/>
        <d v="2024-02-02T00:00:00"/>
        <d v="2024-11-21T00:00:00"/>
        <d v="2023-03-19T00:00:00"/>
        <d v="2023-05-03T00:00:00"/>
        <d v="2024-12-12T00:00:00"/>
        <d v="2024-01-12T00:00:00"/>
        <d v="2022-12-25T00:00:00"/>
        <d v="2023-02-20T00:00:00"/>
        <d v="2024-12-01T00:00:00"/>
        <d v="2023-05-12T00:00:00"/>
        <d v="2023-02-23T00:00:00"/>
        <d v="2023-05-05T00:00:00"/>
        <d v="2023-09-05T00:00:00"/>
        <d v="2024-10-17T00:00:00"/>
        <d v="2024-08-11T00:00:00"/>
        <d v="2024-09-30T00:00:00"/>
        <d v="2022-12-30T00:00:00"/>
        <d v="2024-04-04T00:00:00"/>
        <d v="2023-03-06T00:00:00"/>
        <d v="2023-10-18T00:00:00"/>
        <d v="2024-06-17T00:00:00"/>
        <d v="2024-01-14T00:00:00"/>
        <d v="2024-12-04T00:00:00"/>
        <d v="2023-11-03T00:00:00"/>
        <d v="2024-02-01T00:00:00"/>
        <d v="2024-04-28T00:00:00"/>
        <d v="2024-09-21T00:00:00"/>
        <d v="2023-02-07T00:00:00"/>
        <d v="2023-06-10T00:00:00"/>
        <d v="2024-05-19T00:00:00"/>
        <d v="2024-02-20T00:00:00"/>
        <d v="2023-03-13T00:00:00"/>
        <d v="2023-02-25T00:00:00"/>
        <d v="2023-10-17T00:00:00"/>
        <d v="2023-04-19T00:00:00"/>
        <d v="2024-02-23T00:00:00"/>
        <d v="2023-06-18T00:00:00"/>
        <d v="2024-03-26T00:00:00"/>
        <d v="2024-12-18T00:00:00"/>
        <d v="2024-11-16T00:00:00"/>
        <d v="2024-10-21T00:00:00"/>
        <d v="2024-01-26T00:00:00"/>
        <d v="2023-09-24T00:00:00"/>
        <d v="2024-02-07T00:00:00"/>
        <d v="2023-07-06T00:00:00"/>
        <d v="2024-07-17T00:00:00"/>
        <d v="2024-10-27T00:00:00"/>
        <d v="2024-07-04T00:00:00"/>
        <d v="2024-08-13T00:00:00"/>
        <d v="2024-05-05T00:00:00"/>
        <d v="2023-12-04T00:00:00"/>
        <d v="2024-02-22T00:00:00"/>
        <d v="2023-05-14T00:00:00"/>
        <d v="2023-06-08T00:00:00"/>
        <d v="2024-08-08T00:00:00"/>
        <d v="2023-06-11T00:00:00"/>
        <d v="2023-01-19T00:00:00"/>
        <d v="2023-05-10T00:00:00"/>
        <d v="2023-06-01T00:00:00"/>
        <d v="2024-05-03T00:00:00"/>
        <d v="2024-03-25T00:00:00"/>
        <d v="2023-05-22T00:00:00"/>
        <d v="2024-06-14T00:00:00"/>
        <d v="2023-08-17T00:00:00"/>
        <d v="2023-12-10T00:00:00"/>
        <d v="2024-02-27T00:00:00"/>
        <d v="2024-09-01T00:00:00"/>
        <d v="2024-08-16T00:00:00"/>
        <d v="2024-12-05T00:00:00"/>
        <d v="2023-08-12T00:00:00"/>
        <d v="2023-05-16T00:00:00"/>
        <d v="2024-09-19T00:00:00"/>
        <d v="2024-10-12T00:00:00"/>
        <d v="2024-09-12T00:00:00"/>
        <d v="2023-05-23T00:00:00"/>
        <d v="2023-11-12T00:00:00"/>
        <d v="2024-12-08T00:00:00"/>
        <d v="2023-11-18T00:00:00"/>
        <d v="2023-09-08T00:00:00"/>
        <d v="2024-02-26T00:00:00"/>
        <d v="2023-07-11T00:00:00"/>
        <d v="2023-02-02T00:00:00"/>
        <d v="2023-01-01T00:00:00"/>
        <d v="2024-03-23T00:00:00"/>
        <d v="2024-01-09T00:00:00"/>
        <d v="2023-03-04T00:00:00"/>
        <d v="2024-01-04T00:00:00"/>
        <d v="2023-09-03T00:00:00"/>
        <d v="2024-09-23T00:00:00"/>
        <d v="2023-08-29T00:00:00"/>
        <d v="2023-12-26T00:00:00"/>
        <d v="2024-04-25T00:00:00"/>
        <d v="2023-04-24T00:00:00"/>
        <d v="2024-11-23T00:00:00"/>
        <d v="2023-11-11T00:00:00"/>
        <d v="2023-08-30T00:00:00"/>
        <d v="2024-06-03T00:00:00"/>
        <d v="2024-01-29T00:00:00"/>
        <d v="2024-09-05T00:00:00"/>
        <d v="2023-02-24T00:00:00"/>
        <d v="2023-01-03T00:00:00"/>
        <d v="2024-03-09T00:00:00"/>
        <d v="2023-06-26T00:00:00"/>
        <d v="2024-06-02T00:00:00"/>
        <d v="2023-01-18T00:00:00"/>
        <d v="2023-10-15T00:00:00"/>
        <d v="2023-02-09T00:00:00"/>
        <d v="2024-11-17T00:00:00"/>
        <d v="2024-06-21T00:00:00"/>
        <d v="2024-09-24T00:00:00"/>
        <d v="2023-01-05T00:00:00"/>
        <d v="2023-07-26T00:00:00"/>
        <d v="2023-05-29T00:00:00"/>
        <d v="2023-10-23T00:00:00"/>
        <d v="2023-04-22T00:00:00"/>
        <d v="2023-02-21T00:00:00"/>
        <d v="2024-10-28T00:00:00"/>
        <d v="2024-05-10T00:00:00"/>
        <d v="2023-08-05T00:00:00"/>
        <d v="2024-07-28T00:00:00"/>
        <d v="2024-07-10T00:00:00"/>
        <d v="2023-07-28T00:00:00"/>
        <d v="2024-10-10T00:00:00"/>
        <d v="2023-04-17T00:00:00"/>
        <d v="2023-02-15T00:00:00"/>
        <d v="2024-01-19T00:00:00"/>
        <d v="2023-07-21T00:00:00"/>
        <d v="2024-10-29T00:00:00"/>
        <d v="2024-02-03T00:00:00"/>
        <d v="2023-08-08T00:00:00"/>
        <d v="2024-01-13T00:00:00"/>
        <d v="2024-09-27T00:00:00"/>
        <d v="2023-08-04T00:00:00"/>
        <d v="2023-01-28T00:00:00"/>
        <d v="2024-03-14T00:00:00"/>
        <d v="2023-03-08T00:00:00"/>
        <d v="2024-05-17T00:00:00"/>
        <d v="2023-01-24T00:00:00"/>
        <d v="2024-05-09T00:00:00"/>
        <d v="2023-05-31T00:00:00"/>
        <d v="2024-08-10T00:00:00"/>
        <d v="2024-09-25T00:00:00"/>
        <d v="2023-08-11T00:00:00"/>
        <d v="2024-01-05T00:00:00"/>
        <d v="2023-12-22T00:00:00"/>
        <d v="2023-12-28T00:00:00"/>
        <d v="2023-03-18T00:00:00"/>
        <d v="2024-11-05T00:00:00"/>
        <d v="2023-05-26T00:00:00"/>
        <d v="2024-10-14T00:00:00"/>
        <d v="2024-08-19T00:00:00"/>
        <d v="2023-03-20T00:00:00"/>
        <d v="2023-01-25T00:00:00"/>
        <d v="2023-09-29T00:00:00"/>
        <d v="2024-04-13T00:00:00"/>
        <d v="2023-07-09T00:00:00"/>
        <d v="2022-12-27T00:00:00"/>
        <d v="2023-04-12T00:00:00"/>
        <d v="2024-09-02T00:00:00"/>
        <d v="2024-07-21T00:00:00"/>
        <d v="2024-09-11T00:00:00"/>
        <d v="2024-09-16T00:00:00"/>
        <d v="2024-01-16T00:00:00"/>
        <d v="2023-01-26T00:00:00"/>
        <d v="2023-05-21T00:00:00"/>
        <d v="2024-04-21T00:00:00"/>
        <d v="2024-08-29T00:00:00"/>
        <d v="2023-11-30T00:00:00"/>
        <d v="2024-01-02T00:00:00"/>
        <d v="2024-01-18T00:00:00"/>
        <d v="2023-09-04T00:00:00"/>
        <d v="2024-07-27T00:00:00"/>
        <d v="2024-04-17T00:00:00"/>
        <d v="2024-07-23T00:00:00"/>
        <d v="2024-04-19T00:00:00"/>
        <d v="2023-09-19T00:00:00"/>
        <d v="2023-07-10T00:00:00"/>
        <d v="2024-07-30T00:00:00"/>
        <d v="2023-08-28T00:00:00"/>
        <d v="2024-06-30T00:00:00"/>
        <d v="2023-11-07T00:00:00"/>
        <d v="2024-06-20T00:00:00"/>
        <d v="2024-04-22T00:00:00"/>
        <d v="2024-08-28T00:00:00"/>
        <d v="2022-12-20T00:00:00"/>
        <d v="2024-01-25T00:00:00"/>
        <d v="2024-08-22T00:00:00"/>
        <d v="2023-10-27T00:00:00"/>
        <d v="2023-04-21T00:00:00"/>
        <d v="2023-12-30T00:00:00"/>
        <d v="2024-11-20T00:00:00"/>
        <d v="2024-02-19T00:00:00"/>
        <d v="2024-05-08T00:00:00"/>
        <d v="2024-10-13T00:00:00"/>
        <d v="2024-10-02T00:00:00"/>
        <d v="2024-09-18T00:00:00"/>
        <d v="2023-05-17T00:00:00"/>
        <d v="2024-09-13T00:00:00"/>
        <d v="2024-01-21T00:00:00"/>
        <d v="2023-05-25T00:00:00"/>
        <d v="2024-10-05T00:00:00"/>
        <d v="2023-12-13T00:00:00"/>
        <d v="2024-02-06T00:00:00"/>
        <d v="2024-11-03T00:00:00"/>
        <d v="2024-09-07T00:00:00"/>
        <d v="2023-05-08T00:00:00"/>
        <d v="2024-07-13T00:00:00"/>
        <d v="2023-11-09T00:00:00"/>
        <d v="2023-12-07T00:00:00"/>
        <d v="2024-03-21T00:00:00"/>
        <d v="2023-12-11T00:00:00"/>
        <d v="2023-08-26T00:00:00"/>
        <d v="2024-10-07T00:00:00"/>
        <d v="2023-09-28T00:00:00"/>
        <d v="2023-01-15T00:00:00"/>
        <d v="2023-04-07T00:00:00"/>
        <d v="2023-08-25T00:00:00"/>
        <d v="2023-04-20T00:00:00"/>
        <d v="2023-09-10T00:00:00"/>
        <d v="2024-06-22T00:00:00"/>
        <d v="2023-06-15T00:00:00"/>
        <d v="2023-10-31T00:00:00"/>
        <d v="2023-11-06T00:00:00"/>
        <d v="2023-12-14T00:00:00"/>
        <d v="2024-04-23T00:00:00"/>
        <d v="2023-01-29T00:00:00"/>
        <d v="2024-06-06T00:00:00"/>
        <d v="2023-10-02T00:00:00"/>
        <d v="2023-11-13T00:00:00"/>
        <d v="2024-02-24T00:00:00"/>
        <d v="2024-08-02T00:00:00"/>
        <d v="2024-05-04T00:00:00"/>
        <d v="2023-06-04T00:00:00"/>
        <d v="2024-05-29T00:00:00"/>
        <d v="2023-03-21T00:00:00"/>
        <d v="2024-03-06T00:00:00"/>
        <d v="2024-03-20T00:00:00"/>
        <d v="2024-06-04T00:00:00"/>
        <d v="2024-01-01T00:00:00"/>
        <d v="2024-03-22T00:00:00"/>
        <d v="2023-02-10T00:00:00"/>
        <d v="2024-10-22T00:00:00"/>
        <d v="2023-03-29T00:00:00"/>
        <d v="2024-08-01T00:00:00"/>
        <d v="2024-05-12T00:00:00"/>
        <d v="2023-03-05T00:00:00"/>
        <d v="2024-06-16T00:00:00"/>
        <d v="2023-05-18T00:00:00"/>
        <d v="2023-04-08T00:00:00"/>
        <d v="2023-01-17T00:00:00"/>
        <d v="2024-11-25T00:00:00"/>
        <d v="2023-05-27T00:00:00"/>
        <d v="2024-04-14T00:00:00"/>
        <d v="2023-12-12T00:00:00"/>
        <d v="2024-12-11T00:00:00"/>
        <d v="2023-02-26T00:00:00"/>
        <d v="2023-07-08T00:00:00"/>
        <d v="2023-01-08T00:00:00"/>
        <d v="2024-03-05T00:00:00"/>
        <d v="2024-05-11T00:00:00"/>
        <d v="2023-12-15T00:00:00"/>
        <d v="2023-03-17T00:00:00"/>
        <d v="2024-03-31T00:00:00"/>
        <d v="2024-07-12T00:00:00"/>
        <d v="2023-09-18T00:00:00"/>
        <d v="2024-12-10T00:00:00"/>
        <d v="2023-09-13T00:00:00"/>
        <d v="2024-04-24T00:00:00"/>
        <d v="2024-10-24T00:00:00"/>
        <d v="2024-06-07T00:00:00"/>
        <d v="2024-02-28T00:00:00"/>
        <d v="2023-11-20T00:00:00"/>
        <d v="2024-07-15T00:00:00"/>
        <d v="2024-10-18T00:00:00"/>
        <d v="2023-06-23T00:00:00"/>
        <d v="2023-05-19T00:00:00"/>
        <d v="2023-03-03T00:00:00"/>
        <d v="2024-01-17T00:00:00"/>
        <d v="2023-07-29T00:00:00"/>
        <d v="2024-05-14T00:00:00"/>
        <d v="2023-03-02T00:00:00"/>
        <d v="2023-08-23T00:00:00"/>
        <d v="2023-08-31T00:00:00"/>
        <d v="2023-05-07T00:00:00"/>
        <d v="2024-04-29T00:00:00"/>
        <d v="2023-07-07T00:00:00"/>
        <d v="2024-05-02T00:00:00"/>
        <d v="2024-07-19T00:00:00"/>
        <d v="2023-06-14T00:00:00"/>
        <d v="2023-12-21T00:00:00"/>
        <d v="2024-11-02T00:00:00"/>
        <d v="2023-04-05T00:00:00"/>
        <d v="2023-09-09T00:00:00"/>
        <d v="2023-04-14T00:00:00"/>
        <d v="2024-06-26T00:00:00"/>
        <d v="2024-04-08T00:00:00"/>
        <d v="2023-04-25T00:00:00"/>
        <d v="2024-01-07T00:00:00"/>
        <d v="2024-02-12T00:00:00"/>
        <d v="2024-09-22T00:00:00"/>
        <d v="2023-01-02T00:00:00"/>
        <d v="2023-12-20T00:00:00"/>
        <d v="2024-02-15T00:00:00"/>
        <d v="2024-04-12T00:00:00"/>
        <d v="2024-10-11T00:00:00"/>
        <d v="2023-10-06T00:00:00"/>
        <d v="2023-09-26T00:00:00"/>
        <d v="2022-12-23T00:00:00"/>
        <d v="2023-09-23T00:00:00"/>
        <d v="2024-03-01T00:00:00"/>
        <d v="2023-05-01T00:00:00"/>
        <d v="2023-04-06T00:00:00"/>
        <d v="2024-06-11T00:00:00"/>
        <d v="2023-10-30T00:00:00"/>
        <d v="2024-03-11T00:00:00"/>
        <d v="2024-09-03T00:00:00"/>
        <d v="2023-06-27T00:00:00"/>
        <d v="2024-12-09T00:00:00"/>
        <d v="2023-08-07T00:00:00"/>
        <d v="2023-10-05T00:00:00"/>
        <d v="2024-02-17T00:00:00"/>
        <d v="2024-05-07T00:00:00"/>
        <d v="2023-02-13T00:00:00"/>
        <d v="2024-06-10T00:00:00"/>
        <d v="2023-09-16T00:00:00"/>
        <d v="2024-01-06T00:00:00"/>
        <d v="2024-04-01T00:00:00"/>
        <d v="2024-04-02T00:00:00"/>
        <d v="2024-07-24T00:00:00"/>
        <d v="2024-07-09T00:00:00"/>
        <d v="2024-06-08T00:00:00"/>
        <d v="2024-10-19T00:00:00"/>
        <d v="2024-04-07T00:00:00"/>
        <d v="2024-11-13T00:00:00"/>
        <d v="2023-12-16T00:00:00"/>
        <d v="2023-03-22T00:00:00"/>
        <d v="2023-06-30T00:00:00"/>
        <d v="2024-07-25T00:00:00"/>
        <d v="2023-11-04T00:00:00"/>
        <d v="2023-09-07T00:00:00"/>
        <d v="2024-05-25T00:00:00"/>
        <d v="2023-04-10T00:00:00"/>
        <d v="2024-10-25T00:00:00"/>
        <d v="2023-05-28T00:00:00"/>
        <d v="2023-11-15T00:00:00"/>
        <d v="2023-01-16T00:00:00"/>
        <d v="2024-11-06T00:00:00"/>
        <d v="2024-05-23T00:00:00"/>
        <d v="2024-07-14T00:00:00"/>
        <d v="2023-09-21T00:00:00"/>
        <d v="2023-07-25T00:00:00"/>
        <d v="2023-06-03T00:00:00"/>
        <d v="2023-01-12T00:00:00"/>
        <d v="2023-02-16T00:00:00"/>
        <d v="2023-11-05T00:00:00"/>
        <d v="2024-02-21T00:00:00"/>
        <d v="2024-08-23T00:00:00"/>
        <d v="2023-03-10T00:00:00"/>
        <d v="2023-07-19T00:00:00"/>
        <d v="2023-10-04T00:00:00"/>
        <d v="2023-02-11T00:00:00"/>
        <d v="2024-11-09T00:00:00"/>
        <d v="2023-05-11T00:00:00"/>
        <d v="2024-06-25T00:00:00"/>
        <d v="2023-08-24T00:00:00"/>
        <d v="2024-08-20T00:00:00"/>
        <d v="2023-01-10T00:00:00"/>
        <d v="2024-11-27T00:00:00"/>
        <d v="2023-09-12T00:00:00"/>
        <d v="2024-11-11T00:00:00"/>
        <d v="2024-06-28T00:00:00"/>
        <d v="2024-01-27T00:00:00"/>
        <d v="2024-05-28T00:00:00"/>
        <d v="2023-04-28T00:00:00"/>
        <d v="2023-12-03T00:00:00"/>
        <d v="2024-08-14T00:00:00"/>
        <d v="2023-04-29T00:00:00"/>
        <d v="2024-03-07T00:00:00"/>
        <d v="2024-10-16T00:00:00"/>
        <d v="2023-01-30T00:00:00"/>
        <d v="2024-03-10T00:00:00"/>
        <d v="2024-09-04T00:00:00"/>
        <d v="2024-06-19T00:00:00"/>
        <d v="2023-10-26T00:00:00"/>
        <d v="2024-06-12T00:00:00"/>
        <d v="2024-10-06T00:00:00"/>
        <d v="2023-02-04T00:00:00"/>
        <d v="2023-04-16T00:00:00"/>
        <d v="2023-06-25T00:00:00"/>
        <d v="2023-02-18T00:00:00"/>
        <d v="2024-08-09T00:00:00"/>
        <d v="2023-06-16T00:00:00"/>
        <d v="2023-07-22T00:00:00"/>
        <d v="2023-08-27T00:00:00"/>
        <d v="2024-05-06T00:00:00"/>
        <d v="2023-01-13T00:00:00"/>
        <d v="2023-01-11T00:00:00"/>
        <d v="2023-08-13T00:00:00"/>
        <d v="2024-09-28T00:00:00"/>
        <d v="2023-11-29T00:00:00"/>
        <d v="2023-03-12T00:00:00"/>
        <d v="2023-06-21T00:00:00"/>
        <d v="2024-05-27T00:00:00"/>
        <d v="2024-06-05T00:00:00"/>
        <d v="2023-12-23T00:00:00"/>
        <d v="2024-04-30T00:00:00"/>
        <d v="2023-01-09T00:00:00"/>
        <d v="2024-02-10T00:00:00"/>
        <d v="2024-04-16T00:00:00"/>
        <d v="2023-12-17T00:00:00"/>
        <d v="2024-08-03T00:00:00"/>
        <d v="2023-11-08T00:00:00"/>
        <d v="2024-12-16T00:00:00"/>
        <d v="2024-03-12T00:00:00"/>
        <d v="2023-05-30T00:00:00"/>
        <d v="2024-04-05T00:00:00"/>
        <d v="2023-11-22T00:00:00"/>
        <d v="2024-04-26T00:00:00"/>
        <d v="2023-11-25T00:00:00"/>
      </sharedItems>
      <fieldGroup par="27"/>
    </cacheField>
    <cacheField name="Last_Login" numFmtId="14">
      <sharedItems containsSemiMixedTypes="0" containsNonDate="0" containsDate="1" containsString="0" minDate="2024-11-19T00:00:00" maxDate="2024-12-19T00:00:00" count="30">
        <d v="2024-12-13T00:00:00"/>
        <d v="2024-12-15T00:00:00"/>
        <d v="2024-12-14T00:00:00"/>
        <d v="2024-12-02T00:00:00"/>
        <d v="2024-11-19T00:00:00"/>
        <d v="2024-12-10T00:00:00"/>
        <d v="2024-12-17T00:00:00"/>
        <d v="2024-11-22T00:00:00"/>
        <d v="2024-11-20T00:00:00"/>
        <d v="2024-11-25T00:00:00"/>
        <d v="2024-11-30T00:00:00"/>
        <d v="2024-12-11T00:00:00"/>
        <d v="2024-11-27T00:00:00"/>
        <d v="2024-12-18T00:00:00"/>
        <d v="2024-11-28T00:00:00"/>
        <d v="2024-12-01T00:00:00"/>
        <d v="2024-11-23T00:00:00"/>
        <d v="2024-12-16T00:00:00"/>
        <d v="2024-11-21T00:00:00"/>
        <d v="2024-12-07T00:00:00"/>
        <d v="2024-12-12T00:00:00"/>
        <d v="2024-12-05T00:00:00"/>
        <d v="2024-12-04T00:00:00"/>
        <d v="2024-12-08T00:00:00"/>
        <d v="2024-11-24T00:00:00"/>
        <d v="2024-12-03T00:00:00"/>
        <d v="2024-11-29T00:00:00"/>
        <d v="2024-12-06T00:00:00"/>
        <d v="2024-12-09T00:00:00"/>
        <d v="2024-11-26T00:00:00"/>
      </sharedItems>
    </cacheField>
    <cacheField name="No. of month subscribed" numFmtId="0">
      <sharedItems containsSemiMixedTypes="0" containsString="0" containsNumber="1" containsInteger="1" minValue="0" maxValue="23"/>
    </cacheField>
    <cacheField name="Monthly_Price" numFmtId="0">
      <sharedItems containsSemiMixedTypes="0" containsString="0" containsNumber="1" minValue="7.99" maxValue="15.99" count="3">
        <n v="7.99"/>
        <n v="11.99"/>
        <n v="15.99"/>
      </sharedItems>
    </cacheField>
    <cacheField name="Revenue per user" numFmtId="0">
      <sharedItems containsSemiMixedTypes="0" containsString="0" containsNumber="1" minValue="0" maxValue="367.77"/>
    </cacheField>
    <cacheField name="Watch_Hours" numFmtId="0">
      <sharedItems containsSemiMixedTypes="0" containsString="0" containsNumber="1" containsInteger="1" minValue="10" maxValue="500" count="424">
        <n v="49"/>
        <n v="161"/>
        <n v="87"/>
        <n v="321"/>
        <n v="386"/>
        <n v="408"/>
        <n v="475"/>
        <n v="258"/>
        <n v="183"/>
        <n v="164"/>
        <n v="411"/>
        <n v="160"/>
        <n v="348"/>
        <n v="451"/>
        <n v="69"/>
        <n v="166"/>
        <n v="449"/>
        <n v="441"/>
        <n v="224"/>
        <n v="44"/>
        <n v="202"/>
        <n v="39"/>
        <n v="319"/>
        <n v="150"/>
        <n v="496"/>
        <n v="347"/>
        <n v="201"/>
        <n v="415"/>
        <n v="32"/>
        <n v="338"/>
        <n v="52"/>
        <n v="447"/>
        <n v="312"/>
        <n v="406"/>
        <n v="350"/>
        <n v="99"/>
        <n v="53"/>
        <n v="484"/>
        <n v="211"/>
        <n v="248"/>
        <n v="197"/>
        <n v="253"/>
        <n v="352"/>
        <n v="97"/>
        <n v="283"/>
        <n v="307"/>
        <n v="203"/>
        <n v="22"/>
        <n v="382"/>
        <n v="302"/>
        <n v="76"/>
        <n v="125"/>
        <n v="113"/>
        <n v="272"/>
        <n v="19"/>
        <n v="204"/>
        <n v="345"/>
        <n v="294"/>
        <n v="318"/>
        <n v="396"/>
        <n v="455"/>
        <n v="175"/>
        <n v="36"/>
        <n v="349"/>
        <n v="262"/>
        <n v="378"/>
        <n v="469"/>
        <n v="471"/>
        <n v="298"/>
        <n v="331"/>
        <n v="238"/>
        <n v="231"/>
        <n v="457"/>
        <n v="373"/>
        <n v="11"/>
        <n v="425"/>
        <n v="483"/>
        <n v="55"/>
        <n v="375"/>
        <n v="336"/>
        <n v="196"/>
        <n v="285"/>
        <n v="155"/>
        <n v="275"/>
        <n v="341"/>
        <n v="456"/>
        <n v="15"/>
        <n v="410"/>
        <n v="29"/>
        <n v="427"/>
        <n v="192"/>
        <n v="88"/>
        <n v="127"/>
        <n v="327"/>
        <n v="10"/>
        <n v="181"/>
        <n v="380"/>
        <n v="444"/>
        <n v="83"/>
        <n v="452"/>
        <n v="89"/>
        <n v="359"/>
        <n v="487"/>
        <n v="337"/>
        <n v="397"/>
        <n v="200"/>
        <n v="464"/>
        <n v="495"/>
        <n v="286"/>
        <n v="446"/>
        <n v="342"/>
        <n v="491"/>
        <n v="239"/>
        <n v="106"/>
        <n v="388"/>
        <n v="368"/>
        <n v="325"/>
        <n v="42"/>
        <n v="344"/>
        <n v="77"/>
        <n v="237"/>
        <n v="480"/>
        <n v="152"/>
        <n v="308"/>
        <n v="14"/>
        <n v="233"/>
        <n v="169"/>
        <n v="358"/>
        <n v="404"/>
        <n v="131"/>
        <n v="478"/>
        <n v="395"/>
        <n v="385"/>
        <n v="280"/>
        <n v="433"/>
        <n v="460"/>
        <n v="374"/>
        <n v="147"/>
        <n v="129"/>
        <n v="217"/>
        <n v="426"/>
        <n v="81"/>
        <n v="296"/>
        <n v="466"/>
        <n v="424"/>
        <n v="413"/>
        <n v="278"/>
        <n v="351"/>
        <n v="354"/>
        <n v="176"/>
        <n v="482"/>
        <n v="163"/>
        <n v="419"/>
        <n v="405"/>
        <n v="328"/>
        <n v="85"/>
        <n v="245"/>
        <n v="216"/>
        <n v="326"/>
        <n v="91"/>
        <n v="16"/>
        <n v="100"/>
        <n v="37"/>
        <n v="48"/>
        <n v="371"/>
        <n v="134"/>
        <n v="172"/>
        <n v="490"/>
        <n v="291"/>
        <n v="119"/>
        <n v="35"/>
        <n v="132"/>
        <n v="281"/>
        <n v="73"/>
        <n v="365"/>
        <n v="61"/>
        <n v="399"/>
        <n v="102"/>
        <n v="92"/>
        <n v="295"/>
        <n v="139"/>
        <n v="416"/>
        <n v="173"/>
        <n v="75"/>
        <n v="421"/>
        <n v="180"/>
        <n v="381"/>
        <n v="263"/>
        <n v="429"/>
        <n v="26"/>
        <n v="101"/>
        <n v="461"/>
        <n v="246"/>
        <n v="322"/>
        <n v="459"/>
        <n v="74"/>
        <n v="54"/>
        <n v="292"/>
        <n v="23"/>
        <n v="221"/>
        <n v="40"/>
        <n v="360"/>
        <n v="30"/>
        <n v="222"/>
        <n v="168"/>
        <n v="317"/>
        <n v="420"/>
        <n v="162"/>
        <n v="63"/>
        <n v="209"/>
        <n v="311"/>
        <n v="293"/>
        <n v="329"/>
        <n v="141"/>
        <n v="145"/>
        <n v="250"/>
        <n v="243"/>
        <n v="392"/>
        <n v="389"/>
        <n v="414"/>
        <n v="494"/>
        <n v="109"/>
        <n v="305"/>
        <n v="256"/>
        <n v="214"/>
        <n v="144"/>
        <n v="474"/>
        <n v="498"/>
        <n v="84"/>
        <n v="210"/>
        <n v="174"/>
        <n v="264"/>
        <n v="70"/>
        <n v="436"/>
        <n v="394"/>
        <n v="98"/>
        <n v="276"/>
        <n v="251"/>
        <n v="136"/>
        <n v="254"/>
        <n v="108"/>
        <n v="120"/>
        <n v="118"/>
        <n v="138"/>
        <n v="178"/>
        <n v="105"/>
        <n v="154"/>
        <n v="240"/>
        <n v="477"/>
        <n v="171"/>
        <n v="33"/>
        <n v="193"/>
        <n v="153"/>
        <n v="140"/>
        <n v="128"/>
        <n v="133"/>
        <n v="28"/>
        <n v="453"/>
        <n v="186"/>
        <n v="287"/>
        <n v="45"/>
        <n v="463"/>
        <n v="241"/>
        <n v="123"/>
        <n v="103"/>
        <n v="470"/>
        <n v="277"/>
        <n v="158"/>
        <n v="309"/>
        <n v="289"/>
        <n v="432"/>
        <n v="393"/>
        <n v="43"/>
        <n v="370"/>
        <n v="343"/>
        <n v="391"/>
        <n v="335"/>
        <n v="353"/>
        <n v="401"/>
        <n v="20"/>
        <n v="167"/>
        <n v="13"/>
        <n v="282"/>
        <n v="249"/>
        <n v="12"/>
        <n v="57"/>
        <n v="247"/>
        <n v="25"/>
        <n v="315"/>
        <n v="207"/>
        <n v="190"/>
        <n v="227"/>
        <n v="479"/>
        <n v="205"/>
        <n v="64"/>
        <n v="78"/>
        <n v="195"/>
        <n v="454"/>
        <n v="187"/>
        <n v="257"/>
        <n v="362"/>
        <n v="439"/>
        <n v="356"/>
        <n v="17"/>
        <n v="270"/>
        <n v="301"/>
        <n v="423"/>
        <n v="130"/>
        <n v="383"/>
        <n v="361"/>
        <n v="148"/>
        <n v="379"/>
        <n v="316"/>
        <n v="418"/>
        <n v="252"/>
        <n v="146"/>
        <n v="440"/>
        <n v="376"/>
        <n v="137"/>
        <n v="486"/>
        <n v="38"/>
        <n v="442"/>
        <n v="96"/>
        <n v="184"/>
        <n v="50"/>
        <n v="299"/>
        <n v="34"/>
        <n v="273"/>
        <n v="47"/>
        <n v="274"/>
        <n v="208"/>
        <n v="56"/>
        <n v="62"/>
        <n v="182"/>
        <n v="468"/>
        <n v="445"/>
        <n v="279"/>
        <n v="422"/>
        <n v="235"/>
        <n v="198"/>
        <n v="165"/>
        <n v="93"/>
        <n v="82"/>
        <n v="27"/>
        <n v="330"/>
        <n v="462"/>
        <n v="364"/>
        <n v="499"/>
        <n v="417"/>
        <n v="215"/>
        <n v="234"/>
        <n v="191"/>
        <n v="366"/>
        <n v="259"/>
        <n v="135"/>
        <n v="465"/>
        <n v="212"/>
        <n v="185"/>
        <n v="124"/>
        <n v="58"/>
        <n v="223"/>
        <n v="485"/>
        <n v="46"/>
        <n v="467"/>
        <n v="267"/>
        <n v="266"/>
        <n v="297"/>
        <n v="303"/>
        <n v="438"/>
        <n v="177"/>
        <n v="304"/>
        <n v="90"/>
        <n v="170"/>
        <n v="369"/>
        <n v="339"/>
        <n v="110"/>
        <n v="412"/>
        <n v="390"/>
        <n v="121"/>
        <n v="112"/>
        <n v="306"/>
        <n v="290"/>
        <n v="384"/>
        <n v="24"/>
        <n v="18"/>
        <n v="409"/>
        <n v="115"/>
        <n v="71"/>
        <n v="68"/>
        <n v="443"/>
        <n v="437"/>
        <n v="346"/>
        <n v="188"/>
        <n v="355"/>
        <n v="450"/>
        <n v="157"/>
        <n v="65"/>
        <n v="219"/>
        <n v="435"/>
        <n v="500"/>
        <n v="104"/>
        <n v="220"/>
        <n v="21"/>
        <n v="313"/>
        <n v="206"/>
        <n v="242"/>
        <n v="225"/>
        <n v="473"/>
        <n v="236"/>
        <n v="268"/>
        <n v="300"/>
        <n v="179"/>
        <n v="116"/>
        <n v="492"/>
        <n v="159"/>
        <n v="332"/>
        <n v="367"/>
        <n v="472"/>
        <n v="357"/>
        <n v="448"/>
        <n v="114"/>
        <n v="493"/>
        <n v="122"/>
        <n v="59"/>
      </sharedItems>
    </cacheField>
    <cacheField name="Favorite_Genre" numFmtId="0">
      <sharedItems count="7">
        <s v="Action"/>
        <s v="Drama"/>
        <s v="Sci-Fi"/>
        <s v="Documentary"/>
        <s v="Horror"/>
        <s v="Comedy"/>
        <s v="Romance"/>
      </sharedItems>
    </cacheField>
    <cacheField name="Active_Devices" numFmtId="0">
      <sharedItems containsSemiMixedTypes="0" containsString="0" containsNumber="1" containsInteger="1" minValue="1" maxValue="5" count="5">
        <n v="3"/>
        <n v="1"/>
        <n v="2"/>
        <n v="5"/>
        <n v="4"/>
      </sharedItems>
    </cacheField>
    <cacheField name="Profile_Count" numFmtId="0">
      <sharedItems containsSemiMixedTypes="0" containsString="0" containsNumber="1" containsInteger="1" minValue="1" maxValue="6"/>
    </cacheField>
    <cacheField name="Parental_Controls" numFmtId="0">
      <sharedItems/>
    </cacheField>
    <cacheField name="Total_Movies_Watched" numFmtId="0">
      <sharedItems containsSemiMixedTypes="0" containsString="0" containsNumber="1" containsInteger="1" minValue="12" maxValue="1000"/>
    </cacheField>
    <cacheField name="Total_Series_Watched" numFmtId="0">
      <sharedItems containsSemiMixedTypes="0" containsString="0" containsNumber="1" containsInteger="1" minValue="1" maxValue="200"/>
    </cacheField>
    <cacheField name="Country" numFmtId="0">
      <sharedItems count="7">
        <s v="USA"/>
        <s v="Canada"/>
        <s v="UK"/>
        <s v="India"/>
        <s v="Australia"/>
        <s v="Germany"/>
        <s v="France"/>
      </sharedItems>
    </cacheField>
    <cacheField name="Payment_Method" numFmtId="0">
      <sharedItems count="4">
        <s v="PayPal"/>
        <s v="Debit Card"/>
        <s v="Credit Card"/>
        <s v="Cryptocurrency"/>
      </sharedItems>
    </cacheField>
    <cacheField name="Language_Preference" numFmtId="0">
      <sharedItems count="6">
        <s v="Hindi"/>
        <s v="German"/>
        <s v="Mandarin"/>
        <s v="Spanish"/>
        <s v="English"/>
        <s v="French"/>
      </sharedItems>
    </cacheField>
    <cacheField name="Recommended_Content_Count" numFmtId="0">
      <sharedItems containsSemiMixedTypes="0" containsString="0" containsNumber="1" containsInteger="1" minValue="0" maxValue="100"/>
    </cacheField>
    <cacheField name="Average_Rating_Given" numFmtId="0">
      <sharedItems containsSemiMixedTypes="0" containsString="0" containsNumber="1" minValue="3" maxValue="5"/>
    </cacheField>
    <cacheField name="Has_Downloaded_Content" numFmtId="0">
      <sharedItems/>
    </cacheField>
    <cacheField name="Membership_Status" numFmtId="0">
      <sharedItems count="1">
        <s v="Active"/>
      </sharedItems>
    </cacheField>
    <cacheField name="Loyalty_Points" numFmtId="0">
      <sharedItems containsSemiMixedTypes="0" containsString="0" containsNumber="1" containsInteger="1" minValue="3" maxValue="4990"/>
    </cacheField>
    <cacheField name="First_Device_Used" numFmtId="0">
      <sharedItems count="5">
        <s v="Smartphone"/>
        <s v="Desktop"/>
        <s v="Smart TV"/>
        <s v="Laptop"/>
        <s v="Tablet"/>
      </sharedItems>
    </cacheField>
    <cacheField name="Age_Group" numFmtId="0">
      <sharedItems count="5">
        <s v="35-44"/>
        <s v="25-34"/>
        <s v="18-24"/>
        <s v="45-54"/>
        <s v="55+"/>
      </sharedItems>
    </cacheField>
    <cacheField name="Primary_Watch_Time" numFmtId="0">
      <sharedItems count="4">
        <s v="Late Night"/>
        <s v="Evening"/>
        <s v="Morning"/>
        <s v="Afternoon"/>
      </sharedItems>
    </cacheField>
    <cacheField name="Months (Join_Date)" numFmtId="0" databaseField="0">
      <fieldGroup base="2">
        <rangePr groupBy="months" startDate="2022-12-19T00:00:00" endDate="2024-12-19T00:00:00"/>
        <groupItems count="14">
          <s v="&lt;19-12-2022"/>
          <s v="Jan"/>
          <s v="Feb"/>
          <s v="Mar"/>
          <s v="Apr"/>
          <s v="May"/>
          <s v="Jun"/>
          <s v="Jul"/>
          <s v="Aug"/>
          <s v="Sep"/>
          <s v="Oct"/>
          <s v="Nov"/>
          <s v="Dec"/>
          <s v="&gt;19-12-2024"/>
        </groupItems>
      </fieldGroup>
    </cacheField>
    <cacheField name="Quarters (Join_Date)" numFmtId="0" databaseField="0">
      <fieldGroup base="2">
        <rangePr groupBy="quarters" startDate="2022-12-19T00:00:00" endDate="2024-12-19T00:00:00"/>
        <groupItems count="6">
          <s v="&lt;19-12-2022"/>
          <s v="Qtr1"/>
          <s v="Qtr2"/>
          <s v="Qtr3"/>
          <s v="Qtr4"/>
          <s v="&gt;19-12-2024"/>
        </groupItems>
      </fieldGroup>
    </cacheField>
    <cacheField name="Years (Join_Date)" numFmtId="0" databaseField="0">
      <fieldGroup base="2">
        <rangePr groupBy="years" startDate="2022-12-19T00:00:00" endDate="2024-12-19T00:00:00"/>
        <groupItems count="5">
          <s v="&lt;19-12-2022"/>
          <s v="2022"/>
          <s v="2023"/>
          <s v="2024"/>
          <s v="&gt;19-12-2024"/>
        </groupItems>
      </fieldGroup>
    </cacheField>
  </cacheFields>
  <extLst>
    <ext xmlns:x14="http://schemas.microsoft.com/office/spreadsheetml/2009/9/main" uri="{725AE2AE-9491-48be-B2B4-4EB974FC3084}">
      <x14:pivotCacheDefinition pivotCacheId="498693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2518"/>
    <s v="Amber"/>
    <x v="0"/>
    <d v="2024-12-13T00:00:00"/>
    <n v="18"/>
    <x v="0"/>
    <n v="143.82"/>
    <n v="49"/>
    <x v="0"/>
    <n v="3"/>
    <n v="6"/>
    <b v="1"/>
    <n v="641"/>
    <n v="117"/>
    <s v="USA"/>
    <s v="PayPal"/>
    <s v="Hindi"/>
    <n v="84"/>
    <x v="0"/>
    <b v="0"/>
    <s v="Active"/>
    <n v="2878"/>
    <s v="Smartphone"/>
    <s v="35-44"/>
    <s v="Late Night"/>
  </r>
  <r>
    <n v="6430"/>
    <s v="Patrick"/>
    <x v="1"/>
    <d v="2024-12-15T00:00:00"/>
    <n v="20"/>
    <x v="0"/>
    <n v="159.80000000000001"/>
    <n v="161"/>
    <x v="1"/>
    <n v="1"/>
    <n v="2"/>
    <b v="1"/>
    <n v="192"/>
    <n v="65"/>
    <s v="USA"/>
    <s v="PayPal"/>
    <s v="German"/>
    <n v="69"/>
    <x v="1"/>
    <b v="0"/>
    <s v="Active"/>
    <n v="2291"/>
    <s v="Desktop"/>
    <s v="25-34"/>
    <s v="Evening"/>
  </r>
  <r>
    <n v="1798"/>
    <s v="Robert"/>
    <x v="2"/>
    <d v="2024-12-14T00:00:00"/>
    <n v="16"/>
    <x v="1"/>
    <n v="191.84"/>
    <n v="87"/>
    <x v="0"/>
    <n v="2"/>
    <n v="5"/>
    <b v="0"/>
    <n v="260"/>
    <n v="127"/>
    <s v="Canada"/>
    <s v="Debit Card"/>
    <s v="Mandarin"/>
    <n v="56"/>
    <x v="2"/>
    <b v="0"/>
    <s v="Active"/>
    <n v="1692"/>
    <s v="Desktop"/>
    <s v="35-44"/>
    <s v="Late Night"/>
  </r>
  <r>
    <n v="5255"/>
    <s v="Cole"/>
    <x v="3"/>
    <d v="2024-12-02T00:00:00"/>
    <n v="22"/>
    <x v="2"/>
    <n v="351.78000000000003"/>
    <n v="321"/>
    <x v="2"/>
    <n v="1"/>
    <n v="5"/>
    <b v="0"/>
    <n v="61"/>
    <n v="192"/>
    <s v="UK"/>
    <s v="Debit Card"/>
    <s v="Mandarin"/>
    <n v="47"/>
    <x v="3"/>
    <b v="0"/>
    <s v="Active"/>
    <n v="952"/>
    <s v="Desktop"/>
    <s v="25-34"/>
    <s v="Evening"/>
  </r>
  <r>
    <n v="2854"/>
    <s v="Jamie"/>
    <x v="4"/>
    <d v="2024-12-15T00:00:00"/>
    <n v="18"/>
    <x v="1"/>
    <n v="215.82"/>
    <n v="386"/>
    <x v="3"/>
    <n v="1"/>
    <n v="4"/>
    <b v="1"/>
    <n v="230"/>
    <n v="2"/>
    <s v="USA"/>
    <s v="PayPal"/>
    <s v="Mandarin"/>
    <n v="39"/>
    <x v="4"/>
    <b v="0"/>
    <s v="Active"/>
    <n v="1823"/>
    <s v="Desktop"/>
    <s v="25-34"/>
    <s v="Late Night"/>
  </r>
  <r>
    <n v="6735"/>
    <s v="Mary"/>
    <x v="5"/>
    <d v="2024-11-19T00:00:00"/>
    <n v="14"/>
    <x v="2"/>
    <n v="223.86"/>
    <n v="408"/>
    <x v="3"/>
    <n v="2"/>
    <n v="6"/>
    <b v="1"/>
    <n v="837"/>
    <n v="105"/>
    <s v="India"/>
    <s v="Credit Card"/>
    <s v="Spanish"/>
    <n v="71"/>
    <x v="5"/>
    <b v="1"/>
    <s v="Active"/>
    <n v="33"/>
    <s v="Smart TV"/>
    <s v="18-24"/>
    <s v="Morning"/>
  </r>
  <r>
    <n v="2995"/>
    <s v="Theodore"/>
    <x v="6"/>
    <d v="2024-12-10T00:00:00"/>
    <n v="3"/>
    <x v="0"/>
    <n v="23.97"/>
    <n v="475"/>
    <x v="4"/>
    <n v="5"/>
    <n v="4"/>
    <b v="1"/>
    <n v="510"/>
    <n v="143"/>
    <s v="USA"/>
    <s v="Credit Card"/>
    <s v="English"/>
    <n v="1"/>
    <x v="6"/>
    <b v="0"/>
    <s v="Active"/>
    <n v="755"/>
    <s v="Laptop"/>
    <s v="35-44"/>
    <s v="Late Night"/>
  </r>
  <r>
    <n v="5120"/>
    <s v="Olivia"/>
    <x v="7"/>
    <d v="2024-12-14T00:00:00"/>
    <n v="6"/>
    <x v="2"/>
    <n v="95.94"/>
    <n v="258"/>
    <x v="0"/>
    <n v="4"/>
    <n v="1"/>
    <b v="1"/>
    <n v="907"/>
    <n v="47"/>
    <s v="Australia"/>
    <s v="Debit Card"/>
    <s v="Hindi"/>
    <n v="32"/>
    <x v="4"/>
    <b v="1"/>
    <s v="Active"/>
    <n v="2866"/>
    <s v="Smartphone"/>
    <s v="45-54"/>
    <s v="Late Night"/>
  </r>
  <r>
    <n v="6063"/>
    <s v="Patricia"/>
    <x v="8"/>
    <d v="2024-12-17T00:00:00"/>
    <n v="18"/>
    <x v="2"/>
    <n v="287.82"/>
    <n v="183"/>
    <x v="5"/>
    <n v="5"/>
    <n v="2"/>
    <b v="1"/>
    <n v="676"/>
    <n v="61"/>
    <s v="Germany"/>
    <s v="Cryptocurrency"/>
    <s v="Mandarin"/>
    <n v="26"/>
    <x v="0"/>
    <b v="1"/>
    <s v="Active"/>
    <n v="336"/>
    <s v="Tablet"/>
    <s v="25-34"/>
    <s v="Late Night"/>
  </r>
  <r>
    <n v="6896"/>
    <s v="Linda"/>
    <x v="9"/>
    <d v="2024-12-14T00:00:00"/>
    <n v="12"/>
    <x v="0"/>
    <n v="95.88"/>
    <n v="164"/>
    <x v="3"/>
    <n v="5"/>
    <n v="4"/>
    <b v="1"/>
    <n v="406"/>
    <n v="79"/>
    <s v="USA"/>
    <s v="Credit Card"/>
    <s v="French"/>
    <n v="90"/>
    <x v="7"/>
    <b v="0"/>
    <s v="Active"/>
    <n v="3898"/>
    <s v="Laptop"/>
    <s v="55+"/>
    <s v="Late Night"/>
  </r>
  <r>
    <n v="8447"/>
    <s v="Nichole"/>
    <x v="10"/>
    <d v="2024-11-22T00:00:00"/>
    <n v="19"/>
    <x v="1"/>
    <n v="227.81"/>
    <n v="411"/>
    <x v="5"/>
    <n v="5"/>
    <n v="4"/>
    <b v="1"/>
    <n v="352"/>
    <n v="78"/>
    <s v="UK"/>
    <s v="Credit Card"/>
    <s v="English"/>
    <n v="47"/>
    <x v="4"/>
    <b v="0"/>
    <s v="Active"/>
    <n v="650"/>
    <s v="Tablet"/>
    <s v="55+"/>
    <s v="Late Night"/>
  </r>
  <r>
    <n v="1433"/>
    <s v="Frances"/>
    <x v="11"/>
    <d v="2024-11-20T00:00:00"/>
    <n v="8"/>
    <x v="2"/>
    <n v="127.92"/>
    <n v="160"/>
    <x v="1"/>
    <n v="5"/>
    <n v="6"/>
    <b v="1"/>
    <n v="391"/>
    <n v="132"/>
    <s v="Canada"/>
    <s v="Debit Card"/>
    <s v="German"/>
    <n v="57"/>
    <x v="8"/>
    <b v="0"/>
    <s v="Active"/>
    <n v="185"/>
    <s v="Laptop"/>
    <s v="35-44"/>
    <s v="Late Night"/>
  </r>
  <r>
    <n v="4511"/>
    <s v="Maurice"/>
    <x v="12"/>
    <d v="2024-11-25T00:00:00"/>
    <n v="19"/>
    <x v="0"/>
    <n v="151.81"/>
    <n v="348"/>
    <x v="1"/>
    <n v="2"/>
    <n v="5"/>
    <b v="0"/>
    <n v="501"/>
    <n v="71"/>
    <s v="Germany"/>
    <s v="Debit Card"/>
    <s v="French"/>
    <n v="38"/>
    <x v="5"/>
    <b v="0"/>
    <s v="Active"/>
    <n v="1547"/>
    <s v="Smartphone"/>
    <s v="45-54"/>
    <s v="Late Night"/>
  </r>
  <r>
    <n v="9966"/>
    <s v="Jennifer"/>
    <x v="13"/>
    <d v="2024-11-30T00:00:00"/>
    <n v="2"/>
    <x v="0"/>
    <n v="15.98"/>
    <n v="451"/>
    <x v="3"/>
    <n v="3"/>
    <n v="1"/>
    <b v="0"/>
    <n v="995"/>
    <n v="164"/>
    <s v="UK"/>
    <s v="Cryptocurrency"/>
    <s v="English"/>
    <n v="62"/>
    <x v="8"/>
    <b v="1"/>
    <s v="Active"/>
    <n v="3788"/>
    <s v="Smartphone"/>
    <s v="18-24"/>
    <s v="Late Night"/>
  </r>
  <r>
    <n v="7093"/>
    <s v="Cheryl"/>
    <x v="14"/>
    <d v="2024-12-11T00:00:00"/>
    <n v="18"/>
    <x v="0"/>
    <n v="143.82"/>
    <n v="69"/>
    <x v="3"/>
    <n v="2"/>
    <n v="5"/>
    <b v="0"/>
    <n v="222"/>
    <n v="13"/>
    <s v="France"/>
    <s v="PayPal"/>
    <s v="German"/>
    <n v="0"/>
    <x v="9"/>
    <b v="1"/>
    <s v="Active"/>
    <n v="1051"/>
    <s v="Desktop"/>
    <s v="18-24"/>
    <s v="Afternoon"/>
  </r>
  <r>
    <n v="4351"/>
    <s v="Kathy"/>
    <x v="15"/>
    <d v="2024-11-30T00:00:00"/>
    <n v="6"/>
    <x v="1"/>
    <n v="71.94"/>
    <n v="166"/>
    <x v="4"/>
    <n v="1"/>
    <n v="6"/>
    <b v="1"/>
    <n v="788"/>
    <n v="31"/>
    <s v="USA"/>
    <s v="PayPal"/>
    <s v="German"/>
    <n v="25"/>
    <x v="5"/>
    <b v="1"/>
    <s v="Active"/>
    <n v="633"/>
    <s v="Smart TV"/>
    <s v="35-44"/>
    <s v="Afternoon"/>
  </r>
  <r>
    <n v="6007"/>
    <s v="Cassie"/>
    <x v="16"/>
    <d v="2024-12-17T00:00:00"/>
    <n v="22"/>
    <x v="0"/>
    <n v="175.78"/>
    <n v="449"/>
    <x v="4"/>
    <n v="2"/>
    <n v="4"/>
    <b v="1"/>
    <n v="369"/>
    <n v="25"/>
    <s v="Germany"/>
    <s v="Debit Card"/>
    <s v="Spanish"/>
    <n v="65"/>
    <x v="3"/>
    <b v="0"/>
    <s v="Active"/>
    <n v="4133"/>
    <s v="Smartphone"/>
    <s v="25-34"/>
    <s v="Evening"/>
  </r>
  <r>
    <n v="9710"/>
    <s v="Charles"/>
    <x v="17"/>
    <d v="2024-11-27T00:00:00"/>
    <n v="17"/>
    <x v="0"/>
    <n v="135.83000000000001"/>
    <n v="441"/>
    <x v="6"/>
    <n v="1"/>
    <n v="5"/>
    <b v="0"/>
    <n v="228"/>
    <n v="39"/>
    <s v="Germany"/>
    <s v="PayPal"/>
    <s v="Mandarin"/>
    <n v="50"/>
    <x v="2"/>
    <b v="1"/>
    <s v="Active"/>
    <n v="1159"/>
    <s v="Desktop"/>
    <s v="35-44"/>
    <s v="Morning"/>
  </r>
  <r>
    <n v="9034"/>
    <s v="William"/>
    <x v="18"/>
    <d v="2024-12-18T00:00:00"/>
    <n v="14"/>
    <x v="2"/>
    <n v="223.86"/>
    <n v="224"/>
    <x v="5"/>
    <n v="1"/>
    <n v="5"/>
    <b v="1"/>
    <n v="827"/>
    <n v="138"/>
    <s v="Canada"/>
    <s v="Debit Card"/>
    <s v="Mandarin"/>
    <n v="11"/>
    <x v="6"/>
    <b v="1"/>
    <s v="Active"/>
    <n v="4673"/>
    <s v="Tablet"/>
    <s v="18-24"/>
    <s v="Afternoon"/>
  </r>
  <r>
    <n v="6197"/>
    <s v="Tiffany"/>
    <x v="19"/>
    <d v="2024-11-28T00:00:00"/>
    <n v="16"/>
    <x v="2"/>
    <n v="255.84"/>
    <n v="44"/>
    <x v="0"/>
    <n v="2"/>
    <n v="4"/>
    <b v="0"/>
    <n v="983"/>
    <n v="145"/>
    <s v="India"/>
    <s v="PayPal"/>
    <s v="French"/>
    <n v="78"/>
    <x v="8"/>
    <b v="0"/>
    <s v="Active"/>
    <n v="4200"/>
    <s v="Laptop"/>
    <s v="45-54"/>
    <s v="Evening"/>
  </r>
  <r>
    <n v="2820"/>
    <s v="Mark"/>
    <x v="20"/>
    <d v="2024-12-01T00:00:00"/>
    <n v="16"/>
    <x v="0"/>
    <n v="127.84"/>
    <n v="202"/>
    <x v="1"/>
    <n v="1"/>
    <n v="5"/>
    <b v="1"/>
    <n v="109"/>
    <n v="41"/>
    <s v="USA"/>
    <s v="Cryptocurrency"/>
    <s v="Spanish"/>
    <n v="42"/>
    <x v="3"/>
    <b v="0"/>
    <s v="Active"/>
    <n v="3607"/>
    <s v="Desktop"/>
    <s v="35-44"/>
    <s v="Late Night"/>
  </r>
  <r>
    <n v="1101"/>
    <s v="Mary"/>
    <x v="21"/>
    <d v="2024-11-23T00:00:00"/>
    <n v="5"/>
    <x v="2"/>
    <n v="79.95"/>
    <n v="39"/>
    <x v="4"/>
    <n v="2"/>
    <n v="3"/>
    <b v="1"/>
    <n v="181"/>
    <n v="128"/>
    <s v="Australia"/>
    <s v="PayPal"/>
    <s v="Mandarin"/>
    <n v="3"/>
    <x v="6"/>
    <b v="1"/>
    <s v="Active"/>
    <n v="4602"/>
    <s v="Smart TV"/>
    <s v="55+"/>
    <s v="Evening"/>
  </r>
  <r>
    <n v="1650"/>
    <s v="Charles"/>
    <x v="6"/>
    <d v="2024-11-23T00:00:00"/>
    <n v="2"/>
    <x v="2"/>
    <n v="31.98"/>
    <n v="319"/>
    <x v="6"/>
    <n v="2"/>
    <n v="2"/>
    <b v="0"/>
    <n v="842"/>
    <n v="145"/>
    <s v="France"/>
    <s v="Cryptocurrency"/>
    <s v="Mandarin"/>
    <n v="27"/>
    <x v="10"/>
    <b v="1"/>
    <s v="Active"/>
    <n v="256"/>
    <s v="Smart TV"/>
    <s v="35-44"/>
    <s v="Afternoon"/>
  </r>
  <r>
    <n v="4884"/>
    <s v="Anne"/>
    <x v="22"/>
    <d v="2024-11-25T00:00:00"/>
    <n v="12"/>
    <x v="2"/>
    <n v="191.88"/>
    <n v="150"/>
    <x v="2"/>
    <n v="3"/>
    <n v="3"/>
    <b v="1"/>
    <n v="40"/>
    <n v="196"/>
    <s v="Canada"/>
    <s v="Debit Card"/>
    <s v="German"/>
    <n v="60"/>
    <x v="4"/>
    <b v="0"/>
    <s v="Active"/>
    <n v="2406"/>
    <s v="Laptop"/>
    <s v="55+"/>
    <s v="Evening"/>
  </r>
  <r>
    <n v="8321"/>
    <s v="Carol"/>
    <x v="23"/>
    <d v="2024-11-23T00:00:00"/>
    <n v="14"/>
    <x v="1"/>
    <n v="167.86"/>
    <n v="496"/>
    <x v="6"/>
    <n v="3"/>
    <n v="1"/>
    <b v="1"/>
    <n v="431"/>
    <n v="41"/>
    <s v="India"/>
    <s v="Credit Card"/>
    <s v="English"/>
    <n v="91"/>
    <x v="1"/>
    <b v="1"/>
    <s v="Active"/>
    <n v="1394"/>
    <s v="Smart TV"/>
    <s v="55+"/>
    <s v="Afternoon"/>
  </r>
  <r>
    <n v="2381"/>
    <s v="Cynthia"/>
    <x v="24"/>
    <d v="2024-12-15T00:00:00"/>
    <n v="7"/>
    <x v="0"/>
    <n v="55.93"/>
    <n v="347"/>
    <x v="4"/>
    <n v="2"/>
    <n v="5"/>
    <b v="0"/>
    <n v="415"/>
    <n v="194"/>
    <s v="USA"/>
    <s v="Credit Card"/>
    <s v="German"/>
    <n v="76"/>
    <x v="5"/>
    <b v="1"/>
    <s v="Active"/>
    <n v="1856"/>
    <s v="Desktop"/>
    <s v="18-24"/>
    <s v="Afternoon"/>
  </r>
  <r>
    <n v="9507"/>
    <s v="Destiny"/>
    <x v="25"/>
    <d v="2024-11-19T00:00:00"/>
    <n v="17"/>
    <x v="1"/>
    <n v="203.83"/>
    <n v="201"/>
    <x v="0"/>
    <n v="1"/>
    <n v="6"/>
    <b v="1"/>
    <n v="902"/>
    <n v="86"/>
    <s v="USA"/>
    <s v="Cryptocurrency"/>
    <s v="French"/>
    <n v="69"/>
    <x v="11"/>
    <b v="1"/>
    <s v="Active"/>
    <n v="1665"/>
    <s v="Smart TV"/>
    <s v="18-24"/>
    <s v="Afternoon"/>
  </r>
  <r>
    <n v="2851"/>
    <s v="Brittany"/>
    <x v="26"/>
    <d v="2024-11-23T00:00:00"/>
    <n v="6"/>
    <x v="2"/>
    <n v="95.94"/>
    <n v="415"/>
    <x v="6"/>
    <n v="3"/>
    <n v="5"/>
    <b v="1"/>
    <n v="769"/>
    <n v="144"/>
    <s v="Australia"/>
    <s v="Cryptocurrency"/>
    <s v="Spanish"/>
    <n v="98"/>
    <x v="12"/>
    <b v="0"/>
    <s v="Active"/>
    <n v="2759"/>
    <s v="Tablet"/>
    <s v="35-44"/>
    <s v="Evening"/>
  </r>
  <r>
    <n v="4083"/>
    <s v="Amy"/>
    <x v="27"/>
    <d v="2024-12-10T00:00:00"/>
    <n v="10"/>
    <x v="1"/>
    <n v="119.9"/>
    <n v="32"/>
    <x v="4"/>
    <n v="1"/>
    <n v="4"/>
    <b v="1"/>
    <n v="588"/>
    <n v="137"/>
    <s v="France"/>
    <s v="Credit Card"/>
    <s v="English"/>
    <n v="85"/>
    <x v="4"/>
    <b v="1"/>
    <s v="Active"/>
    <n v="3433"/>
    <s v="Laptop"/>
    <s v="35-44"/>
    <s v="Afternoon"/>
  </r>
  <r>
    <n v="4608"/>
    <s v="Kimberly"/>
    <x v="28"/>
    <d v="2024-11-28T00:00:00"/>
    <n v="8"/>
    <x v="1"/>
    <n v="95.92"/>
    <n v="338"/>
    <x v="5"/>
    <n v="3"/>
    <n v="2"/>
    <b v="1"/>
    <n v="528"/>
    <n v="184"/>
    <s v="UK"/>
    <s v="Cryptocurrency"/>
    <s v="Spanish"/>
    <n v="58"/>
    <x v="4"/>
    <b v="1"/>
    <s v="Active"/>
    <n v="3966"/>
    <s v="Desktop"/>
    <s v="55+"/>
    <s v="Late Night"/>
  </r>
  <r>
    <n v="4815"/>
    <s v="Ariel"/>
    <x v="29"/>
    <d v="2024-11-20T00:00:00"/>
    <n v="4"/>
    <x v="0"/>
    <n v="31.96"/>
    <n v="52"/>
    <x v="3"/>
    <n v="5"/>
    <n v="5"/>
    <b v="0"/>
    <n v="467"/>
    <n v="23"/>
    <s v="USA"/>
    <s v="PayPal"/>
    <s v="Spanish"/>
    <n v="97"/>
    <x v="0"/>
    <b v="1"/>
    <s v="Active"/>
    <n v="4185"/>
    <s v="Desktop"/>
    <s v="55+"/>
    <s v="Evening"/>
  </r>
  <r>
    <n v="9597"/>
    <s v="Lauren"/>
    <x v="30"/>
    <d v="2024-12-02T00:00:00"/>
    <n v="0"/>
    <x v="1"/>
    <n v="0"/>
    <n v="447"/>
    <x v="6"/>
    <n v="5"/>
    <n v="5"/>
    <b v="0"/>
    <n v="73"/>
    <n v="138"/>
    <s v="Germany"/>
    <s v="Debit Card"/>
    <s v="Hindi"/>
    <n v="84"/>
    <x v="13"/>
    <b v="0"/>
    <s v="Active"/>
    <n v="784"/>
    <s v="Smartphone"/>
    <s v="25-34"/>
    <s v="Afternoon"/>
  </r>
  <r>
    <n v="6566"/>
    <s v="Joshua"/>
    <x v="31"/>
    <d v="2024-12-17T00:00:00"/>
    <n v="17"/>
    <x v="1"/>
    <n v="203.83"/>
    <n v="312"/>
    <x v="4"/>
    <n v="5"/>
    <n v="1"/>
    <b v="1"/>
    <n v="895"/>
    <n v="154"/>
    <s v="Germany"/>
    <s v="Debit Card"/>
    <s v="Spanish"/>
    <n v="85"/>
    <x v="9"/>
    <b v="1"/>
    <s v="Active"/>
    <n v="3428"/>
    <s v="Laptop"/>
    <s v="25-34"/>
    <s v="Evening"/>
  </r>
  <r>
    <n v="1419"/>
    <s v="Megan"/>
    <x v="19"/>
    <d v="2024-12-16T00:00:00"/>
    <n v="17"/>
    <x v="1"/>
    <n v="203.83"/>
    <n v="406"/>
    <x v="2"/>
    <n v="2"/>
    <n v="6"/>
    <b v="0"/>
    <n v="983"/>
    <n v="113"/>
    <s v="India"/>
    <s v="Cryptocurrency"/>
    <s v="German"/>
    <n v="78"/>
    <x v="2"/>
    <b v="0"/>
    <s v="Active"/>
    <n v="4245"/>
    <s v="Smartphone"/>
    <s v="25-34"/>
    <s v="Evening"/>
  </r>
  <r>
    <n v="9470"/>
    <s v="Stephanie"/>
    <x v="32"/>
    <d v="2024-12-15T00:00:00"/>
    <n v="12"/>
    <x v="0"/>
    <n v="95.88"/>
    <n v="350"/>
    <x v="4"/>
    <n v="3"/>
    <n v="6"/>
    <b v="1"/>
    <n v="801"/>
    <n v="156"/>
    <s v="France"/>
    <s v="Credit Card"/>
    <s v="Mandarin"/>
    <n v="66"/>
    <x v="3"/>
    <b v="1"/>
    <s v="Active"/>
    <n v="2580"/>
    <s v="Smart TV"/>
    <s v="18-24"/>
    <s v="Late Night"/>
  </r>
  <r>
    <n v="4989"/>
    <s v="Terrence"/>
    <x v="33"/>
    <d v="2024-12-10T00:00:00"/>
    <n v="11"/>
    <x v="0"/>
    <n v="87.89"/>
    <n v="99"/>
    <x v="5"/>
    <n v="2"/>
    <n v="5"/>
    <b v="1"/>
    <n v="96"/>
    <n v="114"/>
    <s v="USA"/>
    <s v="PayPal"/>
    <s v="Hindi"/>
    <n v="45"/>
    <x v="5"/>
    <b v="0"/>
    <s v="Active"/>
    <n v="2779"/>
    <s v="Smart TV"/>
    <s v="55+"/>
    <s v="Morning"/>
  </r>
  <r>
    <n v="9389"/>
    <s v="Julia"/>
    <x v="34"/>
    <d v="2024-11-21T00:00:00"/>
    <n v="1"/>
    <x v="2"/>
    <n v="15.99"/>
    <n v="53"/>
    <x v="2"/>
    <n v="1"/>
    <n v="2"/>
    <b v="0"/>
    <n v="849"/>
    <n v="98"/>
    <s v="India"/>
    <s v="Credit Card"/>
    <s v="Mandarin"/>
    <n v="14"/>
    <x v="2"/>
    <b v="0"/>
    <s v="Active"/>
    <n v="2318"/>
    <s v="Smartphone"/>
    <s v="35-44"/>
    <s v="Evening"/>
  </r>
  <r>
    <n v="7728"/>
    <s v="Derrick"/>
    <x v="35"/>
    <d v="2024-12-13T00:00:00"/>
    <n v="14"/>
    <x v="1"/>
    <n v="167.86"/>
    <n v="484"/>
    <x v="6"/>
    <n v="3"/>
    <n v="6"/>
    <b v="0"/>
    <n v="515"/>
    <n v="174"/>
    <s v="UK"/>
    <s v="PayPal"/>
    <s v="German"/>
    <n v="12"/>
    <x v="1"/>
    <b v="1"/>
    <s v="Active"/>
    <n v="827"/>
    <s v="Smartphone"/>
    <s v="25-34"/>
    <s v="Morning"/>
  </r>
  <r>
    <n v="7943"/>
    <s v="Nathan"/>
    <x v="36"/>
    <d v="2024-12-01T00:00:00"/>
    <n v="2"/>
    <x v="2"/>
    <n v="31.98"/>
    <n v="211"/>
    <x v="3"/>
    <n v="2"/>
    <n v="6"/>
    <b v="1"/>
    <n v="657"/>
    <n v="137"/>
    <s v="Australia"/>
    <s v="Credit Card"/>
    <s v="Hindi"/>
    <n v="26"/>
    <x v="1"/>
    <b v="1"/>
    <s v="Active"/>
    <n v="2670"/>
    <s v="Desktop"/>
    <s v="18-24"/>
    <s v="Late Night"/>
  </r>
  <r>
    <n v="2490"/>
    <s v="Matthew"/>
    <x v="37"/>
    <d v="2024-11-19T00:00:00"/>
    <n v="15"/>
    <x v="1"/>
    <n v="179.85"/>
    <n v="248"/>
    <x v="2"/>
    <n v="4"/>
    <n v="1"/>
    <b v="1"/>
    <n v="426"/>
    <n v="21"/>
    <s v="India"/>
    <s v="Debit Card"/>
    <s v="Spanish"/>
    <n v="99"/>
    <x v="14"/>
    <b v="0"/>
    <s v="Active"/>
    <n v="2409"/>
    <s v="Smartphone"/>
    <s v="35-44"/>
    <s v="Late Night"/>
  </r>
  <r>
    <n v="5042"/>
    <s v="Ashley"/>
    <x v="38"/>
    <d v="2024-11-23T00:00:00"/>
    <n v="9"/>
    <x v="2"/>
    <n v="143.91"/>
    <n v="197"/>
    <x v="6"/>
    <n v="4"/>
    <n v="2"/>
    <b v="0"/>
    <n v="309"/>
    <n v="178"/>
    <s v="Australia"/>
    <s v="Cryptocurrency"/>
    <s v="Mandarin"/>
    <n v="7"/>
    <x v="5"/>
    <b v="0"/>
    <s v="Active"/>
    <n v="1577"/>
    <s v="Smart TV"/>
    <s v="35-44"/>
    <s v="Evening"/>
  </r>
  <r>
    <n v="3620"/>
    <s v="Kerri"/>
    <x v="39"/>
    <d v="2024-12-07T00:00:00"/>
    <n v="4"/>
    <x v="2"/>
    <n v="63.96"/>
    <n v="253"/>
    <x v="5"/>
    <n v="5"/>
    <n v="5"/>
    <b v="1"/>
    <n v="141"/>
    <n v="199"/>
    <s v="USA"/>
    <s v="Debit Card"/>
    <s v="French"/>
    <n v="72"/>
    <x v="2"/>
    <b v="0"/>
    <s v="Active"/>
    <n v="4072"/>
    <s v="Laptop"/>
    <s v="45-54"/>
    <s v="Afternoon"/>
  </r>
  <r>
    <n v="8976"/>
    <s v="Jessica"/>
    <x v="40"/>
    <d v="2024-12-12T00:00:00"/>
    <n v="2"/>
    <x v="0"/>
    <n v="15.98"/>
    <n v="352"/>
    <x v="6"/>
    <n v="4"/>
    <n v="3"/>
    <b v="1"/>
    <n v="112"/>
    <n v="106"/>
    <s v="France"/>
    <s v="Credit Card"/>
    <s v="French"/>
    <n v="33"/>
    <x v="3"/>
    <b v="1"/>
    <s v="Active"/>
    <n v="3432"/>
    <s v="Tablet"/>
    <s v="45-54"/>
    <s v="Afternoon"/>
  </r>
  <r>
    <n v="1570"/>
    <s v="Matthew"/>
    <x v="41"/>
    <d v="2024-11-22T00:00:00"/>
    <n v="16"/>
    <x v="1"/>
    <n v="191.84"/>
    <n v="97"/>
    <x v="6"/>
    <n v="1"/>
    <n v="2"/>
    <b v="0"/>
    <n v="836"/>
    <n v="122"/>
    <s v="UK"/>
    <s v="Debit Card"/>
    <s v="Spanish"/>
    <n v="65"/>
    <x v="5"/>
    <b v="1"/>
    <s v="Active"/>
    <n v="4511"/>
    <s v="Smartphone"/>
    <s v="18-24"/>
    <s v="Morning"/>
  </r>
  <r>
    <n v="7709"/>
    <s v="Phillip"/>
    <x v="42"/>
    <d v="2024-12-01T00:00:00"/>
    <n v="19"/>
    <x v="1"/>
    <n v="227.81"/>
    <n v="283"/>
    <x v="2"/>
    <n v="5"/>
    <n v="2"/>
    <b v="0"/>
    <n v="785"/>
    <n v="1"/>
    <s v="Australia"/>
    <s v="Debit Card"/>
    <s v="German"/>
    <n v="79"/>
    <x v="15"/>
    <b v="1"/>
    <s v="Active"/>
    <n v="583"/>
    <s v="Tablet"/>
    <s v="25-34"/>
    <s v="Evening"/>
  </r>
  <r>
    <n v="9503"/>
    <s v="Elizabeth"/>
    <x v="43"/>
    <d v="2024-12-05T00:00:00"/>
    <n v="7"/>
    <x v="1"/>
    <n v="83.93"/>
    <n v="307"/>
    <x v="3"/>
    <n v="5"/>
    <n v="6"/>
    <b v="0"/>
    <n v="857"/>
    <n v="9"/>
    <s v="France"/>
    <s v="Cryptocurrency"/>
    <s v="Hindi"/>
    <n v="55"/>
    <x v="7"/>
    <b v="1"/>
    <s v="Active"/>
    <n v="3626"/>
    <s v="Laptop"/>
    <s v="35-44"/>
    <s v="Late Night"/>
  </r>
  <r>
    <n v="9564"/>
    <s v="Lisa"/>
    <x v="44"/>
    <d v="2024-12-04T00:00:00"/>
    <n v="19"/>
    <x v="2"/>
    <n v="303.81"/>
    <n v="203"/>
    <x v="5"/>
    <n v="5"/>
    <n v="1"/>
    <b v="0"/>
    <n v="347"/>
    <n v="18"/>
    <s v="Australia"/>
    <s v="Cryptocurrency"/>
    <s v="Spanish"/>
    <n v="8"/>
    <x v="16"/>
    <b v="1"/>
    <s v="Active"/>
    <n v="476"/>
    <s v="Laptop"/>
    <s v="45-54"/>
    <s v="Afternoon"/>
  </r>
  <r>
    <n v="8934"/>
    <s v="Natalie"/>
    <x v="45"/>
    <d v="2024-12-05T00:00:00"/>
    <n v="20"/>
    <x v="0"/>
    <n v="159.80000000000001"/>
    <n v="22"/>
    <x v="1"/>
    <n v="4"/>
    <n v="3"/>
    <b v="0"/>
    <n v="707"/>
    <n v="156"/>
    <s v="Canada"/>
    <s v="Cryptocurrency"/>
    <s v="Spanish"/>
    <n v="99"/>
    <x v="0"/>
    <b v="0"/>
    <s v="Active"/>
    <n v="4114"/>
    <s v="Desktop"/>
    <s v="18-24"/>
    <s v="Evening"/>
  </r>
  <r>
    <n v="1222"/>
    <s v="Autumn"/>
    <x v="46"/>
    <d v="2024-12-08T00:00:00"/>
    <n v="15"/>
    <x v="2"/>
    <n v="239.85"/>
    <n v="382"/>
    <x v="6"/>
    <n v="2"/>
    <n v="2"/>
    <b v="0"/>
    <n v="49"/>
    <n v="45"/>
    <s v="Canada"/>
    <s v="PayPal"/>
    <s v="Hindi"/>
    <n v="63"/>
    <x v="1"/>
    <b v="1"/>
    <s v="Active"/>
    <n v="1581"/>
    <s v="Smart TV"/>
    <s v="35-44"/>
    <s v="Morning"/>
  </r>
  <r>
    <n v="5762"/>
    <s v="James"/>
    <x v="28"/>
    <d v="2024-12-02T00:00:00"/>
    <n v="8"/>
    <x v="1"/>
    <n v="95.92"/>
    <n v="302"/>
    <x v="5"/>
    <n v="5"/>
    <n v="4"/>
    <b v="0"/>
    <n v="801"/>
    <n v="141"/>
    <s v="France"/>
    <s v="Debit Card"/>
    <s v="Mandarin"/>
    <n v="62"/>
    <x v="17"/>
    <b v="1"/>
    <s v="Active"/>
    <n v="1293"/>
    <s v="Laptop"/>
    <s v="45-54"/>
    <s v="Morning"/>
  </r>
  <r>
    <n v="4066"/>
    <s v="Jessica"/>
    <x v="47"/>
    <d v="2024-12-12T00:00:00"/>
    <n v="20"/>
    <x v="1"/>
    <n v="239.8"/>
    <n v="76"/>
    <x v="2"/>
    <n v="2"/>
    <n v="3"/>
    <b v="0"/>
    <n v="788"/>
    <n v="55"/>
    <s v="UK"/>
    <s v="Credit Card"/>
    <s v="German"/>
    <n v="50"/>
    <x v="14"/>
    <b v="1"/>
    <s v="Active"/>
    <n v="1744"/>
    <s v="Laptop"/>
    <s v="18-24"/>
    <s v="Morning"/>
  </r>
  <r>
    <n v="6469"/>
    <s v="Charles"/>
    <x v="48"/>
    <d v="2024-11-24T00:00:00"/>
    <n v="5"/>
    <x v="1"/>
    <n v="59.95"/>
    <n v="125"/>
    <x v="3"/>
    <n v="3"/>
    <n v="6"/>
    <b v="1"/>
    <n v="853"/>
    <n v="16"/>
    <s v="Australia"/>
    <s v="PayPal"/>
    <s v="German"/>
    <n v="65"/>
    <x v="14"/>
    <b v="1"/>
    <s v="Active"/>
    <n v="448"/>
    <s v="Laptop"/>
    <s v="18-24"/>
    <s v="Late Night"/>
  </r>
  <r>
    <n v="1364"/>
    <s v="Michael"/>
    <x v="49"/>
    <d v="2024-12-02T00:00:00"/>
    <n v="16"/>
    <x v="1"/>
    <n v="191.84"/>
    <n v="113"/>
    <x v="4"/>
    <n v="1"/>
    <n v="1"/>
    <b v="0"/>
    <n v="970"/>
    <n v="159"/>
    <s v="UK"/>
    <s v="Credit Card"/>
    <s v="German"/>
    <n v="96"/>
    <x v="11"/>
    <b v="1"/>
    <s v="Active"/>
    <n v="3398"/>
    <s v="Laptop"/>
    <s v="35-44"/>
    <s v="Late Night"/>
  </r>
  <r>
    <n v="4197"/>
    <s v="Jessica"/>
    <x v="50"/>
    <d v="2024-12-13T00:00:00"/>
    <n v="1"/>
    <x v="2"/>
    <n v="15.99"/>
    <n v="183"/>
    <x v="6"/>
    <n v="3"/>
    <n v="5"/>
    <b v="0"/>
    <n v="490"/>
    <n v="127"/>
    <s v="Canada"/>
    <s v="Debit Card"/>
    <s v="Hindi"/>
    <n v="40"/>
    <x v="3"/>
    <b v="1"/>
    <s v="Active"/>
    <n v="4691"/>
    <s v="Desktop"/>
    <s v="45-54"/>
    <s v="Morning"/>
  </r>
  <r>
    <n v="9700"/>
    <s v="Molly"/>
    <x v="51"/>
    <d v="2024-11-30T00:00:00"/>
    <n v="23"/>
    <x v="2"/>
    <n v="367.77"/>
    <n v="272"/>
    <x v="3"/>
    <n v="5"/>
    <n v="1"/>
    <b v="0"/>
    <n v="201"/>
    <n v="122"/>
    <s v="India"/>
    <s v="Cryptocurrency"/>
    <s v="English"/>
    <n v="94"/>
    <x v="3"/>
    <b v="1"/>
    <s v="Active"/>
    <n v="4674"/>
    <s v="Laptop"/>
    <s v="45-54"/>
    <s v="Afternoon"/>
  </r>
  <r>
    <n v="5644"/>
    <s v="Joshua"/>
    <x v="52"/>
    <d v="2024-12-03T00:00:00"/>
    <n v="7"/>
    <x v="1"/>
    <n v="83.93"/>
    <n v="19"/>
    <x v="5"/>
    <n v="4"/>
    <n v="2"/>
    <b v="1"/>
    <n v="741"/>
    <n v="36"/>
    <s v="France"/>
    <s v="PayPal"/>
    <s v="English"/>
    <n v="13"/>
    <x v="16"/>
    <b v="0"/>
    <s v="Active"/>
    <n v="3641"/>
    <s v="Tablet"/>
    <s v="18-24"/>
    <s v="Afternoon"/>
  </r>
  <r>
    <n v="5420"/>
    <s v="Lance"/>
    <x v="53"/>
    <d v="2024-12-01T00:00:00"/>
    <n v="23"/>
    <x v="1"/>
    <n v="275.77"/>
    <n v="204"/>
    <x v="1"/>
    <n v="4"/>
    <n v="6"/>
    <b v="0"/>
    <n v="928"/>
    <n v="30"/>
    <s v="India"/>
    <s v="Credit Card"/>
    <s v="Mandarin"/>
    <n v="58"/>
    <x v="16"/>
    <b v="0"/>
    <s v="Active"/>
    <n v="1765"/>
    <s v="Smartphone"/>
    <s v="45-54"/>
    <s v="Late Night"/>
  </r>
  <r>
    <n v="7560"/>
    <s v="Lori"/>
    <x v="54"/>
    <d v="2024-12-03T00:00:00"/>
    <n v="23"/>
    <x v="0"/>
    <n v="183.77"/>
    <n v="345"/>
    <x v="4"/>
    <n v="3"/>
    <n v="3"/>
    <b v="0"/>
    <n v="80"/>
    <n v="100"/>
    <s v="USA"/>
    <s v="Credit Card"/>
    <s v="Hindi"/>
    <n v="40"/>
    <x v="11"/>
    <b v="1"/>
    <s v="Active"/>
    <n v="3462"/>
    <s v="Smartphone"/>
    <s v="55+"/>
    <s v="Morning"/>
  </r>
  <r>
    <n v="9644"/>
    <s v="Mark"/>
    <x v="55"/>
    <d v="2024-11-25T00:00:00"/>
    <n v="2"/>
    <x v="0"/>
    <n v="15.98"/>
    <n v="294"/>
    <x v="5"/>
    <n v="4"/>
    <n v="1"/>
    <b v="1"/>
    <n v="453"/>
    <n v="149"/>
    <s v="France"/>
    <s v="PayPal"/>
    <s v="Hindi"/>
    <n v="82"/>
    <x v="12"/>
    <b v="1"/>
    <s v="Active"/>
    <n v="790"/>
    <s v="Desktop"/>
    <s v="18-24"/>
    <s v="Morning"/>
  </r>
  <r>
    <n v="7239"/>
    <s v="Jeremy"/>
    <x v="56"/>
    <d v="2024-11-29T00:00:00"/>
    <n v="11"/>
    <x v="2"/>
    <n v="175.89000000000001"/>
    <n v="318"/>
    <x v="0"/>
    <n v="3"/>
    <n v="2"/>
    <b v="1"/>
    <n v="943"/>
    <n v="116"/>
    <s v="Canada"/>
    <s v="PayPal"/>
    <s v="Hindi"/>
    <n v="22"/>
    <x v="13"/>
    <b v="0"/>
    <s v="Active"/>
    <n v="4732"/>
    <s v="Laptop"/>
    <s v="25-34"/>
    <s v="Afternoon"/>
  </r>
  <r>
    <n v="6415"/>
    <s v="Scott"/>
    <x v="57"/>
    <d v="2024-11-19T00:00:00"/>
    <n v="13"/>
    <x v="1"/>
    <n v="155.87"/>
    <n v="396"/>
    <x v="0"/>
    <n v="1"/>
    <n v="2"/>
    <b v="0"/>
    <n v="348"/>
    <n v="172"/>
    <s v="UK"/>
    <s v="Cryptocurrency"/>
    <s v="Hindi"/>
    <n v="61"/>
    <x v="12"/>
    <b v="0"/>
    <s v="Active"/>
    <n v="4599"/>
    <s v="Smartphone"/>
    <s v="35-44"/>
    <s v="Afternoon"/>
  </r>
  <r>
    <n v="9020"/>
    <s v="Sabrina"/>
    <x v="58"/>
    <d v="2024-12-03T00:00:00"/>
    <n v="22"/>
    <x v="1"/>
    <n v="263.78000000000003"/>
    <n v="455"/>
    <x v="4"/>
    <n v="5"/>
    <n v="3"/>
    <b v="1"/>
    <n v="112"/>
    <n v="158"/>
    <s v="India"/>
    <s v="Credit Card"/>
    <s v="German"/>
    <n v="15"/>
    <x v="12"/>
    <b v="1"/>
    <s v="Active"/>
    <n v="965"/>
    <s v="Smart TV"/>
    <s v="25-34"/>
    <s v="Morning"/>
  </r>
  <r>
    <n v="2324"/>
    <s v="Zachary"/>
    <x v="59"/>
    <d v="2024-12-11T00:00:00"/>
    <n v="0"/>
    <x v="0"/>
    <n v="0"/>
    <n v="175"/>
    <x v="5"/>
    <n v="5"/>
    <n v="6"/>
    <b v="1"/>
    <n v="606"/>
    <n v="195"/>
    <s v="USA"/>
    <s v="Credit Card"/>
    <s v="English"/>
    <n v="95"/>
    <x v="1"/>
    <b v="0"/>
    <s v="Active"/>
    <n v="1155"/>
    <s v="Tablet"/>
    <s v="35-44"/>
    <s v="Late Night"/>
  </r>
  <r>
    <n v="1354"/>
    <s v="Levi"/>
    <x v="60"/>
    <d v="2024-12-07T00:00:00"/>
    <n v="17"/>
    <x v="0"/>
    <n v="135.83000000000001"/>
    <n v="36"/>
    <x v="2"/>
    <n v="1"/>
    <n v="6"/>
    <b v="0"/>
    <n v="214"/>
    <n v="114"/>
    <s v="India"/>
    <s v="PayPal"/>
    <s v="Spanish"/>
    <n v="39"/>
    <x v="11"/>
    <b v="0"/>
    <s v="Active"/>
    <n v="1110"/>
    <s v="Tablet"/>
    <s v="18-24"/>
    <s v="Afternoon"/>
  </r>
  <r>
    <n v="4019"/>
    <s v="Christine"/>
    <x v="61"/>
    <d v="2024-12-06T00:00:00"/>
    <n v="11"/>
    <x v="2"/>
    <n v="175.89000000000001"/>
    <n v="349"/>
    <x v="3"/>
    <n v="1"/>
    <n v="6"/>
    <b v="1"/>
    <n v="334"/>
    <n v="76"/>
    <s v="Canada"/>
    <s v="Credit Card"/>
    <s v="Mandarin"/>
    <n v="32"/>
    <x v="0"/>
    <b v="0"/>
    <s v="Active"/>
    <n v="1911"/>
    <s v="Smart TV"/>
    <s v="55+"/>
    <s v="Afternoon"/>
  </r>
  <r>
    <n v="6178"/>
    <s v="Emily"/>
    <x v="62"/>
    <d v="2024-12-09T00:00:00"/>
    <n v="21"/>
    <x v="1"/>
    <n v="251.79"/>
    <n v="262"/>
    <x v="3"/>
    <n v="5"/>
    <n v="5"/>
    <b v="1"/>
    <n v="849"/>
    <n v="68"/>
    <s v="India"/>
    <s v="Credit Card"/>
    <s v="French"/>
    <n v="24"/>
    <x v="8"/>
    <b v="0"/>
    <s v="Active"/>
    <n v="1721"/>
    <s v="Smartphone"/>
    <s v="18-24"/>
    <s v="Morning"/>
  </r>
  <r>
    <n v="8673"/>
    <s v="Derrick"/>
    <x v="61"/>
    <d v="2024-12-11T00:00:00"/>
    <n v="11"/>
    <x v="0"/>
    <n v="87.89"/>
    <n v="378"/>
    <x v="0"/>
    <n v="2"/>
    <n v="3"/>
    <b v="0"/>
    <n v="155"/>
    <n v="69"/>
    <s v="UK"/>
    <s v="Debit Card"/>
    <s v="Spanish"/>
    <n v="11"/>
    <x v="0"/>
    <b v="0"/>
    <s v="Active"/>
    <n v="353"/>
    <s v="Smart TV"/>
    <s v="55+"/>
    <s v="Morning"/>
  </r>
  <r>
    <n v="8250"/>
    <s v="Jonathan"/>
    <x v="63"/>
    <d v="2024-11-29T00:00:00"/>
    <n v="8"/>
    <x v="2"/>
    <n v="127.92"/>
    <n v="469"/>
    <x v="3"/>
    <n v="3"/>
    <n v="5"/>
    <b v="1"/>
    <n v="406"/>
    <n v="71"/>
    <s v="Australia"/>
    <s v="Cryptocurrency"/>
    <s v="French"/>
    <n v="88"/>
    <x v="14"/>
    <b v="1"/>
    <s v="Active"/>
    <n v="423"/>
    <s v="Tablet"/>
    <s v="35-44"/>
    <s v="Afternoon"/>
  </r>
  <r>
    <n v="1609"/>
    <s v="David"/>
    <x v="64"/>
    <d v="2024-12-17T00:00:00"/>
    <n v="20"/>
    <x v="0"/>
    <n v="159.80000000000001"/>
    <n v="87"/>
    <x v="4"/>
    <n v="4"/>
    <n v="4"/>
    <b v="0"/>
    <n v="571"/>
    <n v="54"/>
    <s v="Canada"/>
    <s v="Credit Card"/>
    <s v="German"/>
    <n v="57"/>
    <x v="18"/>
    <b v="0"/>
    <s v="Active"/>
    <n v="344"/>
    <s v="Smart TV"/>
    <s v="55+"/>
    <s v="Morning"/>
  </r>
  <r>
    <n v="3806"/>
    <s v="Gina"/>
    <x v="65"/>
    <d v="2024-12-12T00:00:00"/>
    <n v="21"/>
    <x v="2"/>
    <n v="335.79"/>
    <n v="471"/>
    <x v="3"/>
    <n v="3"/>
    <n v="6"/>
    <b v="1"/>
    <n v="56"/>
    <n v="69"/>
    <s v="Canada"/>
    <s v="PayPal"/>
    <s v="Mandarin"/>
    <n v="44"/>
    <x v="10"/>
    <b v="1"/>
    <s v="Active"/>
    <n v="4117"/>
    <s v="Tablet"/>
    <s v="55+"/>
    <s v="Morning"/>
  </r>
  <r>
    <n v="7973"/>
    <s v="Kristin"/>
    <x v="36"/>
    <d v="2024-12-03T00:00:00"/>
    <n v="2"/>
    <x v="0"/>
    <n v="15.98"/>
    <n v="469"/>
    <x v="6"/>
    <n v="5"/>
    <n v="2"/>
    <b v="1"/>
    <n v="748"/>
    <n v="147"/>
    <s v="France"/>
    <s v="Cryptocurrency"/>
    <s v="Hindi"/>
    <n v="33"/>
    <x v="3"/>
    <b v="1"/>
    <s v="Active"/>
    <n v="3983"/>
    <s v="Smart TV"/>
    <s v="55+"/>
    <s v="Evening"/>
  </r>
  <r>
    <n v="7948"/>
    <s v="Douglas"/>
    <x v="66"/>
    <d v="2024-11-23T00:00:00"/>
    <n v="11"/>
    <x v="2"/>
    <n v="175.89000000000001"/>
    <n v="298"/>
    <x v="2"/>
    <n v="4"/>
    <n v="1"/>
    <b v="0"/>
    <n v="603"/>
    <n v="161"/>
    <s v="Germany"/>
    <s v="PayPal"/>
    <s v="Spanish"/>
    <n v="68"/>
    <x v="16"/>
    <b v="0"/>
    <s v="Active"/>
    <n v="3941"/>
    <s v="Laptop"/>
    <s v="35-44"/>
    <s v="Afternoon"/>
  </r>
  <r>
    <n v="3195"/>
    <s v="Nicole"/>
    <x v="67"/>
    <d v="2024-12-17T00:00:00"/>
    <n v="14"/>
    <x v="1"/>
    <n v="167.86"/>
    <n v="331"/>
    <x v="0"/>
    <n v="5"/>
    <n v="5"/>
    <b v="0"/>
    <n v="990"/>
    <n v="72"/>
    <s v="Germany"/>
    <s v="Debit Card"/>
    <s v="Spanish"/>
    <n v="80"/>
    <x v="4"/>
    <b v="0"/>
    <s v="Active"/>
    <n v="3085"/>
    <s v="Smartphone"/>
    <s v="35-44"/>
    <s v="Morning"/>
  </r>
  <r>
    <n v="6285"/>
    <s v="Chloe"/>
    <x v="68"/>
    <d v="2024-11-30T00:00:00"/>
    <n v="15"/>
    <x v="1"/>
    <n v="179.85"/>
    <n v="238"/>
    <x v="3"/>
    <n v="3"/>
    <n v="6"/>
    <b v="1"/>
    <n v="831"/>
    <n v="101"/>
    <s v="USA"/>
    <s v="PayPal"/>
    <s v="German"/>
    <n v="94"/>
    <x v="16"/>
    <b v="1"/>
    <s v="Active"/>
    <n v="48"/>
    <s v="Smart TV"/>
    <s v="35-44"/>
    <s v="Evening"/>
  </r>
  <r>
    <n v="4303"/>
    <s v="David"/>
    <x v="69"/>
    <d v="2024-12-17T00:00:00"/>
    <n v="15"/>
    <x v="0"/>
    <n v="119.85000000000001"/>
    <n v="231"/>
    <x v="5"/>
    <n v="1"/>
    <n v="4"/>
    <b v="0"/>
    <n v="420"/>
    <n v="85"/>
    <s v="Germany"/>
    <s v="Cryptocurrency"/>
    <s v="Mandarin"/>
    <n v="30"/>
    <x v="17"/>
    <b v="0"/>
    <s v="Active"/>
    <n v="1520"/>
    <s v="Smart TV"/>
    <s v="55+"/>
    <s v="Evening"/>
  </r>
  <r>
    <n v="7751"/>
    <s v="Kevin"/>
    <x v="70"/>
    <d v="2024-11-23T00:00:00"/>
    <n v="4"/>
    <x v="1"/>
    <n v="47.96"/>
    <n v="457"/>
    <x v="2"/>
    <n v="2"/>
    <n v="5"/>
    <b v="1"/>
    <n v="754"/>
    <n v="98"/>
    <s v="Canada"/>
    <s v="PayPal"/>
    <s v="Mandarin"/>
    <n v="53"/>
    <x v="10"/>
    <b v="1"/>
    <s v="Active"/>
    <n v="935"/>
    <s v="Smartphone"/>
    <s v="55+"/>
    <s v="Evening"/>
  </r>
  <r>
    <n v="7813"/>
    <s v="Nicholas"/>
    <x v="71"/>
    <d v="2024-11-21T00:00:00"/>
    <n v="4"/>
    <x v="2"/>
    <n v="63.96"/>
    <n v="373"/>
    <x v="1"/>
    <n v="4"/>
    <n v="4"/>
    <b v="1"/>
    <n v="782"/>
    <n v="7"/>
    <s v="India"/>
    <s v="Cryptocurrency"/>
    <s v="Spanish"/>
    <n v="18"/>
    <x v="7"/>
    <b v="1"/>
    <s v="Active"/>
    <n v="4641"/>
    <s v="Smart TV"/>
    <s v="55+"/>
    <s v="Evening"/>
  </r>
  <r>
    <n v="9028"/>
    <s v="Terry"/>
    <x v="72"/>
    <d v="2024-11-28T00:00:00"/>
    <n v="11"/>
    <x v="2"/>
    <n v="175.89000000000001"/>
    <n v="11"/>
    <x v="0"/>
    <n v="1"/>
    <n v="4"/>
    <b v="0"/>
    <n v="557"/>
    <n v="165"/>
    <s v="USA"/>
    <s v="PayPal"/>
    <s v="French"/>
    <n v="11"/>
    <x v="1"/>
    <b v="1"/>
    <s v="Active"/>
    <n v="2941"/>
    <s v="Smartphone"/>
    <s v="25-34"/>
    <s v="Late Night"/>
  </r>
  <r>
    <n v="6109"/>
    <s v="Garrett"/>
    <x v="73"/>
    <d v="2024-12-06T00:00:00"/>
    <n v="13"/>
    <x v="2"/>
    <n v="207.87"/>
    <n v="425"/>
    <x v="6"/>
    <n v="2"/>
    <n v="2"/>
    <b v="1"/>
    <n v="552"/>
    <n v="27"/>
    <s v="Germany"/>
    <s v="Cryptocurrency"/>
    <s v="English"/>
    <n v="36"/>
    <x v="1"/>
    <b v="1"/>
    <s v="Active"/>
    <n v="1325"/>
    <s v="Tablet"/>
    <s v="18-24"/>
    <s v="Late Night"/>
  </r>
  <r>
    <n v="2565"/>
    <s v="Jose"/>
    <x v="13"/>
    <d v="2024-12-18T00:00:00"/>
    <n v="3"/>
    <x v="0"/>
    <n v="23.97"/>
    <n v="231"/>
    <x v="5"/>
    <n v="5"/>
    <n v="4"/>
    <b v="1"/>
    <n v="356"/>
    <n v="81"/>
    <s v="Australia"/>
    <s v="Credit Card"/>
    <s v="French"/>
    <n v="73"/>
    <x v="15"/>
    <b v="0"/>
    <s v="Active"/>
    <n v="4465"/>
    <s v="Tablet"/>
    <s v="55+"/>
    <s v="Late Night"/>
  </r>
  <r>
    <n v="7551"/>
    <s v="Courtney"/>
    <x v="74"/>
    <d v="2024-12-02T00:00:00"/>
    <n v="11"/>
    <x v="2"/>
    <n v="175.89000000000001"/>
    <n v="483"/>
    <x v="1"/>
    <n v="2"/>
    <n v="4"/>
    <b v="0"/>
    <n v="161"/>
    <n v="110"/>
    <s v="USA"/>
    <s v="Cryptocurrency"/>
    <s v="French"/>
    <n v="71"/>
    <x v="16"/>
    <b v="1"/>
    <s v="Active"/>
    <n v="3517"/>
    <s v="Smartphone"/>
    <s v="25-34"/>
    <s v="Evening"/>
  </r>
  <r>
    <n v="6398"/>
    <s v="Kim"/>
    <x v="75"/>
    <d v="2024-12-07T00:00:00"/>
    <n v="15"/>
    <x v="0"/>
    <n v="119.85000000000001"/>
    <n v="55"/>
    <x v="6"/>
    <n v="3"/>
    <n v="2"/>
    <b v="1"/>
    <n v="17"/>
    <n v="40"/>
    <s v="UK"/>
    <s v="PayPal"/>
    <s v="Mandarin"/>
    <n v="48"/>
    <x v="4"/>
    <b v="0"/>
    <s v="Active"/>
    <n v="1672"/>
    <s v="Smart TV"/>
    <s v="45-54"/>
    <s v="Late Night"/>
  </r>
  <r>
    <n v="4982"/>
    <s v="Katherine"/>
    <x v="22"/>
    <d v="2024-12-12T00:00:00"/>
    <n v="12"/>
    <x v="1"/>
    <n v="143.88"/>
    <n v="375"/>
    <x v="1"/>
    <n v="4"/>
    <n v="3"/>
    <b v="0"/>
    <n v="366"/>
    <n v="13"/>
    <s v="Canada"/>
    <s v="PayPal"/>
    <s v="Hindi"/>
    <n v="73"/>
    <x v="14"/>
    <b v="1"/>
    <s v="Active"/>
    <n v="2164"/>
    <s v="Tablet"/>
    <s v="25-34"/>
    <s v="Afternoon"/>
  </r>
  <r>
    <n v="8108"/>
    <s v="Lynn"/>
    <x v="76"/>
    <d v="2024-11-30T00:00:00"/>
    <n v="1"/>
    <x v="1"/>
    <n v="11.99"/>
    <n v="336"/>
    <x v="5"/>
    <n v="1"/>
    <n v="2"/>
    <b v="0"/>
    <n v="758"/>
    <n v="32"/>
    <s v="Canada"/>
    <s v="Cryptocurrency"/>
    <s v="German"/>
    <n v="64"/>
    <x v="19"/>
    <b v="0"/>
    <s v="Active"/>
    <n v="3663"/>
    <s v="Smartphone"/>
    <s v="18-24"/>
    <s v="Evening"/>
  </r>
  <r>
    <n v="6779"/>
    <s v="Leah"/>
    <x v="77"/>
    <d v="2024-12-03T00:00:00"/>
    <n v="4"/>
    <x v="0"/>
    <n v="31.96"/>
    <n v="196"/>
    <x v="6"/>
    <n v="1"/>
    <n v="6"/>
    <b v="1"/>
    <n v="936"/>
    <n v="152"/>
    <s v="Australia"/>
    <s v="PayPal"/>
    <s v="Mandarin"/>
    <n v="3"/>
    <x v="2"/>
    <b v="1"/>
    <s v="Active"/>
    <n v="2845"/>
    <s v="Smartphone"/>
    <s v="45-54"/>
    <s v="Afternoon"/>
  </r>
  <r>
    <n v="1169"/>
    <s v="Michael"/>
    <x v="78"/>
    <d v="2024-12-03T00:00:00"/>
    <n v="3"/>
    <x v="1"/>
    <n v="35.97"/>
    <n v="285"/>
    <x v="1"/>
    <n v="3"/>
    <n v="1"/>
    <b v="0"/>
    <n v="13"/>
    <n v="103"/>
    <s v="Australia"/>
    <s v="Credit Card"/>
    <s v="Spanish"/>
    <n v="11"/>
    <x v="4"/>
    <b v="0"/>
    <s v="Active"/>
    <n v="2390"/>
    <s v="Laptop"/>
    <s v="18-24"/>
    <s v="Morning"/>
  </r>
  <r>
    <n v="5067"/>
    <s v="Kayla"/>
    <x v="79"/>
    <d v="2024-11-27T00:00:00"/>
    <n v="2"/>
    <x v="0"/>
    <n v="15.98"/>
    <n v="155"/>
    <x v="3"/>
    <n v="5"/>
    <n v="1"/>
    <b v="1"/>
    <n v="305"/>
    <n v="77"/>
    <s v="USA"/>
    <s v="Cryptocurrency"/>
    <s v="French"/>
    <n v="66"/>
    <x v="15"/>
    <b v="0"/>
    <s v="Active"/>
    <n v="234"/>
    <s v="Smartphone"/>
    <s v="55+"/>
    <s v="Afternoon"/>
  </r>
  <r>
    <n v="5299"/>
    <s v="Katelyn"/>
    <x v="80"/>
    <d v="2024-12-02T00:00:00"/>
    <n v="19"/>
    <x v="0"/>
    <n v="151.81"/>
    <n v="275"/>
    <x v="5"/>
    <n v="2"/>
    <n v="2"/>
    <b v="1"/>
    <n v="755"/>
    <n v="166"/>
    <s v="Germany"/>
    <s v="Debit Card"/>
    <s v="Mandarin"/>
    <n v="45"/>
    <x v="12"/>
    <b v="0"/>
    <s v="Active"/>
    <n v="3975"/>
    <s v="Tablet"/>
    <s v="35-44"/>
    <s v="Morning"/>
  </r>
  <r>
    <n v="3978"/>
    <s v="Jessica"/>
    <x v="24"/>
    <d v="2024-11-28T00:00:00"/>
    <n v="6"/>
    <x v="0"/>
    <n v="47.94"/>
    <n v="341"/>
    <x v="1"/>
    <n v="3"/>
    <n v="4"/>
    <b v="0"/>
    <n v="27"/>
    <n v="82"/>
    <s v="USA"/>
    <s v="Debit Card"/>
    <s v="German"/>
    <n v="98"/>
    <x v="4"/>
    <b v="1"/>
    <s v="Active"/>
    <n v="561"/>
    <s v="Tablet"/>
    <s v="45-54"/>
    <s v="Afternoon"/>
  </r>
  <r>
    <n v="8634"/>
    <s v="Maria"/>
    <x v="2"/>
    <d v="2024-12-13T00:00:00"/>
    <n v="16"/>
    <x v="2"/>
    <n v="255.84"/>
    <n v="321"/>
    <x v="1"/>
    <n v="2"/>
    <n v="2"/>
    <b v="0"/>
    <n v="676"/>
    <n v="81"/>
    <s v="USA"/>
    <s v="Cryptocurrency"/>
    <s v="English"/>
    <n v="65"/>
    <x v="3"/>
    <b v="0"/>
    <s v="Active"/>
    <n v="4647"/>
    <s v="Tablet"/>
    <s v="55+"/>
    <s v="Late Night"/>
  </r>
  <r>
    <n v="9635"/>
    <s v="Justin"/>
    <x v="81"/>
    <d v="2024-11-26T00:00:00"/>
    <n v="11"/>
    <x v="1"/>
    <n v="131.89000000000001"/>
    <n v="456"/>
    <x v="5"/>
    <n v="2"/>
    <n v="5"/>
    <b v="0"/>
    <n v="734"/>
    <n v="83"/>
    <s v="India"/>
    <s v="Debit Card"/>
    <s v="French"/>
    <n v="87"/>
    <x v="20"/>
    <b v="1"/>
    <s v="Active"/>
    <n v="581"/>
    <s v="Tablet"/>
    <s v="35-44"/>
    <s v="Evening"/>
  </r>
  <r>
    <n v="1776"/>
    <s v="Susan"/>
    <x v="82"/>
    <d v="2024-11-20T00:00:00"/>
    <n v="12"/>
    <x v="2"/>
    <n v="191.88"/>
    <n v="15"/>
    <x v="5"/>
    <n v="1"/>
    <n v="4"/>
    <b v="0"/>
    <n v="687"/>
    <n v="183"/>
    <s v="France"/>
    <s v="Cryptocurrency"/>
    <s v="Hindi"/>
    <n v="46"/>
    <x v="18"/>
    <b v="1"/>
    <s v="Active"/>
    <n v="1250"/>
    <s v="Desktop"/>
    <s v="55+"/>
    <s v="Late Night"/>
  </r>
  <r>
    <n v="9703"/>
    <s v="Mark"/>
    <x v="83"/>
    <d v="2024-12-12T00:00:00"/>
    <n v="9"/>
    <x v="1"/>
    <n v="107.91"/>
    <n v="410"/>
    <x v="2"/>
    <n v="3"/>
    <n v="5"/>
    <b v="0"/>
    <n v="826"/>
    <n v="182"/>
    <s v="UK"/>
    <s v="Cryptocurrency"/>
    <s v="English"/>
    <n v="69"/>
    <x v="18"/>
    <b v="0"/>
    <s v="Active"/>
    <n v="3441"/>
    <s v="Smartphone"/>
    <s v="35-44"/>
    <s v="Evening"/>
  </r>
  <r>
    <n v="3498"/>
    <s v="Sue"/>
    <x v="84"/>
    <d v="2024-12-01T00:00:00"/>
    <n v="14"/>
    <x v="2"/>
    <n v="223.86"/>
    <n v="29"/>
    <x v="1"/>
    <n v="2"/>
    <n v="4"/>
    <b v="1"/>
    <n v="450"/>
    <n v="67"/>
    <s v="India"/>
    <s v="Credit Card"/>
    <s v="German"/>
    <n v="52"/>
    <x v="0"/>
    <b v="0"/>
    <s v="Active"/>
    <n v="3211"/>
    <s v="Smartphone"/>
    <s v="55+"/>
    <s v="Morning"/>
  </r>
  <r>
    <n v="4260"/>
    <s v="Jean"/>
    <x v="85"/>
    <d v="2024-12-16T00:00:00"/>
    <n v="5"/>
    <x v="0"/>
    <n v="39.950000000000003"/>
    <n v="427"/>
    <x v="4"/>
    <n v="1"/>
    <n v="1"/>
    <b v="0"/>
    <n v="159"/>
    <n v="98"/>
    <s v="Germany"/>
    <s v="Credit Card"/>
    <s v="Spanish"/>
    <n v="66"/>
    <x v="0"/>
    <b v="0"/>
    <s v="Active"/>
    <n v="647"/>
    <s v="Smartphone"/>
    <s v="55+"/>
    <s v="Late Night"/>
  </r>
  <r>
    <n v="7152"/>
    <s v="James"/>
    <x v="86"/>
    <d v="2024-12-04T00:00:00"/>
    <n v="21"/>
    <x v="1"/>
    <n v="251.79"/>
    <n v="166"/>
    <x v="0"/>
    <n v="5"/>
    <n v="3"/>
    <b v="0"/>
    <n v="367"/>
    <n v="198"/>
    <s v="India"/>
    <s v="Debit Card"/>
    <s v="Hindi"/>
    <n v="11"/>
    <x v="3"/>
    <b v="1"/>
    <s v="Active"/>
    <n v="3751"/>
    <s v="Laptop"/>
    <s v="35-44"/>
    <s v="Afternoon"/>
  </r>
  <r>
    <n v="2457"/>
    <s v="David"/>
    <x v="87"/>
    <d v="2024-11-26T00:00:00"/>
    <n v="13"/>
    <x v="0"/>
    <n v="103.87"/>
    <n v="192"/>
    <x v="5"/>
    <n v="1"/>
    <n v="1"/>
    <b v="0"/>
    <n v="786"/>
    <n v="140"/>
    <s v="Canada"/>
    <s v="Debit Card"/>
    <s v="French"/>
    <n v="95"/>
    <x v="15"/>
    <b v="0"/>
    <s v="Active"/>
    <n v="2925"/>
    <s v="Tablet"/>
    <s v="25-34"/>
    <s v="Late Night"/>
  </r>
  <r>
    <n v="8530"/>
    <s v="Ebony"/>
    <x v="45"/>
    <d v="2024-12-04T00:00:00"/>
    <n v="20"/>
    <x v="1"/>
    <n v="239.8"/>
    <n v="88"/>
    <x v="3"/>
    <n v="1"/>
    <n v="6"/>
    <b v="1"/>
    <n v="962"/>
    <n v="183"/>
    <s v="Australia"/>
    <s v="Debit Card"/>
    <s v="English"/>
    <n v="90"/>
    <x v="19"/>
    <b v="0"/>
    <s v="Active"/>
    <n v="4646"/>
    <s v="Smart TV"/>
    <s v="55+"/>
    <s v="Late Night"/>
  </r>
  <r>
    <n v="9131"/>
    <s v="Derek"/>
    <x v="88"/>
    <d v="2024-11-27T00:00:00"/>
    <n v="15"/>
    <x v="0"/>
    <n v="119.85000000000001"/>
    <n v="127"/>
    <x v="2"/>
    <n v="2"/>
    <n v="5"/>
    <b v="0"/>
    <n v="482"/>
    <n v="5"/>
    <s v="India"/>
    <s v="Cryptocurrency"/>
    <s v="English"/>
    <n v="99"/>
    <x v="10"/>
    <b v="0"/>
    <s v="Active"/>
    <n v="2867"/>
    <s v="Desktop"/>
    <s v="25-34"/>
    <s v="Afternoon"/>
  </r>
  <r>
    <n v="9770"/>
    <s v="John"/>
    <x v="89"/>
    <d v="2024-11-24T00:00:00"/>
    <n v="12"/>
    <x v="0"/>
    <n v="95.88"/>
    <n v="327"/>
    <x v="6"/>
    <n v="4"/>
    <n v="3"/>
    <b v="0"/>
    <n v="451"/>
    <n v="108"/>
    <s v="UK"/>
    <s v="PayPal"/>
    <s v="Spanish"/>
    <n v="91"/>
    <x v="7"/>
    <b v="1"/>
    <s v="Active"/>
    <n v="4131"/>
    <s v="Smart TV"/>
    <s v="25-34"/>
    <s v="Evening"/>
  </r>
  <r>
    <n v="8095"/>
    <s v="Rebecca"/>
    <x v="90"/>
    <d v="2024-12-11T00:00:00"/>
    <n v="19"/>
    <x v="0"/>
    <n v="151.81"/>
    <n v="10"/>
    <x v="0"/>
    <n v="2"/>
    <n v="5"/>
    <b v="1"/>
    <n v="22"/>
    <n v="14"/>
    <s v="Australia"/>
    <s v="Debit Card"/>
    <s v="English"/>
    <n v="25"/>
    <x v="13"/>
    <b v="1"/>
    <s v="Active"/>
    <n v="2927"/>
    <s v="Smart TV"/>
    <s v="35-44"/>
    <s v="Evening"/>
  </r>
  <r>
    <n v="3763"/>
    <s v="Juan"/>
    <x v="91"/>
    <d v="2024-12-06T00:00:00"/>
    <n v="23"/>
    <x v="1"/>
    <n v="275.77"/>
    <n v="181"/>
    <x v="4"/>
    <n v="4"/>
    <n v="2"/>
    <b v="0"/>
    <n v="848"/>
    <n v="172"/>
    <s v="India"/>
    <s v="Cryptocurrency"/>
    <s v="Mandarin"/>
    <n v="6"/>
    <x v="15"/>
    <b v="0"/>
    <s v="Active"/>
    <n v="3314"/>
    <s v="Smartphone"/>
    <s v="55+"/>
    <s v="Morning"/>
  </r>
  <r>
    <n v="4346"/>
    <s v="Gabrielle"/>
    <x v="92"/>
    <d v="2024-12-12T00:00:00"/>
    <n v="9"/>
    <x v="2"/>
    <n v="143.91"/>
    <n v="238"/>
    <x v="0"/>
    <n v="4"/>
    <n v="2"/>
    <b v="0"/>
    <n v="524"/>
    <n v="162"/>
    <s v="USA"/>
    <s v="Cryptocurrency"/>
    <s v="German"/>
    <n v="20"/>
    <x v="8"/>
    <b v="1"/>
    <s v="Active"/>
    <n v="1782"/>
    <s v="Smartphone"/>
    <s v="45-54"/>
    <s v="Morning"/>
  </r>
  <r>
    <n v="5866"/>
    <s v="Nicholas"/>
    <x v="93"/>
    <d v="2024-11-26T00:00:00"/>
    <n v="5"/>
    <x v="0"/>
    <n v="39.950000000000003"/>
    <n v="380"/>
    <x v="3"/>
    <n v="2"/>
    <n v="3"/>
    <b v="0"/>
    <n v="76"/>
    <n v="25"/>
    <s v="Germany"/>
    <s v="PayPal"/>
    <s v="Hindi"/>
    <n v="95"/>
    <x v="18"/>
    <b v="1"/>
    <s v="Active"/>
    <n v="1938"/>
    <s v="Laptop"/>
    <s v="55+"/>
    <s v="Afternoon"/>
  </r>
  <r>
    <n v="5865"/>
    <s v="Samantha"/>
    <x v="94"/>
    <d v="2024-11-24T00:00:00"/>
    <n v="16"/>
    <x v="1"/>
    <n v="191.84"/>
    <n v="444"/>
    <x v="2"/>
    <n v="2"/>
    <n v="3"/>
    <b v="0"/>
    <n v="959"/>
    <n v="183"/>
    <s v="Germany"/>
    <s v="PayPal"/>
    <s v="Hindi"/>
    <n v="93"/>
    <x v="20"/>
    <b v="0"/>
    <s v="Active"/>
    <n v="3935"/>
    <s v="Smart TV"/>
    <s v="18-24"/>
    <s v="Afternoon"/>
  </r>
  <r>
    <n v="9398"/>
    <s v="Jesse"/>
    <x v="95"/>
    <d v="2024-12-11T00:00:00"/>
    <n v="1"/>
    <x v="0"/>
    <n v="7.99"/>
    <n v="83"/>
    <x v="5"/>
    <n v="3"/>
    <n v="5"/>
    <b v="1"/>
    <n v="148"/>
    <n v="154"/>
    <s v="UK"/>
    <s v="Credit Card"/>
    <s v="Hindi"/>
    <n v="21"/>
    <x v="2"/>
    <b v="0"/>
    <s v="Active"/>
    <n v="3206"/>
    <s v="Smart TV"/>
    <s v="45-54"/>
    <s v="Late Night"/>
  </r>
  <r>
    <n v="9695"/>
    <s v="Aaron"/>
    <x v="96"/>
    <d v="2024-12-18T00:00:00"/>
    <n v="12"/>
    <x v="0"/>
    <n v="95.88"/>
    <n v="452"/>
    <x v="3"/>
    <n v="4"/>
    <n v="4"/>
    <b v="0"/>
    <n v="338"/>
    <n v="132"/>
    <s v="Australia"/>
    <s v="PayPal"/>
    <s v="Spanish"/>
    <n v="63"/>
    <x v="0"/>
    <b v="0"/>
    <s v="Active"/>
    <n v="2523"/>
    <s v="Smartphone"/>
    <s v="18-24"/>
    <s v="Late Night"/>
  </r>
  <r>
    <n v="8805"/>
    <s v="Maurice"/>
    <x v="97"/>
    <d v="2024-12-06T00:00:00"/>
    <n v="5"/>
    <x v="2"/>
    <n v="79.95"/>
    <n v="53"/>
    <x v="6"/>
    <n v="4"/>
    <n v="2"/>
    <b v="1"/>
    <n v="720"/>
    <n v="37"/>
    <s v="Australia"/>
    <s v="PayPal"/>
    <s v="Spanish"/>
    <n v="8"/>
    <x v="1"/>
    <b v="1"/>
    <s v="Active"/>
    <n v="2727"/>
    <s v="Laptop"/>
    <s v="55+"/>
    <s v="Evening"/>
  </r>
  <r>
    <n v="8353"/>
    <s v="Lisa"/>
    <x v="98"/>
    <d v="2024-11-19T00:00:00"/>
    <n v="16"/>
    <x v="2"/>
    <n v="255.84"/>
    <n v="89"/>
    <x v="6"/>
    <n v="5"/>
    <n v="3"/>
    <b v="0"/>
    <n v="387"/>
    <n v="81"/>
    <s v="Australia"/>
    <s v="PayPal"/>
    <s v="English"/>
    <n v="87"/>
    <x v="20"/>
    <b v="1"/>
    <s v="Active"/>
    <n v="2864"/>
    <s v="Tablet"/>
    <s v="45-54"/>
    <s v="Late Night"/>
  </r>
  <r>
    <n v="3178"/>
    <s v="Melissa"/>
    <x v="99"/>
    <d v="2024-12-11T00:00:00"/>
    <n v="8"/>
    <x v="0"/>
    <n v="63.92"/>
    <n v="359"/>
    <x v="4"/>
    <n v="5"/>
    <n v="4"/>
    <b v="0"/>
    <n v="624"/>
    <n v="107"/>
    <s v="India"/>
    <s v="Debit Card"/>
    <s v="Spanish"/>
    <n v="4"/>
    <x v="2"/>
    <b v="1"/>
    <s v="Active"/>
    <n v="3698"/>
    <s v="Tablet"/>
    <s v="45-54"/>
    <s v="Afternoon"/>
  </r>
  <r>
    <n v="4917"/>
    <s v="Erin"/>
    <x v="65"/>
    <d v="2024-11-20T00:00:00"/>
    <n v="21"/>
    <x v="1"/>
    <n v="251.79"/>
    <n v="487"/>
    <x v="4"/>
    <n v="1"/>
    <n v="4"/>
    <b v="0"/>
    <n v="636"/>
    <n v="66"/>
    <s v="Australia"/>
    <s v="PayPal"/>
    <s v="French"/>
    <n v="78"/>
    <x v="17"/>
    <b v="0"/>
    <s v="Active"/>
    <n v="1531"/>
    <s v="Smartphone"/>
    <s v="45-54"/>
    <s v="Morning"/>
  </r>
  <r>
    <n v="8878"/>
    <s v="Dale"/>
    <x v="83"/>
    <d v="2024-11-21T00:00:00"/>
    <n v="8"/>
    <x v="0"/>
    <n v="63.92"/>
    <n v="337"/>
    <x v="5"/>
    <n v="5"/>
    <n v="1"/>
    <b v="1"/>
    <n v="429"/>
    <n v="190"/>
    <s v="Canada"/>
    <s v="Credit Card"/>
    <s v="Mandarin"/>
    <n v="88"/>
    <x v="14"/>
    <b v="0"/>
    <s v="Active"/>
    <n v="4884"/>
    <s v="Smartphone"/>
    <s v="35-44"/>
    <s v="Afternoon"/>
  </r>
  <r>
    <n v="3810"/>
    <s v="Gregory"/>
    <x v="100"/>
    <d v="2024-12-04T00:00:00"/>
    <n v="21"/>
    <x v="2"/>
    <n v="335.79"/>
    <n v="427"/>
    <x v="4"/>
    <n v="5"/>
    <n v="3"/>
    <b v="0"/>
    <n v="832"/>
    <n v="103"/>
    <s v="Australia"/>
    <s v="Cryptocurrency"/>
    <s v="Mandarin"/>
    <n v="79"/>
    <x v="0"/>
    <b v="0"/>
    <s v="Active"/>
    <n v="3633"/>
    <s v="Smartphone"/>
    <s v="25-34"/>
    <s v="Evening"/>
  </r>
  <r>
    <n v="9353"/>
    <s v="Sarah"/>
    <x v="101"/>
    <d v="2024-11-26T00:00:00"/>
    <n v="15"/>
    <x v="0"/>
    <n v="119.85000000000001"/>
    <n v="397"/>
    <x v="3"/>
    <n v="4"/>
    <n v="4"/>
    <b v="1"/>
    <n v="63"/>
    <n v="126"/>
    <s v="Germany"/>
    <s v="Debit Card"/>
    <s v="Mandarin"/>
    <n v="77"/>
    <x v="12"/>
    <b v="1"/>
    <s v="Active"/>
    <n v="4719"/>
    <s v="Smartphone"/>
    <s v="25-34"/>
    <s v="Afternoon"/>
  </r>
  <r>
    <n v="1672"/>
    <s v="Carmen"/>
    <x v="102"/>
    <d v="2024-11-28T00:00:00"/>
    <n v="23"/>
    <x v="2"/>
    <n v="367.77"/>
    <n v="200"/>
    <x v="4"/>
    <n v="4"/>
    <n v="1"/>
    <b v="0"/>
    <n v="52"/>
    <n v="8"/>
    <s v="France"/>
    <s v="Credit Card"/>
    <s v="French"/>
    <n v="17"/>
    <x v="7"/>
    <b v="1"/>
    <s v="Active"/>
    <n v="3161"/>
    <s v="Smart TV"/>
    <s v="45-54"/>
    <s v="Morning"/>
  </r>
  <r>
    <n v="6650"/>
    <s v="April"/>
    <x v="103"/>
    <d v="2024-11-26T00:00:00"/>
    <n v="8"/>
    <x v="1"/>
    <n v="95.92"/>
    <n v="464"/>
    <x v="1"/>
    <n v="2"/>
    <n v="3"/>
    <b v="1"/>
    <n v="909"/>
    <n v="165"/>
    <s v="Germany"/>
    <s v="Cryptocurrency"/>
    <s v="Spanish"/>
    <n v="28"/>
    <x v="10"/>
    <b v="1"/>
    <s v="Active"/>
    <n v="3607"/>
    <s v="Desktop"/>
    <s v="18-24"/>
    <s v="Evening"/>
  </r>
  <r>
    <n v="2581"/>
    <s v="Anthony"/>
    <x v="64"/>
    <d v="2024-12-02T00:00:00"/>
    <n v="19"/>
    <x v="2"/>
    <n v="303.81"/>
    <n v="495"/>
    <x v="3"/>
    <n v="1"/>
    <n v="3"/>
    <b v="0"/>
    <n v="704"/>
    <n v="53"/>
    <s v="UK"/>
    <s v="Credit Card"/>
    <s v="English"/>
    <n v="94"/>
    <x v="15"/>
    <b v="0"/>
    <s v="Active"/>
    <n v="944"/>
    <s v="Tablet"/>
    <s v="55+"/>
    <s v="Evening"/>
  </r>
  <r>
    <n v="6860"/>
    <s v="Brett"/>
    <x v="104"/>
    <d v="2024-12-16T00:00:00"/>
    <n v="10"/>
    <x v="0"/>
    <n v="79.900000000000006"/>
    <n v="286"/>
    <x v="1"/>
    <n v="5"/>
    <n v="4"/>
    <b v="0"/>
    <n v="751"/>
    <n v="103"/>
    <s v="UK"/>
    <s v="Cryptocurrency"/>
    <s v="French"/>
    <n v="33"/>
    <x v="10"/>
    <b v="0"/>
    <s v="Active"/>
    <n v="2757"/>
    <s v="Smart TV"/>
    <s v="55+"/>
    <s v="Late Night"/>
  </r>
  <r>
    <n v="4584"/>
    <s v="Matthew"/>
    <x v="105"/>
    <d v="2024-12-14T00:00:00"/>
    <n v="2"/>
    <x v="0"/>
    <n v="15.98"/>
    <n v="446"/>
    <x v="1"/>
    <n v="3"/>
    <n v="6"/>
    <b v="0"/>
    <n v="185"/>
    <n v="134"/>
    <s v="USA"/>
    <s v="Credit Card"/>
    <s v="Spanish"/>
    <n v="18"/>
    <x v="0"/>
    <b v="0"/>
    <s v="Active"/>
    <n v="727"/>
    <s v="Smartphone"/>
    <s v="45-54"/>
    <s v="Morning"/>
  </r>
  <r>
    <n v="3354"/>
    <s v="Lisa"/>
    <x v="106"/>
    <d v="2024-11-22T00:00:00"/>
    <n v="13"/>
    <x v="1"/>
    <n v="155.87"/>
    <n v="342"/>
    <x v="5"/>
    <n v="2"/>
    <n v="2"/>
    <b v="0"/>
    <n v="503"/>
    <n v="6"/>
    <s v="France"/>
    <s v="PayPal"/>
    <s v="French"/>
    <n v="23"/>
    <x v="7"/>
    <b v="1"/>
    <s v="Active"/>
    <n v="3496"/>
    <s v="Laptop"/>
    <s v="45-54"/>
    <s v="Afternoon"/>
  </r>
  <r>
    <n v="4668"/>
    <s v="Carly"/>
    <x v="107"/>
    <d v="2024-12-09T00:00:00"/>
    <n v="0"/>
    <x v="1"/>
    <n v="0"/>
    <n v="396"/>
    <x v="2"/>
    <n v="5"/>
    <n v="5"/>
    <b v="1"/>
    <n v="549"/>
    <n v="35"/>
    <s v="Canada"/>
    <s v="PayPal"/>
    <s v="German"/>
    <n v="66"/>
    <x v="10"/>
    <b v="1"/>
    <s v="Active"/>
    <n v="4293"/>
    <s v="Laptop"/>
    <s v="55+"/>
    <s v="Morning"/>
  </r>
  <r>
    <n v="6684"/>
    <s v="Dennis"/>
    <x v="40"/>
    <d v="2024-12-11T00:00:00"/>
    <n v="2"/>
    <x v="1"/>
    <n v="23.98"/>
    <n v="491"/>
    <x v="6"/>
    <n v="1"/>
    <n v="6"/>
    <b v="1"/>
    <n v="434"/>
    <n v="182"/>
    <s v="Germany"/>
    <s v="Cryptocurrency"/>
    <s v="Spanish"/>
    <n v="24"/>
    <x v="13"/>
    <b v="0"/>
    <s v="Active"/>
    <n v="1357"/>
    <s v="Tablet"/>
    <s v="45-54"/>
    <s v="Late Night"/>
  </r>
  <r>
    <n v="8058"/>
    <s v="Alexandra"/>
    <x v="108"/>
    <d v="2024-12-14T00:00:00"/>
    <n v="20"/>
    <x v="2"/>
    <n v="319.8"/>
    <n v="239"/>
    <x v="2"/>
    <n v="4"/>
    <n v="6"/>
    <b v="0"/>
    <n v="832"/>
    <n v="134"/>
    <s v="Australia"/>
    <s v="Cryptocurrency"/>
    <s v="Spanish"/>
    <n v="99"/>
    <x v="3"/>
    <b v="1"/>
    <s v="Active"/>
    <n v="3596"/>
    <s v="Desktop"/>
    <s v="18-24"/>
    <s v="Morning"/>
  </r>
  <r>
    <n v="3035"/>
    <s v="Michael"/>
    <x v="44"/>
    <d v="2024-11-24T00:00:00"/>
    <n v="18"/>
    <x v="2"/>
    <n v="287.82"/>
    <n v="106"/>
    <x v="6"/>
    <n v="3"/>
    <n v="3"/>
    <b v="1"/>
    <n v="377"/>
    <n v="31"/>
    <s v="Germany"/>
    <s v="Credit Card"/>
    <s v="English"/>
    <n v="85"/>
    <x v="17"/>
    <b v="1"/>
    <s v="Active"/>
    <n v="613"/>
    <s v="Desktop"/>
    <s v="55+"/>
    <s v="Late Night"/>
  </r>
  <r>
    <n v="2146"/>
    <s v="Ryan"/>
    <x v="109"/>
    <d v="2024-11-22T00:00:00"/>
    <n v="4"/>
    <x v="1"/>
    <n v="47.96"/>
    <n v="388"/>
    <x v="4"/>
    <n v="5"/>
    <n v="4"/>
    <b v="1"/>
    <n v="380"/>
    <n v="125"/>
    <s v="Australia"/>
    <s v="PayPal"/>
    <s v="German"/>
    <n v="14"/>
    <x v="7"/>
    <b v="0"/>
    <s v="Active"/>
    <n v="2381"/>
    <s v="Tablet"/>
    <s v="25-34"/>
    <s v="Afternoon"/>
  </r>
  <r>
    <n v="5761"/>
    <s v="Tony"/>
    <x v="110"/>
    <d v="2024-12-08T00:00:00"/>
    <n v="10"/>
    <x v="2"/>
    <n v="159.9"/>
    <n v="452"/>
    <x v="1"/>
    <n v="2"/>
    <n v="5"/>
    <b v="0"/>
    <n v="315"/>
    <n v="118"/>
    <s v="India"/>
    <s v="Cryptocurrency"/>
    <s v="Spanish"/>
    <n v="28"/>
    <x v="8"/>
    <b v="1"/>
    <s v="Active"/>
    <n v="2159"/>
    <s v="Desktop"/>
    <s v="45-54"/>
    <s v="Morning"/>
  </r>
  <r>
    <n v="5256"/>
    <s v="Daniel"/>
    <x v="111"/>
    <d v="2024-12-02T00:00:00"/>
    <n v="0"/>
    <x v="2"/>
    <n v="0"/>
    <n v="368"/>
    <x v="2"/>
    <n v="4"/>
    <n v="4"/>
    <b v="1"/>
    <n v="968"/>
    <n v="24"/>
    <s v="Australia"/>
    <s v="Debit Card"/>
    <s v="Mandarin"/>
    <n v="30"/>
    <x v="8"/>
    <b v="1"/>
    <s v="Active"/>
    <n v="119"/>
    <s v="Tablet"/>
    <s v="55+"/>
    <s v="Late Night"/>
  </r>
  <r>
    <n v="5995"/>
    <s v="Melissa"/>
    <x v="8"/>
    <d v="2024-11-27T00:00:00"/>
    <n v="17"/>
    <x v="2"/>
    <n v="271.83"/>
    <n v="325"/>
    <x v="0"/>
    <n v="2"/>
    <n v="5"/>
    <b v="1"/>
    <n v="757"/>
    <n v="35"/>
    <s v="UK"/>
    <s v="Credit Card"/>
    <s v="Mandarin"/>
    <n v="81"/>
    <x v="3"/>
    <b v="0"/>
    <s v="Active"/>
    <n v="2798"/>
    <s v="Smartphone"/>
    <s v="25-34"/>
    <s v="Late Night"/>
  </r>
  <r>
    <n v="4155"/>
    <s v="Jacob"/>
    <x v="112"/>
    <d v="2024-12-06T00:00:00"/>
    <n v="20"/>
    <x v="1"/>
    <n v="239.8"/>
    <n v="42"/>
    <x v="2"/>
    <n v="4"/>
    <n v="2"/>
    <b v="0"/>
    <n v="560"/>
    <n v="98"/>
    <s v="France"/>
    <s v="Debit Card"/>
    <s v="Mandarin"/>
    <n v="90"/>
    <x v="20"/>
    <b v="0"/>
    <s v="Active"/>
    <n v="496"/>
    <s v="Laptop"/>
    <s v="18-24"/>
    <s v="Afternoon"/>
  </r>
  <r>
    <n v="1851"/>
    <s v="Jennifer"/>
    <x v="113"/>
    <d v="2024-12-11T00:00:00"/>
    <n v="14"/>
    <x v="1"/>
    <n v="167.86"/>
    <n v="344"/>
    <x v="4"/>
    <n v="3"/>
    <n v="1"/>
    <b v="0"/>
    <n v="456"/>
    <n v="196"/>
    <s v="France"/>
    <s v="Credit Card"/>
    <s v="Mandarin"/>
    <n v="83"/>
    <x v="19"/>
    <b v="0"/>
    <s v="Active"/>
    <n v="3599"/>
    <s v="Desktop"/>
    <s v="45-54"/>
    <s v="Evening"/>
  </r>
  <r>
    <n v="8068"/>
    <s v="Carolyn"/>
    <x v="114"/>
    <d v="2024-11-23T00:00:00"/>
    <n v="0"/>
    <x v="2"/>
    <n v="0"/>
    <n v="77"/>
    <x v="1"/>
    <n v="5"/>
    <n v="3"/>
    <b v="0"/>
    <n v="780"/>
    <n v="138"/>
    <s v="India"/>
    <s v="Cryptocurrency"/>
    <s v="French"/>
    <n v="66"/>
    <x v="15"/>
    <b v="0"/>
    <s v="Active"/>
    <n v="1752"/>
    <s v="Tablet"/>
    <s v="18-24"/>
    <s v="Afternoon"/>
  </r>
  <r>
    <n v="8425"/>
    <s v="Patrick"/>
    <x v="115"/>
    <d v="2024-11-28T00:00:00"/>
    <n v="0"/>
    <x v="0"/>
    <n v="0"/>
    <n v="237"/>
    <x v="5"/>
    <n v="5"/>
    <n v="3"/>
    <b v="1"/>
    <n v="168"/>
    <n v="18"/>
    <s v="Australia"/>
    <s v="Cryptocurrency"/>
    <s v="Mandarin"/>
    <n v="32"/>
    <x v="17"/>
    <b v="1"/>
    <s v="Active"/>
    <n v="3633"/>
    <s v="Laptop"/>
    <s v="25-34"/>
    <s v="Evening"/>
  </r>
  <r>
    <n v="4706"/>
    <s v="Sabrina"/>
    <x v="116"/>
    <d v="2024-12-06T00:00:00"/>
    <n v="21"/>
    <x v="1"/>
    <n v="251.79"/>
    <n v="480"/>
    <x v="2"/>
    <n v="1"/>
    <n v="2"/>
    <b v="1"/>
    <n v="350"/>
    <n v="122"/>
    <s v="France"/>
    <s v="PayPal"/>
    <s v="Spanish"/>
    <n v="59"/>
    <x v="3"/>
    <b v="0"/>
    <s v="Active"/>
    <n v="3568"/>
    <s v="Desktop"/>
    <s v="35-44"/>
    <s v="Late Night"/>
  </r>
  <r>
    <n v="7544"/>
    <s v="Denise"/>
    <x v="46"/>
    <d v="2024-11-25T00:00:00"/>
    <n v="14"/>
    <x v="2"/>
    <n v="223.86"/>
    <n v="152"/>
    <x v="4"/>
    <n v="1"/>
    <n v="3"/>
    <b v="0"/>
    <n v="341"/>
    <n v="193"/>
    <s v="UK"/>
    <s v="Credit Card"/>
    <s v="Mandarin"/>
    <n v="95"/>
    <x v="4"/>
    <b v="0"/>
    <s v="Active"/>
    <n v="4361"/>
    <s v="Smartphone"/>
    <s v="45-54"/>
    <s v="Afternoon"/>
  </r>
  <r>
    <n v="4029"/>
    <s v="Cassandra"/>
    <x v="117"/>
    <d v="2024-11-24T00:00:00"/>
    <n v="1"/>
    <x v="1"/>
    <n v="11.99"/>
    <n v="308"/>
    <x v="1"/>
    <n v="2"/>
    <n v="3"/>
    <b v="0"/>
    <n v="392"/>
    <n v="151"/>
    <s v="Canada"/>
    <s v="Debit Card"/>
    <s v="German"/>
    <n v="27"/>
    <x v="18"/>
    <b v="1"/>
    <s v="Active"/>
    <n v="1176"/>
    <s v="Smartphone"/>
    <s v="18-24"/>
    <s v="Evening"/>
  </r>
  <r>
    <n v="6117"/>
    <s v="Elizabeth"/>
    <x v="118"/>
    <d v="2024-11-27T00:00:00"/>
    <n v="5"/>
    <x v="0"/>
    <n v="39.950000000000003"/>
    <n v="14"/>
    <x v="1"/>
    <n v="5"/>
    <n v="5"/>
    <b v="1"/>
    <n v="95"/>
    <n v="158"/>
    <s v="Australia"/>
    <s v="Credit Card"/>
    <s v="Hindi"/>
    <n v="49"/>
    <x v="12"/>
    <b v="0"/>
    <s v="Active"/>
    <n v="1849"/>
    <s v="Tablet"/>
    <s v="18-24"/>
    <s v="Evening"/>
  </r>
  <r>
    <n v="1408"/>
    <s v="Dustin"/>
    <x v="119"/>
    <d v="2024-11-20T00:00:00"/>
    <n v="21"/>
    <x v="1"/>
    <n v="251.79"/>
    <n v="233"/>
    <x v="1"/>
    <n v="5"/>
    <n v="6"/>
    <b v="1"/>
    <n v="186"/>
    <n v="129"/>
    <s v="India"/>
    <s v="Debit Card"/>
    <s v="Hindi"/>
    <n v="38"/>
    <x v="1"/>
    <b v="1"/>
    <s v="Active"/>
    <n v="3953"/>
    <s v="Laptop"/>
    <s v="35-44"/>
    <s v="Evening"/>
  </r>
  <r>
    <n v="8396"/>
    <s v="Mary"/>
    <x v="38"/>
    <d v="2024-12-11T00:00:00"/>
    <n v="9"/>
    <x v="0"/>
    <n v="71.91"/>
    <n v="169"/>
    <x v="3"/>
    <n v="1"/>
    <n v="5"/>
    <b v="0"/>
    <n v="543"/>
    <n v="111"/>
    <s v="Germany"/>
    <s v="PayPal"/>
    <s v="French"/>
    <n v="28"/>
    <x v="4"/>
    <b v="0"/>
    <s v="Active"/>
    <n v="3277"/>
    <s v="Smart TV"/>
    <s v="55+"/>
    <s v="Evening"/>
  </r>
  <r>
    <n v="6806"/>
    <s v="Crystal"/>
    <x v="81"/>
    <d v="2024-11-23T00:00:00"/>
    <n v="11"/>
    <x v="0"/>
    <n v="87.89"/>
    <n v="358"/>
    <x v="0"/>
    <n v="2"/>
    <n v="3"/>
    <b v="1"/>
    <n v="858"/>
    <n v="65"/>
    <s v="Germany"/>
    <s v="Debit Card"/>
    <s v="Mandarin"/>
    <n v="5"/>
    <x v="3"/>
    <b v="1"/>
    <s v="Active"/>
    <n v="1572"/>
    <s v="Laptop"/>
    <s v="45-54"/>
    <s v="Afternoon"/>
  </r>
  <r>
    <n v="3496"/>
    <s v="Gregory"/>
    <x v="120"/>
    <d v="2024-12-11T00:00:00"/>
    <n v="12"/>
    <x v="1"/>
    <n v="143.88"/>
    <n v="404"/>
    <x v="1"/>
    <n v="4"/>
    <n v="6"/>
    <b v="0"/>
    <n v="906"/>
    <n v="43"/>
    <s v="India"/>
    <s v="PayPal"/>
    <s v="German"/>
    <n v="59"/>
    <x v="11"/>
    <b v="1"/>
    <s v="Active"/>
    <n v="2676"/>
    <s v="Tablet"/>
    <s v="25-34"/>
    <s v="Morning"/>
  </r>
  <r>
    <n v="7840"/>
    <s v="Barbara"/>
    <x v="121"/>
    <d v="2024-12-11T00:00:00"/>
    <n v="10"/>
    <x v="2"/>
    <n v="159.9"/>
    <n v="131"/>
    <x v="5"/>
    <n v="5"/>
    <n v="3"/>
    <b v="1"/>
    <n v="808"/>
    <n v="48"/>
    <s v="UK"/>
    <s v="PayPal"/>
    <s v="Hindi"/>
    <n v="55"/>
    <x v="0"/>
    <b v="1"/>
    <s v="Active"/>
    <n v="3053"/>
    <s v="Smart TV"/>
    <s v="55+"/>
    <s v="Afternoon"/>
  </r>
  <r>
    <n v="2099"/>
    <s v="Michael"/>
    <x v="71"/>
    <d v="2024-11-23T00:00:00"/>
    <n v="4"/>
    <x v="1"/>
    <n v="47.96"/>
    <n v="32"/>
    <x v="1"/>
    <n v="1"/>
    <n v="6"/>
    <b v="1"/>
    <n v="84"/>
    <n v="73"/>
    <s v="Germany"/>
    <s v="Cryptocurrency"/>
    <s v="Hindi"/>
    <n v="59"/>
    <x v="10"/>
    <b v="1"/>
    <s v="Active"/>
    <n v="2620"/>
    <s v="Desktop"/>
    <s v="35-44"/>
    <s v="Morning"/>
  </r>
  <r>
    <n v="6518"/>
    <s v="Kathryn"/>
    <x v="122"/>
    <d v="2024-12-07T00:00:00"/>
    <n v="0"/>
    <x v="0"/>
    <n v="0"/>
    <n v="478"/>
    <x v="0"/>
    <n v="5"/>
    <n v="3"/>
    <b v="1"/>
    <n v="780"/>
    <n v="78"/>
    <s v="UK"/>
    <s v="PayPal"/>
    <s v="Spanish"/>
    <n v="66"/>
    <x v="1"/>
    <b v="0"/>
    <s v="Active"/>
    <n v="4068"/>
    <s v="Smart TV"/>
    <s v="35-44"/>
    <s v="Morning"/>
  </r>
  <r>
    <n v="1976"/>
    <s v="Brett"/>
    <x v="76"/>
    <d v="2024-12-16T00:00:00"/>
    <n v="1"/>
    <x v="1"/>
    <n v="11.99"/>
    <n v="88"/>
    <x v="2"/>
    <n v="3"/>
    <n v="1"/>
    <b v="0"/>
    <n v="247"/>
    <n v="30"/>
    <s v="UK"/>
    <s v="Debit Card"/>
    <s v="Mandarin"/>
    <n v="46"/>
    <x v="9"/>
    <b v="1"/>
    <s v="Active"/>
    <n v="172"/>
    <s v="Tablet"/>
    <s v="25-34"/>
    <s v="Morning"/>
  </r>
  <r>
    <n v="8777"/>
    <s v="Christopher"/>
    <x v="104"/>
    <d v="2024-11-27T00:00:00"/>
    <n v="9"/>
    <x v="1"/>
    <n v="107.91"/>
    <n v="395"/>
    <x v="2"/>
    <n v="4"/>
    <n v="4"/>
    <b v="0"/>
    <n v="190"/>
    <n v="105"/>
    <s v="France"/>
    <s v="Credit Card"/>
    <s v="German"/>
    <n v="67"/>
    <x v="13"/>
    <b v="0"/>
    <s v="Active"/>
    <n v="1040"/>
    <s v="Smartphone"/>
    <s v="45-54"/>
    <s v="Evening"/>
  </r>
  <r>
    <n v="1576"/>
    <s v="Jeremy"/>
    <x v="123"/>
    <d v="2024-11-20T00:00:00"/>
    <n v="20"/>
    <x v="1"/>
    <n v="239.8"/>
    <n v="385"/>
    <x v="1"/>
    <n v="4"/>
    <n v="1"/>
    <b v="1"/>
    <n v="390"/>
    <n v="163"/>
    <s v="Australia"/>
    <s v="Cryptocurrency"/>
    <s v="French"/>
    <n v="43"/>
    <x v="0"/>
    <b v="0"/>
    <s v="Active"/>
    <n v="3574"/>
    <s v="Smart TV"/>
    <s v="25-34"/>
    <s v="Afternoon"/>
  </r>
  <r>
    <n v="7979"/>
    <s v="Martin"/>
    <x v="124"/>
    <d v="2024-11-27T00:00:00"/>
    <n v="18"/>
    <x v="1"/>
    <n v="215.82"/>
    <n v="280"/>
    <x v="2"/>
    <n v="4"/>
    <n v="5"/>
    <b v="1"/>
    <n v="203"/>
    <n v="50"/>
    <s v="France"/>
    <s v="PayPal"/>
    <s v="Spanish"/>
    <n v="12"/>
    <x v="15"/>
    <b v="1"/>
    <s v="Active"/>
    <n v="3659"/>
    <s v="Smartphone"/>
    <s v="25-34"/>
    <s v="Morning"/>
  </r>
  <r>
    <n v="6300"/>
    <s v="Taylor"/>
    <x v="18"/>
    <d v="2024-12-09T00:00:00"/>
    <n v="14"/>
    <x v="2"/>
    <n v="223.86"/>
    <n v="164"/>
    <x v="0"/>
    <n v="3"/>
    <n v="5"/>
    <b v="0"/>
    <n v="161"/>
    <n v="77"/>
    <s v="Australia"/>
    <s v="Cryptocurrency"/>
    <s v="German"/>
    <n v="97"/>
    <x v="4"/>
    <b v="1"/>
    <s v="Active"/>
    <n v="1991"/>
    <s v="Laptop"/>
    <s v="45-54"/>
    <s v="Late Night"/>
  </r>
  <r>
    <n v="1003"/>
    <s v="Vickie"/>
    <x v="125"/>
    <d v="2024-11-22T00:00:00"/>
    <n v="0"/>
    <x v="1"/>
    <n v="0"/>
    <n v="433"/>
    <x v="4"/>
    <n v="5"/>
    <n v="4"/>
    <b v="0"/>
    <n v="350"/>
    <n v="2"/>
    <s v="Germany"/>
    <s v="Cryptocurrency"/>
    <s v="Spanish"/>
    <n v="41"/>
    <x v="2"/>
    <b v="1"/>
    <s v="Active"/>
    <n v="2043"/>
    <s v="Smartphone"/>
    <s v="35-44"/>
    <s v="Late Night"/>
  </r>
  <r>
    <n v="8238"/>
    <s v="Betty"/>
    <x v="126"/>
    <d v="2024-11-28T00:00:00"/>
    <n v="10"/>
    <x v="0"/>
    <n v="79.900000000000006"/>
    <n v="460"/>
    <x v="5"/>
    <n v="3"/>
    <n v="5"/>
    <b v="0"/>
    <n v="26"/>
    <n v="2"/>
    <s v="France"/>
    <s v="PayPal"/>
    <s v="German"/>
    <n v="39"/>
    <x v="14"/>
    <b v="0"/>
    <s v="Active"/>
    <n v="882"/>
    <s v="Smartphone"/>
    <s v="45-54"/>
    <s v="Late Night"/>
  </r>
  <r>
    <n v="8261"/>
    <s v="James"/>
    <x v="127"/>
    <d v="2024-12-04T00:00:00"/>
    <n v="23"/>
    <x v="0"/>
    <n v="183.77"/>
    <n v="374"/>
    <x v="5"/>
    <n v="1"/>
    <n v="3"/>
    <b v="1"/>
    <n v="819"/>
    <n v="18"/>
    <s v="Germany"/>
    <s v="Debit Card"/>
    <s v="Hindi"/>
    <n v="12"/>
    <x v="15"/>
    <b v="1"/>
    <s v="Active"/>
    <n v="4243"/>
    <s v="Laptop"/>
    <s v="25-34"/>
    <s v="Morning"/>
  </r>
  <r>
    <n v="7729"/>
    <s v="Brittany"/>
    <x v="128"/>
    <d v="2024-12-11T00:00:00"/>
    <n v="21"/>
    <x v="1"/>
    <n v="251.79"/>
    <n v="147"/>
    <x v="6"/>
    <n v="5"/>
    <n v="4"/>
    <b v="0"/>
    <n v="27"/>
    <n v="175"/>
    <s v="Germany"/>
    <s v="PayPal"/>
    <s v="Hindi"/>
    <n v="78"/>
    <x v="1"/>
    <b v="1"/>
    <s v="Active"/>
    <n v="2218"/>
    <s v="Desktop"/>
    <s v="45-54"/>
    <s v="Afternoon"/>
  </r>
  <r>
    <n v="8616"/>
    <s v="John"/>
    <x v="129"/>
    <d v="2024-12-04T00:00:00"/>
    <n v="0"/>
    <x v="1"/>
    <n v="0"/>
    <n v="129"/>
    <x v="4"/>
    <n v="4"/>
    <n v="6"/>
    <b v="0"/>
    <n v="543"/>
    <n v="126"/>
    <s v="UK"/>
    <s v="Debit Card"/>
    <s v="Mandarin"/>
    <n v="95"/>
    <x v="15"/>
    <b v="1"/>
    <s v="Active"/>
    <n v="97"/>
    <s v="Smartphone"/>
    <s v="35-44"/>
    <s v="Late Night"/>
  </r>
  <r>
    <n v="9734"/>
    <s v="Destiny"/>
    <x v="59"/>
    <d v="2024-12-14T00:00:00"/>
    <n v="0"/>
    <x v="2"/>
    <n v="0"/>
    <n v="217"/>
    <x v="0"/>
    <n v="2"/>
    <n v="2"/>
    <b v="1"/>
    <n v="872"/>
    <n v="8"/>
    <s v="Canada"/>
    <s v="Cryptocurrency"/>
    <s v="French"/>
    <n v="51"/>
    <x v="10"/>
    <b v="1"/>
    <s v="Active"/>
    <n v="4928"/>
    <s v="Laptop"/>
    <s v="35-44"/>
    <s v="Late Night"/>
  </r>
  <r>
    <n v="2086"/>
    <s v="Amanda"/>
    <x v="130"/>
    <d v="2024-11-19T00:00:00"/>
    <n v="18"/>
    <x v="0"/>
    <n v="143.82"/>
    <n v="426"/>
    <x v="1"/>
    <n v="4"/>
    <n v="1"/>
    <b v="0"/>
    <n v="606"/>
    <n v="135"/>
    <s v="USA"/>
    <s v="PayPal"/>
    <s v="German"/>
    <n v="50"/>
    <x v="20"/>
    <b v="1"/>
    <s v="Active"/>
    <n v="1982"/>
    <s v="Desktop"/>
    <s v="55+"/>
    <s v="Late Night"/>
  </r>
  <r>
    <n v="8721"/>
    <s v="Stephen"/>
    <x v="131"/>
    <d v="2024-12-01T00:00:00"/>
    <n v="21"/>
    <x v="2"/>
    <n v="335.79"/>
    <n v="81"/>
    <x v="1"/>
    <n v="3"/>
    <n v="5"/>
    <b v="0"/>
    <n v="394"/>
    <n v="168"/>
    <s v="Canada"/>
    <s v="Cryptocurrency"/>
    <s v="Mandarin"/>
    <n v="21"/>
    <x v="9"/>
    <b v="1"/>
    <s v="Active"/>
    <n v="510"/>
    <s v="Smart TV"/>
    <s v="18-24"/>
    <s v="Late Night"/>
  </r>
  <r>
    <n v="1075"/>
    <s v="Dawn"/>
    <x v="132"/>
    <d v="2024-11-28T00:00:00"/>
    <n v="18"/>
    <x v="0"/>
    <n v="143.82"/>
    <n v="296"/>
    <x v="6"/>
    <n v="3"/>
    <n v="2"/>
    <b v="1"/>
    <n v="411"/>
    <n v="96"/>
    <s v="USA"/>
    <s v="Cryptocurrency"/>
    <s v="English"/>
    <n v="1"/>
    <x v="2"/>
    <b v="0"/>
    <s v="Active"/>
    <n v="2508"/>
    <s v="Tablet"/>
    <s v="18-24"/>
    <s v="Evening"/>
  </r>
  <r>
    <n v="2690"/>
    <s v="Jonathan"/>
    <x v="133"/>
    <d v="2024-11-29T00:00:00"/>
    <n v="14"/>
    <x v="2"/>
    <n v="223.86"/>
    <n v="466"/>
    <x v="2"/>
    <n v="3"/>
    <n v="2"/>
    <b v="0"/>
    <n v="977"/>
    <n v="94"/>
    <s v="France"/>
    <s v="Cryptocurrency"/>
    <s v="Mandarin"/>
    <n v="67"/>
    <x v="10"/>
    <b v="1"/>
    <s v="Active"/>
    <n v="4004"/>
    <s v="Smartphone"/>
    <s v="35-44"/>
    <s v="Afternoon"/>
  </r>
  <r>
    <n v="7654"/>
    <s v="Amy"/>
    <x v="56"/>
    <d v="2024-11-27T00:00:00"/>
    <n v="11"/>
    <x v="1"/>
    <n v="131.89000000000001"/>
    <n v="424"/>
    <x v="4"/>
    <n v="5"/>
    <n v="2"/>
    <b v="0"/>
    <n v="406"/>
    <n v="150"/>
    <s v="Canada"/>
    <s v="Debit Card"/>
    <s v="Spanish"/>
    <n v="50"/>
    <x v="17"/>
    <b v="0"/>
    <s v="Active"/>
    <n v="494"/>
    <s v="Smart TV"/>
    <s v="25-34"/>
    <s v="Late Night"/>
  </r>
  <r>
    <n v="7577"/>
    <s v="Paul"/>
    <x v="134"/>
    <d v="2024-12-03T00:00:00"/>
    <n v="1"/>
    <x v="2"/>
    <n v="15.99"/>
    <n v="233"/>
    <x v="2"/>
    <n v="2"/>
    <n v="5"/>
    <b v="1"/>
    <n v="781"/>
    <n v="23"/>
    <s v="France"/>
    <s v="Credit Card"/>
    <s v="Hindi"/>
    <n v="89"/>
    <x v="0"/>
    <b v="0"/>
    <s v="Active"/>
    <n v="460"/>
    <s v="Tablet"/>
    <s v="45-54"/>
    <s v="Morning"/>
  </r>
  <r>
    <n v="9814"/>
    <s v="Kenneth"/>
    <x v="135"/>
    <d v="2024-11-27T00:00:00"/>
    <n v="3"/>
    <x v="1"/>
    <n v="35.97"/>
    <n v="413"/>
    <x v="5"/>
    <n v="1"/>
    <n v="6"/>
    <b v="1"/>
    <n v="330"/>
    <n v="63"/>
    <s v="USA"/>
    <s v="PayPal"/>
    <s v="French"/>
    <n v="50"/>
    <x v="13"/>
    <b v="1"/>
    <s v="Active"/>
    <n v="1416"/>
    <s v="Smart TV"/>
    <s v="45-54"/>
    <s v="Late Night"/>
  </r>
  <r>
    <n v="5423"/>
    <s v="Jamie"/>
    <x v="136"/>
    <d v="2024-11-19T00:00:00"/>
    <n v="1"/>
    <x v="0"/>
    <n v="7.99"/>
    <n v="278"/>
    <x v="0"/>
    <n v="1"/>
    <n v="5"/>
    <b v="1"/>
    <n v="163"/>
    <n v="88"/>
    <s v="Australia"/>
    <s v="PayPal"/>
    <s v="Mandarin"/>
    <n v="62"/>
    <x v="7"/>
    <b v="0"/>
    <s v="Active"/>
    <n v="4798"/>
    <s v="Smartphone"/>
    <s v="45-54"/>
    <s v="Afternoon"/>
  </r>
  <r>
    <n v="2660"/>
    <s v="Bruce"/>
    <x v="137"/>
    <d v="2024-12-04T00:00:00"/>
    <n v="23"/>
    <x v="1"/>
    <n v="275.77"/>
    <n v="351"/>
    <x v="4"/>
    <n v="1"/>
    <n v="1"/>
    <b v="1"/>
    <n v="80"/>
    <n v="70"/>
    <s v="USA"/>
    <s v="Credit Card"/>
    <s v="German"/>
    <n v="54"/>
    <x v="6"/>
    <b v="1"/>
    <s v="Active"/>
    <n v="732"/>
    <s v="Tablet"/>
    <s v="35-44"/>
    <s v="Evening"/>
  </r>
  <r>
    <n v="4206"/>
    <s v="Kevin"/>
    <x v="138"/>
    <d v="2024-12-06T00:00:00"/>
    <n v="8"/>
    <x v="1"/>
    <n v="95.92"/>
    <n v="354"/>
    <x v="6"/>
    <n v="1"/>
    <n v="3"/>
    <b v="0"/>
    <n v="885"/>
    <n v="65"/>
    <s v="UK"/>
    <s v="Credit Card"/>
    <s v="English"/>
    <n v="70"/>
    <x v="9"/>
    <b v="0"/>
    <s v="Active"/>
    <n v="4008"/>
    <s v="Smart TV"/>
    <s v="18-24"/>
    <s v="Afternoon"/>
  </r>
  <r>
    <n v="5269"/>
    <s v="Jamie"/>
    <x v="139"/>
    <d v="2024-12-04T00:00:00"/>
    <n v="20"/>
    <x v="1"/>
    <n v="239.8"/>
    <n v="192"/>
    <x v="5"/>
    <n v="5"/>
    <n v="4"/>
    <b v="0"/>
    <n v="123"/>
    <n v="34"/>
    <s v="India"/>
    <s v="Cryptocurrency"/>
    <s v="English"/>
    <n v="73"/>
    <x v="20"/>
    <b v="1"/>
    <s v="Active"/>
    <n v="4868"/>
    <s v="Tablet"/>
    <s v="45-54"/>
    <s v="Morning"/>
  </r>
  <r>
    <n v="7922"/>
    <s v="Andrew"/>
    <x v="65"/>
    <d v="2024-12-18T00:00:00"/>
    <n v="21"/>
    <x v="0"/>
    <n v="167.79"/>
    <n v="176"/>
    <x v="3"/>
    <n v="4"/>
    <n v="6"/>
    <b v="1"/>
    <n v="830"/>
    <n v="74"/>
    <s v="UK"/>
    <s v="PayPal"/>
    <s v="German"/>
    <n v="66"/>
    <x v="17"/>
    <b v="1"/>
    <s v="Active"/>
    <n v="2600"/>
    <s v="Tablet"/>
    <s v="35-44"/>
    <s v="Evening"/>
  </r>
  <r>
    <n v="7829"/>
    <s v="Brandon"/>
    <x v="140"/>
    <d v="2024-12-18T00:00:00"/>
    <n v="14"/>
    <x v="0"/>
    <n v="111.86"/>
    <n v="482"/>
    <x v="5"/>
    <n v="1"/>
    <n v="4"/>
    <b v="1"/>
    <n v="770"/>
    <n v="129"/>
    <s v="Canada"/>
    <s v="PayPal"/>
    <s v="Mandarin"/>
    <n v="0"/>
    <x v="4"/>
    <b v="1"/>
    <s v="Active"/>
    <n v="3247"/>
    <s v="Laptop"/>
    <s v="25-34"/>
    <s v="Morning"/>
  </r>
  <r>
    <n v="1715"/>
    <s v="Ryan"/>
    <x v="141"/>
    <d v="2024-12-04T00:00:00"/>
    <n v="5"/>
    <x v="0"/>
    <n v="39.950000000000003"/>
    <n v="87"/>
    <x v="1"/>
    <n v="3"/>
    <n v="5"/>
    <b v="1"/>
    <n v="753"/>
    <n v="181"/>
    <s v="UK"/>
    <s v="Debit Card"/>
    <s v="Hindi"/>
    <n v="51"/>
    <x v="2"/>
    <b v="1"/>
    <s v="Active"/>
    <n v="941"/>
    <s v="Smartphone"/>
    <s v="18-24"/>
    <s v="Afternoon"/>
  </r>
  <r>
    <n v="2639"/>
    <s v="Steven"/>
    <x v="48"/>
    <d v="2024-12-07T00:00:00"/>
    <n v="5"/>
    <x v="1"/>
    <n v="59.95"/>
    <n v="163"/>
    <x v="1"/>
    <n v="5"/>
    <n v="1"/>
    <b v="1"/>
    <n v="38"/>
    <n v="53"/>
    <s v="Australia"/>
    <s v="Debit Card"/>
    <s v="English"/>
    <n v="37"/>
    <x v="3"/>
    <b v="0"/>
    <s v="Active"/>
    <n v="1934"/>
    <s v="Smartphone"/>
    <s v="35-44"/>
    <s v="Evening"/>
  </r>
  <r>
    <n v="1801"/>
    <s v="Christine"/>
    <x v="142"/>
    <d v="2024-12-13T00:00:00"/>
    <n v="10"/>
    <x v="1"/>
    <n v="119.9"/>
    <n v="419"/>
    <x v="4"/>
    <n v="4"/>
    <n v="5"/>
    <b v="0"/>
    <n v="386"/>
    <n v="122"/>
    <s v="Germany"/>
    <s v="Credit Card"/>
    <s v="German"/>
    <n v="9"/>
    <x v="3"/>
    <b v="0"/>
    <s v="Active"/>
    <n v="4650"/>
    <s v="Desktop"/>
    <s v="45-54"/>
    <s v="Late Night"/>
  </r>
  <r>
    <n v="9163"/>
    <s v="Martin"/>
    <x v="42"/>
    <d v="2024-11-27T00:00:00"/>
    <n v="19"/>
    <x v="1"/>
    <n v="227.81"/>
    <n v="203"/>
    <x v="2"/>
    <n v="4"/>
    <n v="4"/>
    <b v="1"/>
    <n v="874"/>
    <n v="67"/>
    <s v="India"/>
    <s v="Debit Card"/>
    <s v="French"/>
    <n v="94"/>
    <x v="12"/>
    <b v="1"/>
    <s v="Active"/>
    <n v="4450"/>
    <s v="Smartphone"/>
    <s v="35-44"/>
    <s v="Afternoon"/>
  </r>
  <r>
    <n v="1284"/>
    <s v="Michael"/>
    <x v="143"/>
    <d v="2024-12-01T00:00:00"/>
    <n v="0"/>
    <x v="0"/>
    <n v="0"/>
    <n v="405"/>
    <x v="5"/>
    <n v="4"/>
    <n v="3"/>
    <b v="1"/>
    <n v="695"/>
    <n v="85"/>
    <s v="Australia"/>
    <s v="Credit Card"/>
    <s v="French"/>
    <n v="42"/>
    <x v="4"/>
    <b v="0"/>
    <s v="Active"/>
    <n v="2395"/>
    <s v="Laptop"/>
    <s v="25-34"/>
    <s v="Morning"/>
  </r>
  <r>
    <n v="8774"/>
    <s v="Hunter"/>
    <x v="144"/>
    <d v="2024-12-08T00:00:00"/>
    <n v="13"/>
    <x v="2"/>
    <n v="207.87"/>
    <n v="496"/>
    <x v="5"/>
    <n v="5"/>
    <n v="6"/>
    <b v="0"/>
    <n v="803"/>
    <n v="130"/>
    <s v="USA"/>
    <s v="Cryptocurrency"/>
    <s v="French"/>
    <n v="4"/>
    <x v="14"/>
    <b v="0"/>
    <s v="Active"/>
    <n v="4504"/>
    <s v="Smart TV"/>
    <s v="45-54"/>
    <s v="Morning"/>
  </r>
  <r>
    <n v="3866"/>
    <s v="Catherine"/>
    <x v="145"/>
    <d v="2024-11-28T00:00:00"/>
    <n v="9"/>
    <x v="2"/>
    <n v="143.91"/>
    <n v="328"/>
    <x v="2"/>
    <n v="2"/>
    <n v="2"/>
    <b v="0"/>
    <n v="268"/>
    <n v="50"/>
    <s v="Germany"/>
    <s v="Debit Card"/>
    <s v="Mandarin"/>
    <n v="3"/>
    <x v="16"/>
    <b v="1"/>
    <s v="Active"/>
    <n v="3015"/>
    <s v="Laptop"/>
    <s v="18-24"/>
    <s v="Evening"/>
  </r>
  <r>
    <n v="4477"/>
    <s v="Christopher"/>
    <x v="146"/>
    <d v="2024-11-23T00:00:00"/>
    <n v="6"/>
    <x v="0"/>
    <n v="47.94"/>
    <n v="85"/>
    <x v="1"/>
    <n v="5"/>
    <n v="1"/>
    <b v="0"/>
    <n v="429"/>
    <n v="52"/>
    <s v="UK"/>
    <s v="PayPal"/>
    <s v="German"/>
    <n v="16"/>
    <x v="20"/>
    <b v="0"/>
    <s v="Active"/>
    <n v="4971"/>
    <s v="Smartphone"/>
    <s v="45-54"/>
    <s v="Evening"/>
  </r>
  <r>
    <n v="4829"/>
    <s v="Jeff"/>
    <x v="147"/>
    <d v="2024-12-17T00:00:00"/>
    <n v="2"/>
    <x v="1"/>
    <n v="23.98"/>
    <n v="386"/>
    <x v="2"/>
    <n v="3"/>
    <n v="4"/>
    <b v="0"/>
    <n v="62"/>
    <n v="50"/>
    <s v="Germany"/>
    <s v="Credit Card"/>
    <s v="Hindi"/>
    <n v="44"/>
    <x v="9"/>
    <b v="0"/>
    <s v="Active"/>
    <n v="2377"/>
    <s v="Smartphone"/>
    <s v="35-44"/>
    <s v="Morning"/>
  </r>
  <r>
    <n v="1257"/>
    <s v="Daniel"/>
    <x v="116"/>
    <d v="2024-12-08T00:00:00"/>
    <n v="22"/>
    <x v="0"/>
    <n v="175.78"/>
    <n v="245"/>
    <x v="0"/>
    <n v="3"/>
    <n v="4"/>
    <b v="0"/>
    <n v="831"/>
    <n v="15"/>
    <s v="Canada"/>
    <s v="PayPal"/>
    <s v="German"/>
    <n v="64"/>
    <x v="11"/>
    <b v="0"/>
    <s v="Active"/>
    <n v="212"/>
    <s v="Tablet"/>
    <s v="45-54"/>
    <s v="Afternoon"/>
  </r>
  <r>
    <n v="1897"/>
    <s v="Cathy"/>
    <x v="123"/>
    <d v="2024-12-16T00:00:00"/>
    <n v="20"/>
    <x v="1"/>
    <n v="239.8"/>
    <n v="97"/>
    <x v="4"/>
    <n v="5"/>
    <n v="5"/>
    <b v="1"/>
    <n v="737"/>
    <n v="85"/>
    <s v="India"/>
    <s v="PayPal"/>
    <s v="French"/>
    <n v="80"/>
    <x v="10"/>
    <b v="1"/>
    <s v="Active"/>
    <n v="188"/>
    <s v="Smartphone"/>
    <s v="55+"/>
    <s v="Afternoon"/>
  </r>
  <r>
    <n v="3603"/>
    <s v="Sylvia"/>
    <x v="42"/>
    <d v="2024-11-20T00:00:00"/>
    <n v="19"/>
    <x v="0"/>
    <n v="151.81"/>
    <n v="216"/>
    <x v="3"/>
    <n v="4"/>
    <n v="3"/>
    <b v="1"/>
    <n v="923"/>
    <n v="143"/>
    <s v="USA"/>
    <s v="Credit Card"/>
    <s v="Mandarin"/>
    <n v="20"/>
    <x v="15"/>
    <b v="0"/>
    <s v="Active"/>
    <n v="4435"/>
    <s v="Desktop"/>
    <s v="55+"/>
    <s v="Late Night"/>
  </r>
  <r>
    <n v="9256"/>
    <s v="Daniel"/>
    <x v="148"/>
    <d v="2024-11-22T00:00:00"/>
    <n v="21"/>
    <x v="0"/>
    <n v="167.79"/>
    <n v="331"/>
    <x v="6"/>
    <n v="5"/>
    <n v="1"/>
    <b v="0"/>
    <n v="85"/>
    <n v="117"/>
    <s v="France"/>
    <s v="Credit Card"/>
    <s v="French"/>
    <n v="21"/>
    <x v="14"/>
    <b v="1"/>
    <s v="Active"/>
    <n v="1454"/>
    <s v="Smart TV"/>
    <s v="25-34"/>
    <s v="Afternoon"/>
  </r>
  <r>
    <n v="9469"/>
    <s v="William"/>
    <x v="149"/>
    <d v="2024-11-25T00:00:00"/>
    <n v="17"/>
    <x v="1"/>
    <n v="203.83"/>
    <n v="451"/>
    <x v="2"/>
    <n v="2"/>
    <n v="3"/>
    <b v="0"/>
    <n v="59"/>
    <n v="38"/>
    <s v="Germany"/>
    <s v="Credit Card"/>
    <s v="German"/>
    <n v="94"/>
    <x v="8"/>
    <b v="1"/>
    <s v="Active"/>
    <n v="2841"/>
    <s v="Laptop"/>
    <s v="45-54"/>
    <s v="Evening"/>
  </r>
  <r>
    <n v="7136"/>
    <s v="Jessica"/>
    <x v="150"/>
    <d v="2024-12-14T00:00:00"/>
    <n v="6"/>
    <x v="0"/>
    <n v="47.94"/>
    <n v="326"/>
    <x v="0"/>
    <n v="5"/>
    <n v="1"/>
    <b v="0"/>
    <n v="590"/>
    <n v="105"/>
    <s v="France"/>
    <s v="PayPal"/>
    <s v="Hindi"/>
    <n v="56"/>
    <x v="0"/>
    <b v="0"/>
    <s v="Active"/>
    <n v="1626"/>
    <s v="Smartphone"/>
    <s v="25-34"/>
    <s v="Afternoon"/>
  </r>
  <r>
    <n v="2321"/>
    <s v="Joseph"/>
    <x v="151"/>
    <d v="2024-12-14T00:00:00"/>
    <n v="9"/>
    <x v="2"/>
    <n v="143.91"/>
    <n v="358"/>
    <x v="1"/>
    <n v="3"/>
    <n v="1"/>
    <b v="0"/>
    <n v="348"/>
    <n v="49"/>
    <s v="France"/>
    <s v="Debit Card"/>
    <s v="Hindi"/>
    <n v="14"/>
    <x v="18"/>
    <b v="0"/>
    <s v="Active"/>
    <n v="111"/>
    <s v="Desktop"/>
    <s v="35-44"/>
    <s v="Morning"/>
  </r>
  <r>
    <n v="4243"/>
    <s v="Christopher"/>
    <x v="152"/>
    <d v="2024-11-29T00:00:00"/>
    <n v="20"/>
    <x v="2"/>
    <n v="319.8"/>
    <n v="91"/>
    <x v="0"/>
    <n v="2"/>
    <n v="1"/>
    <b v="1"/>
    <n v="561"/>
    <n v="153"/>
    <s v="Canada"/>
    <s v="Cryptocurrency"/>
    <s v="English"/>
    <n v="7"/>
    <x v="13"/>
    <b v="0"/>
    <s v="Active"/>
    <n v="450"/>
    <s v="Tablet"/>
    <s v="55+"/>
    <s v="Morning"/>
  </r>
  <r>
    <n v="8015"/>
    <s v="Laurie"/>
    <x v="89"/>
    <d v="2024-12-18T00:00:00"/>
    <n v="13"/>
    <x v="0"/>
    <n v="103.87"/>
    <n v="478"/>
    <x v="0"/>
    <n v="2"/>
    <n v="2"/>
    <b v="1"/>
    <n v="214"/>
    <n v="191"/>
    <s v="UK"/>
    <s v="Debit Card"/>
    <s v="Spanish"/>
    <n v="44"/>
    <x v="10"/>
    <b v="0"/>
    <s v="Active"/>
    <n v="3325"/>
    <s v="Desktop"/>
    <s v="35-44"/>
    <s v="Afternoon"/>
  </r>
  <r>
    <n v="3440"/>
    <s v="William"/>
    <x v="153"/>
    <d v="2024-11-22T00:00:00"/>
    <n v="20"/>
    <x v="0"/>
    <n v="159.80000000000001"/>
    <n v="16"/>
    <x v="3"/>
    <n v="3"/>
    <n v="4"/>
    <b v="0"/>
    <n v="964"/>
    <n v="111"/>
    <s v="France"/>
    <s v="PayPal"/>
    <s v="Mandarin"/>
    <n v="52"/>
    <x v="2"/>
    <b v="1"/>
    <s v="Active"/>
    <n v="3059"/>
    <s v="Tablet"/>
    <s v="18-24"/>
    <s v="Morning"/>
  </r>
  <r>
    <n v="9914"/>
    <s v="Courtney"/>
    <x v="154"/>
    <d v="2024-12-08T00:00:00"/>
    <n v="13"/>
    <x v="1"/>
    <n v="155.87"/>
    <n v="44"/>
    <x v="5"/>
    <n v="2"/>
    <n v="1"/>
    <b v="1"/>
    <n v="897"/>
    <n v="62"/>
    <s v="Germany"/>
    <s v="PayPal"/>
    <s v="English"/>
    <n v="18"/>
    <x v="16"/>
    <b v="0"/>
    <s v="Active"/>
    <n v="1065"/>
    <s v="Smartphone"/>
    <s v="35-44"/>
    <s v="Afternoon"/>
  </r>
  <r>
    <n v="5045"/>
    <s v="Ashley"/>
    <x v="6"/>
    <d v="2024-11-21T00:00:00"/>
    <n v="2"/>
    <x v="1"/>
    <n v="23.98"/>
    <n v="100"/>
    <x v="5"/>
    <n v="4"/>
    <n v="1"/>
    <b v="1"/>
    <n v="983"/>
    <n v="191"/>
    <s v="France"/>
    <s v="PayPal"/>
    <s v="Mandarin"/>
    <n v="53"/>
    <x v="6"/>
    <b v="0"/>
    <s v="Active"/>
    <n v="2575"/>
    <s v="Tablet"/>
    <s v="18-24"/>
    <s v="Afternoon"/>
  </r>
  <r>
    <n v="1379"/>
    <s v="Erin"/>
    <x v="155"/>
    <d v="2024-12-05T00:00:00"/>
    <n v="19"/>
    <x v="1"/>
    <n v="227.81"/>
    <n v="44"/>
    <x v="1"/>
    <n v="5"/>
    <n v="4"/>
    <b v="1"/>
    <n v="432"/>
    <n v="73"/>
    <s v="UK"/>
    <s v="PayPal"/>
    <s v="English"/>
    <n v="88"/>
    <x v="3"/>
    <b v="0"/>
    <s v="Active"/>
    <n v="1690"/>
    <s v="Laptop"/>
    <s v="35-44"/>
    <s v="Evening"/>
  </r>
  <r>
    <n v="6099"/>
    <s v="Danielle"/>
    <x v="156"/>
    <d v="2024-11-27T00:00:00"/>
    <n v="9"/>
    <x v="1"/>
    <n v="107.91"/>
    <n v="37"/>
    <x v="5"/>
    <n v="3"/>
    <n v="1"/>
    <b v="1"/>
    <n v="881"/>
    <n v="189"/>
    <s v="Canada"/>
    <s v="Debit Card"/>
    <s v="French"/>
    <n v="32"/>
    <x v="12"/>
    <b v="0"/>
    <s v="Active"/>
    <n v="1382"/>
    <s v="Smartphone"/>
    <s v="35-44"/>
    <s v="Morning"/>
  </r>
  <r>
    <n v="4696"/>
    <s v="Alexander"/>
    <x v="157"/>
    <d v="2024-12-04T00:00:00"/>
    <n v="17"/>
    <x v="2"/>
    <n v="271.83"/>
    <n v="48"/>
    <x v="0"/>
    <n v="5"/>
    <n v="2"/>
    <b v="0"/>
    <n v="331"/>
    <n v="93"/>
    <s v="USA"/>
    <s v="Cryptocurrency"/>
    <s v="French"/>
    <n v="66"/>
    <x v="4"/>
    <b v="0"/>
    <s v="Active"/>
    <n v="1050"/>
    <s v="Laptop"/>
    <s v="25-34"/>
    <s v="Late Night"/>
  </r>
  <r>
    <n v="4808"/>
    <s v="Amanda"/>
    <x v="158"/>
    <d v="2024-11-27T00:00:00"/>
    <n v="8"/>
    <x v="0"/>
    <n v="63.92"/>
    <n v="371"/>
    <x v="6"/>
    <n v="1"/>
    <n v="1"/>
    <b v="1"/>
    <n v="819"/>
    <n v="71"/>
    <s v="Canada"/>
    <s v="PayPal"/>
    <s v="Spanish"/>
    <n v="36"/>
    <x v="13"/>
    <b v="1"/>
    <s v="Active"/>
    <n v="2328"/>
    <s v="Desktop"/>
    <s v="45-54"/>
    <s v="Late Night"/>
  </r>
  <r>
    <n v="3633"/>
    <s v="Randy"/>
    <x v="159"/>
    <d v="2024-12-10T00:00:00"/>
    <n v="0"/>
    <x v="0"/>
    <n v="0"/>
    <n v="176"/>
    <x v="0"/>
    <n v="5"/>
    <n v="1"/>
    <b v="1"/>
    <n v="936"/>
    <n v="11"/>
    <s v="France"/>
    <s v="Cryptocurrency"/>
    <s v="English"/>
    <n v="42"/>
    <x v="7"/>
    <b v="0"/>
    <s v="Active"/>
    <n v="4414"/>
    <s v="Smartphone"/>
    <s v="35-44"/>
    <s v="Late Night"/>
  </r>
  <r>
    <n v="4979"/>
    <s v="Tony"/>
    <x v="160"/>
    <d v="2024-11-24T00:00:00"/>
    <n v="0"/>
    <x v="2"/>
    <n v="0"/>
    <n v="312"/>
    <x v="1"/>
    <n v="4"/>
    <n v="4"/>
    <b v="0"/>
    <n v="321"/>
    <n v="19"/>
    <s v="Australia"/>
    <s v="PayPal"/>
    <s v="Spanish"/>
    <n v="18"/>
    <x v="5"/>
    <b v="1"/>
    <s v="Active"/>
    <n v="3980"/>
    <s v="Laptop"/>
    <s v="25-34"/>
    <s v="Evening"/>
  </r>
  <r>
    <n v="2214"/>
    <s v="Michelle"/>
    <x v="161"/>
    <d v="2024-11-24T00:00:00"/>
    <n v="1"/>
    <x v="0"/>
    <n v="7.99"/>
    <n v="375"/>
    <x v="6"/>
    <n v="1"/>
    <n v="1"/>
    <b v="1"/>
    <n v="244"/>
    <n v="106"/>
    <s v="India"/>
    <s v="PayPal"/>
    <s v="French"/>
    <n v="16"/>
    <x v="12"/>
    <b v="1"/>
    <s v="Active"/>
    <n v="3596"/>
    <s v="Smartphone"/>
    <s v="25-34"/>
    <s v="Late Night"/>
  </r>
  <r>
    <n v="6606"/>
    <s v="Danielle"/>
    <x v="162"/>
    <d v="2024-11-29T00:00:00"/>
    <n v="10"/>
    <x v="2"/>
    <n v="159.9"/>
    <n v="134"/>
    <x v="2"/>
    <n v="3"/>
    <n v="5"/>
    <b v="1"/>
    <n v="826"/>
    <n v="160"/>
    <s v="France"/>
    <s v="Cryptocurrency"/>
    <s v="English"/>
    <n v="96"/>
    <x v="10"/>
    <b v="1"/>
    <s v="Active"/>
    <n v="1150"/>
    <s v="Smartphone"/>
    <s v="25-34"/>
    <s v="Late Night"/>
  </r>
  <r>
    <n v="4246"/>
    <s v="Jacob"/>
    <x v="163"/>
    <d v="2024-12-15T00:00:00"/>
    <n v="14"/>
    <x v="0"/>
    <n v="111.86"/>
    <n v="91"/>
    <x v="1"/>
    <n v="5"/>
    <n v="1"/>
    <b v="0"/>
    <n v="159"/>
    <n v="14"/>
    <s v="UK"/>
    <s v="PayPal"/>
    <s v="Spanish"/>
    <n v="85"/>
    <x v="16"/>
    <b v="0"/>
    <s v="Active"/>
    <n v="1858"/>
    <s v="Smart TV"/>
    <s v="35-44"/>
    <s v="Late Night"/>
  </r>
  <r>
    <n v="2836"/>
    <s v="Samantha"/>
    <x v="164"/>
    <d v="2024-12-17T00:00:00"/>
    <n v="10"/>
    <x v="0"/>
    <n v="79.900000000000006"/>
    <n v="359"/>
    <x v="4"/>
    <n v="2"/>
    <n v="6"/>
    <b v="0"/>
    <n v="305"/>
    <n v="81"/>
    <s v="Australia"/>
    <s v="Cryptocurrency"/>
    <s v="German"/>
    <n v="28"/>
    <x v="0"/>
    <b v="0"/>
    <s v="Active"/>
    <n v="1926"/>
    <s v="Desktop"/>
    <s v="55+"/>
    <s v="Morning"/>
  </r>
  <r>
    <n v="6963"/>
    <s v="Chris"/>
    <x v="165"/>
    <d v="2024-11-29T00:00:00"/>
    <n v="16"/>
    <x v="2"/>
    <n v="255.84"/>
    <n v="172"/>
    <x v="5"/>
    <n v="2"/>
    <n v="6"/>
    <b v="0"/>
    <n v="841"/>
    <n v="83"/>
    <s v="UK"/>
    <s v="PayPal"/>
    <s v="French"/>
    <n v="44"/>
    <x v="19"/>
    <b v="1"/>
    <s v="Active"/>
    <n v="2933"/>
    <s v="Tablet"/>
    <s v="25-34"/>
    <s v="Evening"/>
  </r>
  <r>
    <n v="2243"/>
    <s v="Sherri"/>
    <x v="166"/>
    <d v="2024-12-02T00:00:00"/>
    <n v="4"/>
    <x v="1"/>
    <n v="47.96"/>
    <n v="490"/>
    <x v="5"/>
    <n v="3"/>
    <n v="3"/>
    <b v="1"/>
    <n v="123"/>
    <n v="183"/>
    <s v="France"/>
    <s v="Cryptocurrency"/>
    <s v="German"/>
    <n v="45"/>
    <x v="16"/>
    <b v="0"/>
    <s v="Active"/>
    <n v="2397"/>
    <s v="Desktop"/>
    <s v="18-24"/>
    <s v="Evening"/>
  </r>
  <r>
    <n v="5081"/>
    <s v="Angela"/>
    <x v="167"/>
    <d v="2024-11-20T00:00:00"/>
    <n v="0"/>
    <x v="1"/>
    <n v="0"/>
    <n v="16"/>
    <x v="6"/>
    <n v="1"/>
    <n v="5"/>
    <b v="1"/>
    <n v="803"/>
    <n v="196"/>
    <s v="Australia"/>
    <s v="Cryptocurrency"/>
    <s v="Hindi"/>
    <n v="90"/>
    <x v="5"/>
    <b v="1"/>
    <s v="Active"/>
    <n v="1946"/>
    <s v="Smart TV"/>
    <s v="45-54"/>
    <s v="Late Night"/>
  </r>
  <r>
    <n v="4171"/>
    <s v="John"/>
    <x v="168"/>
    <d v="2024-12-14T00:00:00"/>
    <n v="5"/>
    <x v="1"/>
    <n v="59.95"/>
    <n v="291"/>
    <x v="2"/>
    <n v="2"/>
    <n v="1"/>
    <b v="1"/>
    <n v="380"/>
    <n v="106"/>
    <s v="Canada"/>
    <s v="PayPal"/>
    <s v="Spanish"/>
    <n v="22"/>
    <x v="13"/>
    <b v="0"/>
    <s v="Active"/>
    <n v="2576"/>
    <s v="Smart TV"/>
    <s v="45-54"/>
    <s v="Evening"/>
  </r>
  <r>
    <n v="7399"/>
    <s v="Katherine"/>
    <x v="169"/>
    <d v="2024-12-09T00:00:00"/>
    <n v="3"/>
    <x v="1"/>
    <n v="35.97"/>
    <n v="119"/>
    <x v="6"/>
    <n v="2"/>
    <n v="5"/>
    <b v="1"/>
    <n v="344"/>
    <n v="93"/>
    <s v="Germany"/>
    <s v="Debit Card"/>
    <s v="Hindi"/>
    <n v="0"/>
    <x v="18"/>
    <b v="0"/>
    <s v="Active"/>
    <n v="2259"/>
    <s v="Tablet"/>
    <s v="45-54"/>
    <s v="Late Night"/>
  </r>
  <r>
    <n v="1110"/>
    <s v="April"/>
    <x v="170"/>
    <d v="2024-12-04T00:00:00"/>
    <n v="6"/>
    <x v="1"/>
    <n v="71.94"/>
    <n v="35"/>
    <x v="0"/>
    <n v="2"/>
    <n v="3"/>
    <b v="1"/>
    <n v="908"/>
    <n v="128"/>
    <s v="USA"/>
    <s v="PayPal"/>
    <s v="Spanish"/>
    <n v="86"/>
    <x v="7"/>
    <b v="1"/>
    <s v="Active"/>
    <n v="1068"/>
    <s v="Tablet"/>
    <s v="35-44"/>
    <s v="Evening"/>
  </r>
  <r>
    <n v="5630"/>
    <s v="Francis"/>
    <x v="171"/>
    <d v="2024-11-24T00:00:00"/>
    <n v="11"/>
    <x v="0"/>
    <n v="87.89"/>
    <n v="88"/>
    <x v="1"/>
    <n v="4"/>
    <n v="6"/>
    <b v="1"/>
    <n v="782"/>
    <n v="180"/>
    <s v="USA"/>
    <s v="Debit Card"/>
    <s v="French"/>
    <n v="86"/>
    <x v="19"/>
    <b v="1"/>
    <s v="Active"/>
    <n v="2928"/>
    <s v="Smart TV"/>
    <s v="45-54"/>
    <s v="Late Night"/>
  </r>
  <r>
    <n v="9430"/>
    <s v="Katie"/>
    <x v="144"/>
    <d v="2024-11-21T00:00:00"/>
    <n v="12"/>
    <x v="0"/>
    <n v="95.88"/>
    <n v="312"/>
    <x v="2"/>
    <n v="4"/>
    <n v="1"/>
    <b v="0"/>
    <n v="769"/>
    <n v="140"/>
    <s v="UK"/>
    <s v="Debit Card"/>
    <s v="Mandarin"/>
    <n v="94"/>
    <x v="14"/>
    <b v="1"/>
    <s v="Active"/>
    <n v="3674"/>
    <s v="Smart TV"/>
    <s v="45-54"/>
    <s v="Evening"/>
  </r>
  <r>
    <n v="7436"/>
    <s v="Natasha"/>
    <x v="172"/>
    <d v="2024-12-17T00:00:00"/>
    <n v="9"/>
    <x v="2"/>
    <n v="143.91"/>
    <n v="238"/>
    <x v="2"/>
    <n v="4"/>
    <n v="1"/>
    <b v="1"/>
    <n v="233"/>
    <n v="102"/>
    <s v="Canada"/>
    <s v="Debit Card"/>
    <s v="Hindi"/>
    <n v="78"/>
    <x v="2"/>
    <b v="0"/>
    <s v="Active"/>
    <n v="130"/>
    <s v="Smart TV"/>
    <s v="55+"/>
    <s v="Late Night"/>
  </r>
  <r>
    <n v="2147"/>
    <s v="Julie"/>
    <x v="126"/>
    <d v="2024-12-11T00:00:00"/>
    <n v="10"/>
    <x v="1"/>
    <n v="119.9"/>
    <n v="132"/>
    <x v="0"/>
    <n v="4"/>
    <n v="6"/>
    <b v="1"/>
    <n v="170"/>
    <n v="164"/>
    <s v="France"/>
    <s v="Debit Card"/>
    <s v="English"/>
    <n v="71"/>
    <x v="0"/>
    <b v="1"/>
    <s v="Active"/>
    <n v="4873"/>
    <s v="Laptop"/>
    <s v="45-54"/>
    <s v="Morning"/>
  </r>
  <r>
    <n v="3264"/>
    <s v="Brittany"/>
    <x v="173"/>
    <d v="2024-12-09T00:00:00"/>
    <n v="18"/>
    <x v="1"/>
    <n v="215.82"/>
    <n v="456"/>
    <x v="5"/>
    <n v="1"/>
    <n v="6"/>
    <b v="1"/>
    <n v="945"/>
    <n v="114"/>
    <s v="UK"/>
    <s v="Credit Card"/>
    <s v="German"/>
    <n v="44"/>
    <x v="8"/>
    <b v="0"/>
    <s v="Active"/>
    <n v="96"/>
    <s v="Smartphone"/>
    <s v="55+"/>
    <s v="Late Night"/>
  </r>
  <r>
    <n v="1214"/>
    <s v="Jaime"/>
    <x v="174"/>
    <d v="2024-12-11T00:00:00"/>
    <n v="18"/>
    <x v="1"/>
    <n v="215.82"/>
    <n v="281"/>
    <x v="0"/>
    <n v="5"/>
    <n v="6"/>
    <b v="1"/>
    <n v="945"/>
    <n v="108"/>
    <s v="Germany"/>
    <s v="PayPal"/>
    <s v="English"/>
    <n v="98"/>
    <x v="20"/>
    <b v="1"/>
    <s v="Active"/>
    <n v="110"/>
    <s v="Laptop"/>
    <s v="18-24"/>
    <s v="Afternoon"/>
  </r>
  <r>
    <n v="6050"/>
    <s v="Emma"/>
    <x v="175"/>
    <d v="2024-11-23T00:00:00"/>
    <n v="3"/>
    <x v="1"/>
    <n v="35.97"/>
    <n v="281"/>
    <x v="4"/>
    <n v="5"/>
    <n v="3"/>
    <b v="0"/>
    <n v="217"/>
    <n v="162"/>
    <s v="USA"/>
    <s v="Debit Card"/>
    <s v="Mandarin"/>
    <n v="0"/>
    <x v="15"/>
    <b v="0"/>
    <s v="Active"/>
    <n v="225"/>
    <s v="Smartphone"/>
    <s v="45-54"/>
    <s v="Late Night"/>
  </r>
  <r>
    <n v="7395"/>
    <s v="Stephanie"/>
    <x v="66"/>
    <d v="2024-12-05T00:00:00"/>
    <n v="12"/>
    <x v="1"/>
    <n v="143.88"/>
    <n v="73"/>
    <x v="0"/>
    <n v="1"/>
    <n v="1"/>
    <b v="1"/>
    <n v="664"/>
    <n v="123"/>
    <s v="Australia"/>
    <s v="Debit Card"/>
    <s v="German"/>
    <n v="70"/>
    <x v="16"/>
    <b v="1"/>
    <s v="Active"/>
    <n v="4083"/>
    <s v="Smart TV"/>
    <s v="25-34"/>
    <s v="Late Night"/>
  </r>
  <r>
    <n v="3904"/>
    <s v="John"/>
    <x v="48"/>
    <d v="2024-12-09T00:00:00"/>
    <n v="5"/>
    <x v="1"/>
    <n v="59.95"/>
    <n v="365"/>
    <x v="4"/>
    <n v="3"/>
    <n v="1"/>
    <b v="1"/>
    <n v="679"/>
    <n v="1"/>
    <s v="France"/>
    <s v="Debit Card"/>
    <s v="French"/>
    <n v="100"/>
    <x v="9"/>
    <b v="0"/>
    <s v="Active"/>
    <n v="2714"/>
    <s v="Tablet"/>
    <s v="35-44"/>
    <s v="Evening"/>
  </r>
  <r>
    <n v="6545"/>
    <s v="Elizabeth"/>
    <x v="21"/>
    <d v="2024-12-08T00:00:00"/>
    <n v="5"/>
    <x v="0"/>
    <n v="39.950000000000003"/>
    <n v="61"/>
    <x v="1"/>
    <n v="1"/>
    <n v="5"/>
    <b v="1"/>
    <n v="242"/>
    <n v="200"/>
    <s v="Germany"/>
    <s v="Cryptocurrency"/>
    <s v="Mandarin"/>
    <n v="53"/>
    <x v="14"/>
    <b v="1"/>
    <s v="Active"/>
    <n v="674"/>
    <s v="Laptop"/>
    <s v="35-44"/>
    <s v="Late Night"/>
  </r>
  <r>
    <n v="3131"/>
    <s v="James"/>
    <x v="176"/>
    <d v="2024-11-21T00:00:00"/>
    <n v="17"/>
    <x v="2"/>
    <n v="271.83"/>
    <n v="399"/>
    <x v="2"/>
    <n v="3"/>
    <n v="5"/>
    <b v="0"/>
    <n v="541"/>
    <n v="158"/>
    <s v="UK"/>
    <s v="Debit Card"/>
    <s v="French"/>
    <n v="4"/>
    <x v="11"/>
    <b v="1"/>
    <s v="Active"/>
    <n v="948"/>
    <s v="Laptop"/>
    <s v="55+"/>
    <s v="Morning"/>
  </r>
  <r>
    <n v="8589"/>
    <s v="Kayla"/>
    <x v="177"/>
    <d v="2024-11-20T00:00:00"/>
    <n v="22"/>
    <x v="1"/>
    <n v="263.78000000000003"/>
    <n v="102"/>
    <x v="6"/>
    <n v="2"/>
    <n v="1"/>
    <b v="1"/>
    <n v="108"/>
    <n v="105"/>
    <s v="France"/>
    <s v="PayPal"/>
    <s v="English"/>
    <n v="76"/>
    <x v="9"/>
    <b v="0"/>
    <s v="Active"/>
    <n v="933"/>
    <s v="Desktop"/>
    <s v="35-44"/>
    <s v="Afternoon"/>
  </r>
  <r>
    <n v="2908"/>
    <s v="Anthony"/>
    <x v="105"/>
    <d v="2024-11-22T00:00:00"/>
    <n v="1"/>
    <x v="1"/>
    <n v="11.99"/>
    <n v="88"/>
    <x v="2"/>
    <n v="4"/>
    <n v="2"/>
    <b v="1"/>
    <n v="343"/>
    <n v="163"/>
    <s v="France"/>
    <s v="Cryptocurrency"/>
    <s v="German"/>
    <n v="89"/>
    <x v="19"/>
    <b v="1"/>
    <s v="Active"/>
    <n v="2914"/>
    <s v="Smart TV"/>
    <s v="55+"/>
    <s v="Evening"/>
  </r>
  <r>
    <n v="5209"/>
    <s v="Melissa"/>
    <x v="178"/>
    <d v="2024-11-19T00:00:00"/>
    <n v="18"/>
    <x v="1"/>
    <n v="215.82"/>
    <n v="92"/>
    <x v="6"/>
    <n v="5"/>
    <n v="3"/>
    <b v="1"/>
    <n v="477"/>
    <n v="38"/>
    <s v="France"/>
    <s v="Credit Card"/>
    <s v="English"/>
    <n v="71"/>
    <x v="12"/>
    <b v="1"/>
    <s v="Active"/>
    <n v="3928"/>
    <s v="Smartphone"/>
    <s v="45-54"/>
    <s v="Evening"/>
  </r>
  <r>
    <n v="2319"/>
    <s v="Natalie"/>
    <x v="179"/>
    <d v="2024-11-20T00:00:00"/>
    <n v="17"/>
    <x v="2"/>
    <n v="271.83"/>
    <n v="295"/>
    <x v="1"/>
    <n v="5"/>
    <n v="4"/>
    <b v="0"/>
    <n v="767"/>
    <n v="190"/>
    <s v="France"/>
    <s v="Credit Card"/>
    <s v="Spanish"/>
    <n v="7"/>
    <x v="13"/>
    <b v="0"/>
    <s v="Active"/>
    <n v="2559"/>
    <s v="Smartphone"/>
    <s v="35-44"/>
    <s v="Evening"/>
  </r>
  <r>
    <n v="9026"/>
    <s v="Courtney"/>
    <x v="180"/>
    <d v="2024-11-22T00:00:00"/>
    <n v="6"/>
    <x v="1"/>
    <n v="71.94"/>
    <n v="139"/>
    <x v="5"/>
    <n v="1"/>
    <n v="5"/>
    <b v="1"/>
    <n v="12"/>
    <n v="9"/>
    <s v="UK"/>
    <s v="Credit Card"/>
    <s v="Spanish"/>
    <n v="21"/>
    <x v="14"/>
    <b v="1"/>
    <s v="Active"/>
    <n v="2571"/>
    <s v="Tablet"/>
    <s v="35-44"/>
    <s v="Evening"/>
  </r>
  <r>
    <n v="2723"/>
    <s v="Briana"/>
    <x v="46"/>
    <d v="2024-11-24T00:00:00"/>
    <n v="14"/>
    <x v="2"/>
    <n v="223.86"/>
    <n v="416"/>
    <x v="0"/>
    <n v="1"/>
    <n v="2"/>
    <b v="1"/>
    <n v="920"/>
    <n v="79"/>
    <s v="India"/>
    <s v="Debit Card"/>
    <s v="French"/>
    <n v="20"/>
    <x v="16"/>
    <b v="0"/>
    <s v="Active"/>
    <n v="3834"/>
    <s v="Smartphone"/>
    <s v="55+"/>
    <s v="Evening"/>
  </r>
  <r>
    <n v="5487"/>
    <s v="Lisa"/>
    <x v="181"/>
    <d v="2024-12-16T00:00:00"/>
    <n v="8"/>
    <x v="0"/>
    <n v="63.92"/>
    <n v="173"/>
    <x v="5"/>
    <n v="2"/>
    <n v="2"/>
    <b v="0"/>
    <n v="819"/>
    <n v="174"/>
    <s v="USA"/>
    <s v="PayPal"/>
    <s v="Hindi"/>
    <n v="34"/>
    <x v="13"/>
    <b v="0"/>
    <s v="Active"/>
    <n v="4714"/>
    <s v="Laptop"/>
    <s v="25-34"/>
    <s v="Evening"/>
  </r>
  <r>
    <n v="4656"/>
    <s v="Kayla"/>
    <x v="182"/>
    <d v="2024-11-29T00:00:00"/>
    <n v="18"/>
    <x v="0"/>
    <n v="143.82"/>
    <n v="75"/>
    <x v="0"/>
    <n v="3"/>
    <n v="5"/>
    <b v="0"/>
    <n v="607"/>
    <n v="94"/>
    <s v="Canada"/>
    <s v="Cryptocurrency"/>
    <s v="German"/>
    <n v="57"/>
    <x v="20"/>
    <b v="1"/>
    <s v="Active"/>
    <n v="4800"/>
    <s v="Smart TV"/>
    <s v="25-34"/>
    <s v="Afternoon"/>
  </r>
  <r>
    <n v="5718"/>
    <s v="Bradley"/>
    <x v="183"/>
    <d v="2024-11-28T00:00:00"/>
    <n v="5"/>
    <x v="2"/>
    <n v="79.95"/>
    <n v="173"/>
    <x v="2"/>
    <n v="1"/>
    <n v="6"/>
    <b v="1"/>
    <n v="346"/>
    <n v="76"/>
    <s v="Canada"/>
    <s v="PayPal"/>
    <s v="Spanish"/>
    <n v="28"/>
    <x v="0"/>
    <b v="0"/>
    <s v="Active"/>
    <n v="1610"/>
    <s v="Smartphone"/>
    <s v="45-54"/>
    <s v="Afternoon"/>
  </r>
  <r>
    <n v="1215"/>
    <s v="Devin"/>
    <x v="184"/>
    <d v="2024-11-27T00:00:00"/>
    <n v="15"/>
    <x v="0"/>
    <n v="119.85000000000001"/>
    <n v="421"/>
    <x v="3"/>
    <n v="3"/>
    <n v="1"/>
    <b v="1"/>
    <n v="668"/>
    <n v="17"/>
    <s v="Canada"/>
    <s v="Credit Card"/>
    <s v="Spanish"/>
    <n v="7"/>
    <x v="1"/>
    <b v="1"/>
    <s v="Active"/>
    <n v="2780"/>
    <s v="Tablet"/>
    <s v="25-34"/>
    <s v="Evening"/>
  </r>
  <r>
    <n v="3427"/>
    <s v="Eric"/>
    <x v="185"/>
    <d v="2024-12-07T00:00:00"/>
    <n v="11"/>
    <x v="2"/>
    <n v="175.89000000000001"/>
    <n v="29"/>
    <x v="2"/>
    <n v="5"/>
    <n v="2"/>
    <b v="1"/>
    <n v="317"/>
    <n v="116"/>
    <s v="USA"/>
    <s v="Credit Card"/>
    <s v="German"/>
    <n v="78"/>
    <x v="20"/>
    <b v="1"/>
    <s v="Active"/>
    <n v="639"/>
    <s v="Tablet"/>
    <s v="25-34"/>
    <s v="Morning"/>
  </r>
  <r>
    <n v="2428"/>
    <s v="Brian"/>
    <x v="186"/>
    <d v="2024-11-21T00:00:00"/>
    <n v="8"/>
    <x v="0"/>
    <n v="63.92"/>
    <n v="180"/>
    <x v="5"/>
    <n v="2"/>
    <n v="4"/>
    <b v="1"/>
    <n v="297"/>
    <n v="19"/>
    <s v="France"/>
    <s v="Credit Card"/>
    <s v="Hindi"/>
    <n v="84"/>
    <x v="11"/>
    <b v="0"/>
    <s v="Active"/>
    <n v="1960"/>
    <s v="Smartphone"/>
    <s v="18-24"/>
    <s v="Afternoon"/>
  </r>
  <r>
    <n v="1947"/>
    <s v="Ann"/>
    <x v="187"/>
    <d v="2024-11-24T00:00:00"/>
    <n v="2"/>
    <x v="1"/>
    <n v="23.98"/>
    <n v="469"/>
    <x v="0"/>
    <n v="4"/>
    <n v="6"/>
    <b v="1"/>
    <n v="866"/>
    <n v="120"/>
    <s v="Canada"/>
    <s v="Credit Card"/>
    <s v="English"/>
    <n v="92"/>
    <x v="10"/>
    <b v="1"/>
    <s v="Active"/>
    <n v="1764"/>
    <s v="Smart TV"/>
    <s v="18-24"/>
    <s v="Late Night"/>
  </r>
  <r>
    <n v="5036"/>
    <s v="Andrew"/>
    <x v="188"/>
    <d v="2024-11-29T00:00:00"/>
    <n v="3"/>
    <x v="2"/>
    <n v="47.97"/>
    <n v="381"/>
    <x v="4"/>
    <n v="5"/>
    <n v="1"/>
    <b v="1"/>
    <n v="286"/>
    <n v="121"/>
    <s v="Canada"/>
    <s v="Cryptocurrency"/>
    <s v="French"/>
    <n v="57"/>
    <x v="13"/>
    <b v="1"/>
    <s v="Active"/>
    <n v="967"/>
    <s v="Smartphone"/>
    <s v="18-24"/>
    <s v="Afternoon"/>
  </r>
  <r>
    <n v="5857"/>
    <s v="Jennifer"/>
    <x v="189"/>
    <d v="2024-12-15T00:00:00"/>
    <n v="0"/>
    <x v="2"/>
    <n v="0"/>
    <n v="263"/>
    <x v="4"/>
    <n v="5"/>
    <n v="5"/>
    <b v="0"/>
    <n v="95"/>
    <n v="149"/>
    <s v="Germany"/>
    <s v="Credit Card"/>
    <s v="French"/>
    <n v="17"/>
    <x v="1"/>
    <b v="1"/>
    <s v="Active"/>
    <n v="2086"/>
    <s v="Smart TV"/>
    <s v="55+"/>
    <s v="Afternoon"/>
  </r>
  <r>
    <n v="8770"/>
    <s v="Mark"/>
    <x v="190"/>
    <d v="2024-11-21T00:00:00"/>
    <n v="15"/>
    <x v="0"/>
    <n v="119.85000000000001"/>
    <n v="48"/>
    <x v="1"/>
    <n v="4"/>
    <n v="2"/>
    <b v="0"/>
    <n v="938"/>
    <n v="92"/>
    <s v="Canada"/>
    <s v="Cryptocurrency"/>
    <s v="French"/>
    <n v="99"/>
    <x v="18"/>
    <b v="1"/>
    <s v="Active"/>
    <n v="3288"/>
    <s v="Smart TV"/>
    <s v="55+"/>
    <s v="Late Night"/>
  </r>
  <r>
    <n v="4118"/>
    <s v="Valerie"/>
    <x v="191"/>
    <d v="2024-11-19T00:00:00"/>
    <n v="18"/>
    <x v="1"/>
    <n v="215.82"/>
    <n v="447"/>
    <x v="3"/>
    <n v="3"/>
    <n v="4"/>
    <b v="0"/>
    <n v="264"/>
    <n v="55"/>
    <s v="Australia"/>
    <s v="PayPal"/>
    <s v="Mandarin"/>
    <n v="58"/>
    <x v="10"/>
    <b v="0"/>
    <s v="Active"/>
    <n v="1486"/>
    <s v="Smartphone"/>
    <s v="55+"/>
    <s v="Afternoon"/>
  </r>
  <r>
    <n v="7162"/>
    <s v="Carrie"/>
    <x v="78"/>
    <d v="2024-12-14T00:00:00"/>
    <n v="3"/>
    <x v="2"/>
    <n v="47.97"/>
    <n v="415"/>
    <x v="2"/>
    <n v="1"/>
    <n v="3"/>
    <b v="1"/>
    <n v="44"/>
    <n v="10"/>
    <s v="France"/>
    <s v="Debit Card"/>
    <s v="French"/>
    <n v="91"/>
    <x v="0"/>
    <b v="0"/>
    <s v="Active"/>
    <n v="223"/>
    <s v="Smart TV"/>
    <s v="55+"/>
    <s v="Afternoon"/>
  </r>
  <r>
    <n v="9278"/>
    <s v="Joseph"/>
    <x v="192"/>
    <d v="2024-12-14T00:00:00"/>
    <n v="2"/>
    <x v="0"/>
    <n v="15.98"/>
    <n v="429"/>
    <x v="1"/>
    <n v="5"/>
    <n v="4"/>
    <b v="0"/>
    <n v="944"/>
    <n v="165"/>
    <s v="France"/>
    <s v="PayPal"/>
    <s v="French"/>
    <n v="12"/>
    <x v="9"/>
    <b v="1"/>
    <s v="Active"/>
    <n v="2394"/>
    <s v="Tablet"/>
    <s v="45-54"/>
    <s v="Morning"/>
  </r>
  <r>
    <n v="5406"/>
    <s v="Randall"/>
    <x v="193"/>
    <d v="2024-12-07T00:00:00"/>
    <n v="1"/>
    <x v="0"/>
    <n v="7.99"/>
    <n v="26"/>
    <x v="1"/>
    <n v="5"/>
    <n v="5"/>
    <b v="0"/>
    <n v="542"/>
    <n v="152"/>
    <s v="Canada"/>
    <s v="Credit Card"/>
    <s v="Mandarin"/>
    <n v="6"/>
    <x v="2"/>
    <b v="0"/>
    <s v="Active"/>
    <n v="4329"/>
    <s v="Smartphone"/>
    <s v="18-24"/>
    <s v="Morning"/>
  </r>
  <r>
    <n v="4641"/>
    <s v="Danielle"/>
    <x v="194"/>
    <d v="2024-12-08T00:00:00"/>
    <n v="2"/>
    <x v="2"/>
    <n v="31.98"/>
    <n v="101"/>
    <x v="6"/>
    <n v="4"/>
    <n v="6"/>
    <b v="1"/>
    <n v="350"/>
    <n v="17"/>
    <s v="Australia"/>
    <s v="PayPal"/>
    <s v="Mandarin"/>
    <n v="11"/>
    <x v="15"/>
    <b v="1"/>
    <s v="Active"/>
    <n v="2193"/>
    <s v="Tablet"/>
    <s v="35-44"/>
    <s v="Afternoon"/>
  </r>
  <r>
    <n v="3969"/>
    <s v="Katie"/>
    <x v="195"/>
    <d v="2024-12-12T00:00:00"/>
    <n v="18"/>
    <x v="2"/>
    <n v="287.82"/>
    <n v="461"/>
    <x v="2"/>
    <n v="2"/>
    <n v="6"/>
    <b v="1"/>
    <n v="31"/>
    <n v="173"/>
    <s v="Canada"/>
    <s v="PayPal"/>
    <s v="Spanish"/>
    <n v="84"/>
    <x v="17"/>
    <b v="1"/>
    <s v="Active"/>
    <n v="3730"/>
    <s v="Tablet"/>
    <s v="25-34"/>
    <s v="Morning"/>
  </r>
  <r>
    <n v="3078"/>
    <s v="Victor"/>
    <x v="60"/>
    <d v="2024-12-14T00:00:00"/>
    <n v="17"/>
    <x v="0"/>
    <n v="135.83000000000001"/>
    <n v="246"/>
    <x v="0"/>
    <n v="3"/>
    <n v="3"/>
    <b v="0"/>
    <n v="358"/>
    <n v="158"/>
    <s v="Germany"/>
    <s v="Credit Card"/>
    <s v="Hindi"/>
    <n v="18"/>
    <x v="20"/>
    <b v="0"/>
    <s v="Active"/>
    <n v="2234"/>
    <s v="Smart TV"/>
    <s v="18-24"/>
    <s v="Afternoon"/>
  </r>
  <r>
    <n v="2808"/>
    <s v="Jonathan"/>
    <x v="196"/>
    <d v="2024-12-14T00:00:00"/>
    <n v="13"/>
    <x v="2"/>
    <n v="207.87"/>
    <n v="91"/>
    <x v="4"/>
    <n v="3"/>
    <n v="6"/>
    <b v="0"/>
    <n v="961"/>
    <n v="170"/>
    <s v="USA"/>
    <s v="PayPal"/>
    <s v="Mandarin"/>
    <n v="87"/>
    <x v="18"/>
    <b v="0"/>
    <s v="Active"/>
    <n v="718"/>
    <s v="Smart TV"/>
    <s v="25-34"/>
    <s v="Afternoon"/>
  </r>
  <r>
    <n v="7484"/>
    <s v="Bradley"/>
    <x v="197"/>
    <d v="2024-11-21T00:00:00"/>
    <n v="0"/>
    <x v="1"/>
    <n v="0"/>
    <n v="152"/>
    <x v="6"/>
    <n v="5"/>
    <n v="1"/>
    <b v="0"/>
    <n v="623"/>
    <n v="180"/>
    <s v="Canada"/>
    <s v="Cryptocurrency"/>
    <s v="French"/>
    <n v="89"/>
    <x v="6"/>
    <b v="1"/>
    <s v="Active"/>
    <n v="1594"/>
    <s v="Smartphone"/>
    <s v="25-34"/>
    <s v="Late Night"/>
  </r>
  <r>
    <n v="2396"/>
    <s v="Christopher"/>
    <x v="9"/>
    <d v="2024-11-25T00:00:00"/>
    <n v="11"/>
    <x v="1"/>
    <n v="131.89000000000001"/>
    <n v="283"/>
    <x v="0"/>
    <n v="3"/>
    <n v="5"/>
    <b v="0"/>
    <n v="466"/>
    <n v="139"/>
    <s v="UK"/>
    <s v="PayPal"/>
    <s v="Hindi"/>
    <n v="62"/>
    <x v="1"/>
    <b v="1"/>
    <s v="Active"/>
    <n v="681"/>
    <s v="Laptop"/>
    <s v="35-44"/>
    <s v="Evening"/>
  </r>
  <r>
    <n v="2472"/>
    <s v="Angela"/>
    <x v="198"/>
    <d v="2024-11-25T00:00:00"/>
    <n v="12"/>
    <x v="0"/>
    <n v="95.88"/>
    <n v="61"/>
    <x v="5"/>
    <n v="3"/>
    <n v="4"/>
    <b v="0"/>
    <n v="860"/>
    <n v="145"/>
    <s v="India"/>
    <s v="Debit Card"/>
    <s v="Spanish"/>
    <n v="82"/>
    <x v="9"/>
    <b v="1"/>
    <s v="Active"/>
    <n v="428"/>
    <s v="Tablet"/>
    <s v="55+"/>
    <s v="Late Night"/>
  </r>
  <r>
    <n v="7939"/>
    <s v="Richard"/>
    <x v="199"/>
    <d v="2024-11-25T00:00:00"/>
    <n v="14"/>
    <x v="1"/>
    <n v="167.86"/>
    <n v="410"/>
    <x v="5"/>
    <n v="5"/>
    <n v="6"/>
    <b v="0"/>
    <n v="410"/>
    <n v="125"/>
    <s v="France"/>
    <s v="PayPal"/>
    <s v="German"/>
    <n v="68"/>
    <x v="9"/>
    <b v="0"/>
    <s v="Active"/>
    <n v="2542"/>
    <s v="Desktop"/>
    <s v="25-34"/>
    <s v="Morning"/>
  </r>
  <r>
    <n v="8269"/>
    <s v="Jennifer"/>
    <x v="200"/>
    <d v="2024-12-17T00:00:00"/>
    <n v="9"/>
    <x v="0"/>
    <n v="71.91"/>
    <n v="88"/>
    <x v="0"/>
    <n v="3"/>
    <n v="1"/>
    <b v="0"/>
    <n v="69"/>
    <n v="75"/>
    <s v="India"/>
    <s v="Credit Card"/>
    <s v="German"/>
    <n v="80"/>
    <x v="13"/>
    <b v="0"/>
    <s v="Active"/>
    <n v="4763"/>
    <s v="Smart TV"/>
    <s v="55+"/>
    <s v="Evening"/>
  </r>
  <r>
    <n v="9073"/>
    <s v="Tiffany"/>
    <x v="201"/>
    <d v="2024-12-09T00:00:00"/>
    <n v="16"/>
    <x v="2"/>
    <n v="255.84"/>
    <n v="322"/>
    <x v="3"/>
    <n v="3"/>
    <n v="4"/>
    <b v="1"/>
    <n v="424"/>
    <n v="74"/>
    <s v="Australia"/>
    <s v="Credit Card"/>
    <s v="French"/>
    <n v="3"/>
    <x v="8"/>
    <b v="0"/>
    <s v="Active"/>
    <n v="486"/>
    <s v="Tablet"/>
    <s v="45-54"/>
    <s v="Evening"/>
  </r>
  <r>
    <n v="9879"/>
    <s v="Jessica"/>
    <x v="202"/>
    <d v="2024-12-04T00:00:00"/>
    <n v="22"/>
    <x v="0"/>
    <n v="175.78"/>
    <n v="217"/>
    <x v="4"/>
    <n v="3"/>
    <n v="3"/>
    <b v="0"/>
    <n v="377"/>
    <n v="136"/>
    <s v="Canada"/>
    <s v="PayPal"/>
    <s v="Mandarin"/>
    <n v="8"/>
    <x v="18"/>
    <b v="1"/>
    <s v="Active"/>
    <n v="4327"/>
    <s v="Tablet"/>
    <s v="25-34"/>
    <s v="Late Night"/>
  </r>
  <r>
    <n v="3822"/>
    <s v="Tyler"/>
    <x v="88"/>
    <d v="2024-12-04T00:00:00"/>
    <n v="16"/>
    <x v="2"/>
    <n v="255.84"/>
    <n v="180"/>
    <x v="0"/>
    <n v="3"/>
    <n v="4"/>
    <b v="0"/>
    <n v="132"/>
    <n v="127"/>
    <s v="USA"/>
    <s v="Credit Card"/>
    <s v="English"/>
    <n v="79"/>
    <x v="14"/>
    <b v="1"/>
    <s v="Active"/>
    <n v="2938"/>
    <s v="Smartphone"/>
    <s v="35-44"/>
    <s v="Afternoon"/>
  </r>
  <r>
    <n v="9183"/>
    <s v="William"/>
    <x v="44"/>
    <d v="2024-12-09T00:00:00"/>
    <n v="19"/>
    <x v="2"/>
    <n v="303.81"/>
    <n v="11"/>
    <x v="2"/>
    <n v="1"/>
    <n v="1"/>
    <b v="0"/>
    <n v="818"/>
    <n v="45"/>
    <s v="Germany"/>
    <s v="PayPal"/>
    <s v="Spanish"/>
    <n v="97"/>
    <x v="11"/>
    <b v="0"/>
    <s v="Active"/>
    <n v="1429"/>
    <s v="Desktop"/>
    <s v="18-24"/>
    <s v="Afternoon"/>
  </r>
  <r>
    <n v="8674"/>
    <s v="Johnny"/>
    <x v="203"/>
    <d v="2024-11-20T00:00:00"/>
    <n v="22"/>
    <x v="2"/>
    <n v="351.78000000000003"/>
    <n v="455"/>
    <x v="5"/>
    <n v="5"/>
    <n v="6"/>
    <b v="1"/>
    <n v="813"/>
    <n v="155"/>
    <s v="Canada"/>
    <s v="Cryptocurrency"/>
    <s v="French"/>
    <n v="85"/>
    <x v="10"/>
    <b v="1"/>
    <s v="Active"/>
    <n v="2897"/>
    <s v="Smart TV"/>
    <s v="25-34"/>
    <s v="Morning"/>
  </r>
  <r>
    <n v="2481"/>
    <s v="Jesus"/>
    <x v="204"/>
    <d v="2024-11-20T00:00:00"/>
    <n v="7"/>
    <x v="0"/>
    <n v="55.93"/>
    <n v="487"/>
    <x v="6"/>
    <n v="2"/>
    <n v="6"/>
    <b v="0"/>
    <n v="362"/>
    <n v="130"/>
    <s v="France"/>
    <s v="Cryptocurrency"/>
    <s v="English"/>
    <n v="36"/>
    <x v="0"/>
    <b v="1"/>
    <s v="Active"/>
    <n v="274"/>
    <s v="Smart TV"/>
    <s v="45-54"/>
    <s v="Morning"/>
  </r>
  <r>
    <n v="8729"/>
    <s v="Jill"/>
    <x v="205"/>
    <d v="2024-12-13T00:00:00"/>
    <n v="11"/>
    <x v="0"/>
    <n v="87.89"/>
    <n v="459"/>
    <x v="3"/>
    <n v="2"/>
    <n v="4"/>
    <b v="0"/>
    <n v="573"/>
    <n v="190"/>
    <s v="Australia"/>
    <s v="PayPal"/>
    <s v="Spanish"/>
    <n v="81"/>
    <x v="5"/>
    <b v="0"/>
    <s v="Active"/>
    <n v="3910"/>
    <s v="Laptop"/>
    <s v="45-54"/>
    <s v="Morning"/>
  </r>
  <r>
    <n v="5534"/>
    <s v="Andrea"/>
    <x v="206"/>
    <d v="2024-12-13T00:00:00"/>
    <n v="21"/>
    <x v="0"/>
    <n v="167.79"/>
    <n v="74"/>
    <x v="1"/>
    <n v="2"/>
    <n v="1"/>
    <b v="0"/>
    <n v="657"/>
    <n v="88"/>
    <s v="Canada"/>
    <s v="Debit Card"/>
    <s v="Mandarin"/>
    <n v="40"/>
    <x v="20"/>
    <b v="0"/>
    <s v="Active"/>
    <n v="130"/>
    <s v="Desktop"/>
    <s v="18-24"/>
    <s v="Morning"/>
  </r>
  <r>
    <n v="9785"/>
    <s v="Jacob"/>
    <x v="207"/>
    <d v="2024-12-18T00:00:00"/>
    <n v="11"/>
    <x v="1"/>
    <n v="131.89000000000001"/>
    <n v="54"/>
    <x v="0"/>
    <n v="5"/>
    <n v="4"/>
    <b v="0"/>
    <n v="659"/>
    <n v="2"/>
    <s v="Germany"/>
    <s v="PayPal"/>
    <s v="Mandarin"/>
    <n v="82"/>
    <x v="5"/>
    <b v="1"/>
    <s v="Active"/>
    <n v="2557"/>
    <s v="Desktop"/>
    <s v="35-44"/>
    <s v="Morning"/>
  </r>
  <r>
    <n v="9609"/>
    <s v="Eric"/>
    <x v="208"/>
    <d v="2024-11-27T00:00:00"/>
    <n v="14"/>
    <x v="1"/>
    <n v="167.86"/>
    <n v="292"/>
    <x v="6"/>
    <n v="3"/>
    <n v="4"/>
    <b v="1"/>
    <n v="653"/>
    <n v="173"/>
    <s v="Australia"/>
    <s v="Debit Card"/>
    <s v="Hindi"/>
    <n v="8"/>
    <x v="17"/>
    <b v="0"/>
    <s v="Active"/>
    <n v="3823"/>
    <s v="Desktop"/>
    <s v="45-54"/>
    <s v="Evening"/>
  </r>
  <r>
    <n v="2829"/>
    <s v="Sara"/>
    <x v="209"/>
    <d v="2024-12-09T00:00:00"/>
    <n v="2"/>
    <x v="2"/>
    <n v="31.98"/>
    <n v="23"/>
    <x v="0"/>
    <n v="2"/>
    <n v="2"/>
    <b v="0"/>
    <n v="577"/>
    <n v="131"/>
    <s v="France"/>
    <s v="Credit Card"/>
    <s v="German"/>
    <n v="14"/>
    <x v="12"/>
    <b v="0"/>
    <s v="Active"/>
    <n v="4048"/>
    <s v="Laptop"/>
    <s v="25-34"/>
    <s v="Afternoon"/>
  </r>
  <r>
    <n v="1714"/>
    <s v="Tammy"/>
    <x v="210"/>
    <d v="2024-11-26T00:00:00"/>
    <n v="14"/>
    <x v="1"/>
    <n v="167.86"/>
    <n v="147"/>
    <x v="4"/>
    <n v="3"/>
    <n v="1"/>
    <b v="1"/>
    <n v="802"/>
    <n v="177"/>
    <s v="France"/>
    <s v="Credit Card"/>
    <s v="German"/>
    <n v="21"/>
    <x v="17"/>
    <b v="1"/>
    <s v="Active"/>
    <n v="3173"/>
    <s v="Smart TV"/>
    <s v="35-44"/>
    <s v="Morning"/>
  </r>
  <r>
    <n v="4475"/>
    <s v="Sandra"/>
    <x v="211"/>
    <d v="2024-12-12T00:00:00"/>
    <n v="11"/>
    <x v="0"/>
    <n v="87.89"/>
    <n v="221"/>
    <x v="0"/>
    <n v="2"/>
    <n v="4"/>
    <b v="0"/>
    <n v="702"/>
    <n v="130"/>
    <s v="Canada"/>
    <s v="PayPal"/>
    <s v="French"/>
    <n v="36"/>
    <x v="5"/>
    <b v="0"/>
    <s v="Active"/>
    <n v="3289"/>
    <s v="Laptop"/>
    <s v="25-34"/>
    <s v="Evening"/>
  </r>
  <r>
    <n v="9820"/>
    <s v="James"/>
    <x v="161"/>
    <d v="2024-11-27T00:00:00"/>
    <n v="1"/>
    <x v="0"/>
    <n v="7.99"/>
    <n v="40"/>
    <x v="3"/>
    <n v="2"/>
    <n v="1"/>
    <b v="1"/>
    <n v="92"/>
    <n v="184"/>
    <s v="UK"/>
    <s v="Credit Card"/>
    <s v="Mandarin"/>
    <n v="66"/>
    <x v="13"/>
    <b v="1"/>
    <s v="Active"/>
    <n v="4377"/>
    <s v="Smart TV"/>
    <s v="25-34"/>
    <s v="Afternoon"/>
  </r>
  <r>
    <n v="3261"/>
    <s v="David"/>
    <x v="53"/>
    <d v="2024-12-13T00:00:00"/>
    <n v="23"/>
    <x v="1"/>
    <n v="275.77"/>
    <n v="365"/>
    <x v="2"/>
    <n v="1"/>
    <n v="5"/>
    <b v="1"/>
    <n v="582"/>
    <n v="162"/>
    <s v="Australia"/>
    <s v="Cryptocurrency"/>
    <s v="Hindi"/>
    <n v="8"/>
    <x v="0"/>
    <b v="0"/>
    <s v="Active"/>
    <n v="995"/>
    <s v="Laptop"/>
    <s v="25-34"/>
    <s v="Evening"/>
  </r>
  <r>
    <n v="6130"/>
    <s v="Michael"/>
    <x v="212"/>
    <d v="2024-12-16T00:00:00"/>
    <n v="7"/>
    <x v="1"/>
    <n v="83.93"/>
    <n v="360"/>
    <x v="6"/>
    <n v="1"/>
    <n v="2"/>
    <b v="1"/>
    <n v="161"/>
    <n v="93"/>
    <s v="India"/>
    <s v="Debit Card"/>
    <s v="Spanish"/>
    <n v="30"/>
    <x v="0"/>
    <b v="1"/>
    <s v="Active"/>
    <n v="2299"/>
    <s v="Desktop"/>
    <s v="55+"/>
    <s v="Afternoon"/>
  </r>
  <r>
    <n v="9399"/>
    <s v="Kristin"/>
    <x v="213"/>
    <d v="2024-11-28T00:00:00"/>
    <n v="19"/>
    <x v="0"/>
    <n v="151.81"/>
    <n v="127"/>
    <x v="0"/>
    <n v="2"/>
    <n v="2"/>
    <b v="0"/>
    <n v="842"/>
    <n v="24"/>
    <s v="Canada"/>
    <s v="Cryptocurrency"/>
    <s v="Spanish"/>
    <n v="72"/>
    <x v="7"/>
    <b v="1"/>
    <s v="Active"/>
    <n v="4644"/>
    <s v="Smartphone"/>
    <s v="25-34"/>
    <s v="Late Night"/>
  </r>
  <r>
    <n v="6047"/>
    <s v="Paul"/>
    <x v="214"/>
    <d v="2024-12-02T00:00:00"/>
    <n v="0"/>
    <x v="2"/>
    <n v="0"/>
    <n v="30"/>
    <x v="4"/>
    <n v="3"/>
    <n v="2"/>
    <b v="1"/>
    <n v="609"/>
    <n v="6"/>
    <s v="Canada"/>
    <s v="PayPal"/>
    <s v="Mandarin"/>
    <n v="57"/>
    <x v="8"/>
    <b v="1"/>
    <s v="Active"/>
    <n v="746"/>
    <s v="Tablet"/>
    <s v="55+"/>
    <s v="Late Night"/>
  </r>
  <r>
    <n v="7789"/>
    <s v="Amy"/>
    <x v="49"/>
    <d v="2024-11-24T00:00:00"/>
    <n v="15"/>
    <x v="0"/>
    <n v="119.85000000000001"/>
    <n v="222"/>
    <x v="1"/>
    <n v="1"/>
    <n v="6"/>
    <b v="0"/>
    <n v="391"/>
    <n v="17"/>
    <s v="USA"/>
    <s v="Cryptocurrency"/>
    <s v="Hindi"/>
    <n v="21"/>
    <x v="15"/>
    <b v="1"/>
    <s v="Active"/>
    <n v="2835"/>
    <s v="Tablet"/>
    <s v="45-54"/>
    <s v="Evening"/>
  </r>
  <r>
    <n v="6111"/>
    <s v="Emily"/>
    <x v="215"/>
    <d v="2024-12-13T00:00:00"/>
    <n v="13"/>
    <x v="1"/>
    <n v="155.87"/>
    <n v="168"/>
    <x v="6"/>
    <n v="1"/>
    <n v="2"/>
    <b v="0"/>
    <n v="247"/>
    <n v="172"/>
    <s v="France"/>
    <s v="Cryptocurrency"/>
    <s v="French"/>
    <n v="98"/>
    <x v="17"/>
    <b v="0"/>
    <s v="Active"/>
    <n v="3626"/>
    <s v="Smart TV"/>
    <s v="35-44"/>
    <s v="Evening"/>
  </r>
  <r>
    <n v="4968"/>
    <s v="Alicia"/>
    <x v="43"/>
    <d v="2024-11-26T00:00:00"/>
    <n v="7"/>
    <x v="0"/>
    <n v="55.93"/>
    <n v="317"/>
    <x v="5"/>
    <n v="5"/>
    <n v="1"/>
    <b v="0"/>
    <n v="559"/>
    <n v="113"/>
    <s v="India"/>
    <s v="Credit Card"/>
    <s v="English"/>
    <n v="92"/>
    <x v="3"/>
    <b v="0"/>
    <s v="Active"/>
    <n v="1000"/>
    <s v="Laptop"/>
    <s v="55+"/>
    <s v="Evening"/>
  </r>
  <r>
    <n v="2739"/>
    <s v="Margaret"/>
    <x v="213"/>
    <d v="2024-11-20T00:00:00"/>
    <n v="18"/>
    <x v="2"/>
    <n v="287.82"/>
    <n v="285"/>
    <x v="3"/>
    <n v="1"/>
    <n v="3"/>
    <b v="0"/>
    <n v="706"/>
    <n v="22"/>
    <s v="UK"/>
    <s v="PayPal"/>
    <s v="Mandarin"/>
    <n v="4"/>
    <x v="15"/>
    <b v="1"/>
    <s v="Active"/>
    <n v="368"/>
    <s v="Desktop"/>
    <s v="25-34"/>
    <s v="Late Night"/>
  </r>
  <r>
    <n v="6974"/>
    <s v="Linda"/>
    <x v="216"/>
    <d v="2024-11-28T00:00:00"/>
    <n v="14"/>
    <x v="1"/>
    <n v="167.86"/>
    <n v="420"/>
    <x v="5"/>
    <n v="1"/>
    <n v="2"/>
    <b v="0"/>
    <n v="1000"/>
    <n v="159"/>
    <s v="India"/>
    <s v="Cryptocurrency"/>
    <s v="German"/>
    <n v="22"/>
    <x v="14"/>
    <b v="0"/>
    <s v="Active"/>
    <n v="2229"/>
    <s v="Smart TV"/>
    <s v="25-34"/>
    <s v="Morning"/>
  </r>
  <r>
    <n v="1784"/>
    <s v="Sarah"/>
    <x v="176"/>
    <d v="2024-12-16T00:00:00"/>
    <n v="18"/>
    <x v="2"/>
    <n v="287.82"/>
    <n v="100"/>
    <x v="1"/>
    <n v="5"/>
    <n v="1"/>
    <b v="1"/>
    <n v="586"/>
    <n v="32"/>
    <s v="France"/>
    <s v="Credit Card"/>
    <s v="Hindi"/>
    <n v="100"/>
    <x v="10"/>
    <b v="1"/>
    <s v="Active"/>
    <n v="2643"/>
    <s v="Desktop"/>
    <s v="25-34"/>
    <s v="Afternoon"/>
  </r>
  <r>
    <n v="8077"/>
    <s v="Megan"/>
    <x v="217"/>
    <d v="2024-12-18T00:00:00"/>
    <n v="6"/>
    <x v="1"/>
    <n v="71.94"/>
    <n v="426"/>
    <x v="3"/>
    <n v="4"/>
    <n v="6"/>
    <b v="0"/>
    <n v="450"/>
    <n v="92"/>
    <s v="Germany"/>
    <s v="Debit Card"/>
    <s v="Hindi"/>
    <n v="71"/>
    <x v="13"/>
    <b v="0"/>
    <s v="Active"/>
    <n v="2647"/>
    <s v="Smartphone"/>
    <s v="25-34"/>
    <s v="Morning"/>
  </r>
  <r>
    <n v="2727"/>
    <s v="Renee"/>
    <x v="218"/>
    <d v="2024-12-08T00:00:00"/>
    <n v="10"/>
    <x v="0"/>
    <n v="79.900000000000006"/>
    <n v="263"/>
    <x v="6"/>
    <n v="1"/>
    <n v="4"/>
    <b v="1"/>
    <n v="468"/>
    <n v="95"/>
    <s v="India"/>
    <s v="Debit Card"/>
    <s v="English"/>
    <n v="87"/>
    <x v="17"/>
    <b v="0"/>
    <s v="Active"/>
    <n v="4497"/>
    <s v="Tablet"/>
    <s v="25-34"/>
    <s v="Evening"/>
  </r>
  <r>
    <n v="7661"/>
    <s v="Wayne"/>
    <x v="75"/>
    <d v="2024-12-14T00:00:00"/>
    <n v="15"/>
    <x v="1"/>
    <n v="179.85"/>
    <n v="162"/>
    <x v="0"/>
    <n v="1"/>
    <n v="1"/>
    <b v="0"/>
    <n v="370"/>
    <n v="130"/>
    <s v="USA"/>
    <s v="Debit Card"/>
    <s v="Hindi"/>
    <n v="49"/>
    <x v="13"/>
    <b v="1"/>
    <s v="Active"/>
    <n v="1121"/>
    <s v="Smart TV"/>
    <s v="45-54"/>
    <s v="Afternoon"/>
  </r>
  <r>
    <n v="5083"/>
    <s v="Lisa"/>
    <x v="59"/>
    <d v="2024-11-23T00:00:00"/>
    <n v="0"/>
    <x v="2"/>
    <n v="0"/>
    <n v="19"/>
    <x v="6"/>
    <n v="3"/>
    <n v="2"/>
    <b v="1"/>
    <n v="781"/>
    <n v="179"/>
    <s v="Canada"/>
    <s v="Debit Card"/>
    <s v="German"/>
    <n v="8"/>
    <x v="5"/>
    <b v="0"/>
    <s v="Active"/>
    <n v="1525"/>
    <s v="Laptop"/>
    <s v="45-54"/>
    <s v="Evening"/>
  </r>
  <r>
    <n v="7275"/>
    <s v="Rhonda"/>
    <x v="219"/>
    <d v="2024-12-07T00:00:00"/>
    <n v="3"/>
    <x v="1"/>
    <n v="35.97"/>
    <n v="358"/>
    <x v="6"/>
    <n v="5"/>
    <n v="4"/>
    <b v="1"/>
    <n v="829"/>
    <n v="62"/>
    <s v="Germany"/>
    <s v="PayPal"/>
    <s v="German"/>
    <n v="65"/>
    <x v="15"/>
    <b v="0"/>
    <s v="Active"/>
    <n v="3488"/>
    <s v="Smart TV"/>
    <s v="55+"/>
    <s v="Late Night"/>
  </r>
  <r>
    <n v="7316"/>
    <s v="Darrell"/>
    <x v="220"/>
    <d v="2024-12-15T00:00:00"/>
    <n v="21"/>
    <x v="1"/>
    <n v="251.79"/>
    <n v="183"/>
    <x v="1"/>
    <n v="3"/>
    <n v="5"/>
    <b v="0"/>
    <n v="944"/>
    <n v="94"/>
    <s v="Canada"/>
    <s v="PayPal"/>
    <s v="English"/>
    <n v="72"/>
    <x v="9"/>
    <b v="0"/>
    <s v="Active"/>
    <n v="3009"/>
    <s v="Smart TV"/>
    <s v="45-54"/>
    <s v="Late Night"/>
  </r>
  <r>
    <n v="4497"/>
    <s v="Diana"/>
    <x v="221"/>
    <d v="2024-12-15T00:00:00"/>
    <n v="23"/>
    <x v="2"/>
    <n v="367.77"/>
    <n v="63"/>
    <x v="0"/>
    <n v="4"/>
    <n v="4"/>
    <b v="0"/>
    <n v="670"/>
    <n v="72"/>
    <s v="USA"/>
    <s v="PayPal"/>
    <s v="Spanish"/>
    <n v="27"/>
    <x v="14"/>
    <b v="0"/>
    <s v="Active"/>
    <n v="15"/>
    <s v="Smartphone"/>
    <s v="35-44"/>
    <s v="Evening"/>
  </r>
  <r>
    <n v="8685"/>
    <s v="Matthew"/>
    <x v="222"/>
    <d v="2024-11-20T00:00:00"/>
    <n v="8"/>
    <x v="1"/>
    <n v="95.92"/>
    <n v="446"/>
    <x v="3"/>
    <n v="5"/>
    <n v="3"/>
    <b v="1"/>
    <n v="831"/>
    <n v="37"/>
    <s v="France"/>
    <s v="PayPal"/>
    <s v="English"/>
    <n v="54"/>
    <x v="0"/>
    <b v="1"/>
    <s v="Active"/>
    <n v="3007"/>
    <s v="Smart TV"/>
    <s v="45-54"/>
    <s v="Evening"/>
  </r>
  <r>
    <n v="8583"/>
    <s v="Brittany"/>
    <x v="160"/>
    <d v="2024-11-27T00:00:00"/>
    <n v="0"/>
    <x v="2"/>
    <n v="0"/>
    <n v="352"/>
    <x v="2"/>
    <n v="3"/>
    <n v="3"/>
    <b v="0"/>
    <n v="154"/>
    <n v="148"/>
    <s v="France"/>
    <s v="Debit Card"/>
    <s v="English"/>
    <n v="39"/>
    <x v="9"/>
    <b v="1"/>
    <s v="Active"/>
    <n v="4588"/>
    <s v="Laptop"/>
    <s v="35-44"/>
    <s v="Morning"/>
  </r>
  <r>
    <n v="1062"/>
    <s v="David"/>
    <x v="34"/>
    <d v="2024-12-13T00:00:00"/>
    <n v="2"/>
    <x v="0"/>
    <n v="15.98"/>
    <n v="209"/>
    <x v="2"/>
    <n v="2"/>
    <n v="6"/>
    <b v="0"/>
    <n v="707"/>
    <n v="162"/>
    <s v="USA"/>
    <s v="Debit Card"/>
    <s v="German"/>
    <n v="95"/>
    <x v="17"/>
    <b v="1"/>
    <s v="Active"/>
    <n v="73"/>
    <s v="Smartphone"/>
    <s v="55+"/>
    <s v="Late Night"/>
  </r>
  <r>
    <n v="2593"/>
    <s v="Stephanie"/>
    <x v="102"/>
    <d v="2024-12-11T00:00:00"/>
    <n v="23"/>
    <x v="0"/>
    <n v="183.77"/>
    <n v="311"/>
    <x v="4"/>
    <n v="5"/>
    <n v="6"/>
    <b v="0"/>
    <n v="587"/>
    <n v="140"/>
    <s v="India"/>
    <s v="PayPal"/>
    <s v="Mandarin"/>
    <n v="43"/>
    <x v="10"/>
    <b v="1"/>
    <s v="Active"/>
    <n v="4635"/>
    <s v="Smartphone"/>
    <s v="18-24"/>
    <s v="Afternoon"/>
  </r>
  <r>
    <n v="3951"/>
    <s v="Christina"/>
    <x v="223"/>
    <d v="2024-12-06T00:00:00"/>
    <n v="17"/>
    <x v="1"/>
    <n v="203.83"/>
    <n v="293"/>
    <x v="2"/>
    <n v="3"/>
    <n v="6"/>
    <b v="1"/>
    <n v="158"/>
    <n v="119"/>
    <s v="India"/>
    <s v="Credit Card"/>
    <s v="Spanish"/>
    <n v="60"/>
    <x v="4"/>
    <b v="0"/>
    <s v="Active"/>
    <n v="1882"/>
    <s v="Tablet"/>
    <s v="45-54"/>
    <s v="Late Night"/>
  </r>
  <r>
    <n v="8580"/>
    <s v="Darlene"/>
    <x v="224"/>
    <d v="2024-12-10T00:00:00"/>
    <n v="6"/>
    <x v="2"/>
    <n v="95.94"/>
    <n v="119"/>
    <x v="6"/>
    <n v="4"/>
    <n v="2"/>
    <b v="0"/>
    <n v="936"/>
    <n v="188"/>
    <s v="USA"/>
    <s v="Cryptocurrency"/>
    <s v="Mandarin"/>
    <n v="59"/>
    <x v="13"/>
    <b v="1"/>
    <s v="Active"/>
    <n v="1690"/>
    <s v="Desktop"/>
    <s v="25-34"/>
    <s v="Afternoon"/>
  </r>
  <r>
    <n v="4372"/>
    <s v="Michael"/>
    <x v="225"/>
    <d v="2024-12-05T00:00:00"/>
    <n v="22"/>
    <x v="2"/>
    <n v="351.78000000000003"/>
    <n v="329"/>
    <x v="2"/>
    <n v="2"/>
    <n v="1"/>
    <b v="0"/>
    <n v="670"/>
    <n v="94"/>
    <s v="UK"/>
    <s v="PayPal"/>
    <s v="Hindi"/>
    <n v="61"/>
    <x v="8"/>
    <b v="0"/>
    <s v="Active"/>
    <n v="2572"/>
    <s v="Laptop"/>
    <s v="35-44"/>
    <s v="Morning"/>
  </r>
  <r>
    <n v="4463"/>
    <s v="Janet"/>
    <x v="226"/>
    <d v="2024-11-24T00:00:00"/>
    <n v="13"/>
    <x v="2"/>
    <n v="207.87"/>
    <n v="141"/>
    <x v="4"/>
    <n v="5"/>
    <n v="5"/>
    <b v="1"/>
    <n v="636"/>
    <n v="186"/>
    <s v="UK"/>
    <s v="Credit Card"/>
    <s v="Mandarin"/>
    <n v="95"/>
    <x v="10"/>
    <b v="0"/>
    <s v="Active"/>
    <n v="3865"/>
    <s v="Laptop"/>
    <s v="18-24"/>
    <s v="Late Night"/>
  </r>
  <r>
    <n v="7498"/>
    <s v="Ethan"/>
    <x v="227"/>
    <d v="2024-11-24T00:00:00"/>
    <n v="21"/>
    <x v="1"/>
    <n v="251.79"/>
    <n v="15"/>
    <x v="3"/>
    <n v="1"/>
    <n v="3"/>
    <b v="1"/>
    <n v="700"/>
    <n v="64"/>
    <s v="Australia"/>
    <s v="Cryptocurrency"/>
    <s v="Spanish"/>
    <n v="35"/>
    <x v="9"/>
    <b v="0"/>
    <s v="Active"/>
    <n v="380"/>
    <s v="Laptop"/>
    <s v="25-34"/>
    <s v="Late Night"/>
  </r>
  <r>
    <n v="9618"/>
    <s v="Jesse"/>
    <x v="228"/>
    <d v="2024-11-30T00:00:00"/>
    <n v="0"/>
    <x v="1"/>
    <n v="0"/>
    <n v="30"/>
    <x v="5"/>
    <n v="5"/>
    <n v="4"/>
    <b v="1"/>
    <n v="310"/>
    <n v="162"/>
    <s v="Australia"/>
    <s v="Debit Card"/>
    <s v="German"/>
    <n v="30"/>
    <x v="2"/>
    <b v="1"/>
    <s v="Active"/>
    <n v="3566"/>
    <s v="Smart TV"/>
    <s v="25-34"/>
    <s v="Evening"/>
  </r>
  <r>
    <n v="1813"/>
    <s v="Phyllis"/>
    <x v="229"/>
    <d v="2024-11-29T00:00:00"/>
    <n v="5"/>
    <x v="1"/>
    <n v="59.95"/>
    <n v="145"/>
    <x v="4"/>
    <n v="2"/>
    <n v="4"/>
    <b v="0"/>
    <n v="237"/>
    <n v="32"/>
    <s v="Australia"/>
    <s v="Cryptocurrency"/>
    <s v="French"/>
    <n v="39"/>
    <x v="14"/>
    <b v="0"/>
    <s v="Active"/>
    <n v="1835"/>
    <s v="Desktop"/>
    <s v="45-54"/>
    <s v="Morning"/>
  </r>
  <r>
    <n v="3009"/>
    <s v="Joel"/>
    <x v="230"/>
    <d v="2024-12-13T00:00:00"/>
    <n v="2"/>
    <x v="2"/>
    <n v="31.98"/>
    <n v="250"/>
    <x v="3"/>
    <n v="4"/>
    <n v="3"/>
    <b v="0"/>
    <n v="774"/>
    <n v="88"/>
    <s v="Australia"/>
    <s v="Debit Card"/>
    <s v="Mandarin"/>
    <n v="64"/>
    <x v="0"/>
    <b v="0"/>
    <s v="Active"/>
    <n v="1882"/>
    <s v="Desktop"/>
    <s v="18-24"/>
    <s v="Morning"/>
  </r>
  <r>
    <n v="8210"/>
    <s v="Cynthia"/>
    <x v="231"/>
    <d v="2024-11-22T00:00:00"/>
    <n v="22"/>
    <x v="2"/>
    <n v="351.78000000000003"/>
    <n v="243"/>
    <x v="4"/>
    <n v="2"/>
    <n v="6"/>
    <b v="1"/>
    <n v="532"/>
    <n v="110"/>
    <s v="Germany"/>
    <s v="PayPal"/>
    <s v="Spanish"/>
    <n v="73"/>
    <x v="9"/>
    <b v="0"/>
    <s v="Active"/>
    <n v="525"/>
    <s v="Smartphone"/>
    <s v="45-54"/>
    <s v="Afternoon"/>
  </r>
  <r>
    <n v="8439"/>
    <s v="Craig"/>
    <x v="232"/>
    <d v="2024-11-21T00:00:00"/>
    <n v="15"/>
    <x v="1"/>
    <n v="179.85"/>
    <n v="392"/>
    <x v="4"/>
    <n v="4"/>
    <n v="1"/>
    <b v="1"/>
    <n v="813"/>
    <n v="2"/>
    <s v="UK"/>
    <s v="Cryptocurrency"/>
    <s v="English"/>
    <n v="57"/>
    <x v="8"/>
    <b v="1"/>
    <s v="Active"/>
    <n v="1025"/>
    <s v="Desktop"/>
    <s v="18-24"/>
    <s v="Afternoon"/>
  </r>
  <r>
    <n v="8310"/>
    <s v="Eric"/>
    <x v="233"/>
    <d v="2024-12-11T00:00:00"/>
    <n v="18"/>
    <x v="1"/>
    <n v="215.82"/>
    <n v="389"/>
    <x v="1"/>
    <n v="5"/>
    <n v="4"/>
    <b v="0"/>
    <n v="727"/>
    <n v="26"/>
    <s v="Germany"/>
    <s v="PayPal"/>
    <s v="English"/>
    <n v="67"/>
    <x v="15"/>
    <b v="0"/>
    <s v="Active"/>
    <n v="2508"/>
    <s v="Smartphone"/>
    <s v="45-54"/>
    <s v="Afternoon"/>
  </r>
  <r>
    <n v="6369"/>
    <s v="Jessica"/>
    <x v="234"/>
    <d v="2024-11-27T00:00:00"/>
    <n v="13"/>
    <x v="0"/>
    <n v="103.87"/>
    <n v="414"/>
    <x v="4"/>
    <n v="4"/>
    <n v="6"/>
    <b v="1"/>
    <n v="271"/>
    <n v="51"/>
    <s v="India"/>
    <s v="PayPal"/>
    <s v="German"/>
    <n v="8"/>
    <x v="5"/>
    <b v="0"/>
    <s v="Active"/>
    <n v="1546"/>
    <s v="Desktop"/>
    <s v="25-34"/>
    <s v="Evening"/>
  </r>
  <r>
    <n v="5721"/>
    <s v="Jordan"/>
    <x v="176"/>
    <d v="2024-12-12T00:00:00"/>
    <n v="18"/>
    <x v="2"/>
    <n v="287.82"/>
    <n v="415"/>
    <x v="3"/>
    <n v="2"/>
    <n v="1"/>
    <b v="0"/>
    <n v="958"/>
    <n v="192"/>
    <s v="USA"/>
    <s v="Credit Card"/>
    <s v="German"/>
    <n v="22"/>
    <x v="14"/>
    <b v="1"/>
    <s v="Active"/>
    <n v="1955"/>
    <s v="Tablet"/>
    <s v="35-44"/>
    <s v="Afternoon"/>
  </r>
  <r>
    <n v="4204"/>
    <s v="Scott"/>
    <x v="196"/>
    <d v="2024-12-14T00:00:00"/>
    <n v="13"/>
    <x v="1"/>
    <n v="155.87"/>
    <n v="494"/>
    <x v="4"/>
    <n v="5"/>
    <n v="6"/>
    <b v="1"/>
    <n v="202"/>
    <n v="163"/>
    <s v="UK"/>
    <s v="Debit Card"/>
    <s v="Spanish"/>
    <n v="61"/>
    <x v="1"/>
    <b v="1"/>
    <s v="Active"/>
    <n v="4889"/>
    <s v="Tablet"/>
    <s v="35-44"/>
    <s v="Morning"/>
  </r>
  <r>
    <n v="5666"/>
    <s v="Christopher"/>
    <x v="235"/>
    <d v="2024-11-20T00:00:00"/>
    <n v="18"/>
    <x v="0"/>
    <n v="143.82"/>
    <n v="109"/>
    <x v="1"/>
    <n v="4"/>
    <n v="4"/>
    <b v="1"/>
    <n v="899"/>
    <n v="11"/>
    <s v="UK"/>
    <s v="Credit Card"/>
    <s v="German"/>
    <n v="63"/>
    <x v="5"/>
    <b v="0"/>
    <s v="Active"/>
    <n v="1185"/>
    <s v="Laptop"/>
    <s v="18-24"/>
    <s v="Late Night"/>
  </r>
  <r>
    <n v="5943"/>
    <s v="Victoria"/>
    <x v="81"/>
    <d v="2024-12-07T00:00:00"/>
    <n v="11"/>
    <x v="0"/>
    <n v="87.89"/>
    <n v="200"/>
    <x v="6"/>
    <n v="1"/>
    <n v="2"/>
    <b v="0"/>
    <n v="465"/>
    <n v="35"/>
    <s v="India"/>
    <s v="Cryptocurrency"/>
    <s v="Mandarin"/>
    <n v="29"/>
    <x v="9"/>
    <b v="1"/>
    <s v="Active"/>
    <n v="3040"/>
    <s v="Desktop"/>
    <s v="55+"/>
    <s v="Evening"/>
  </r>
  <r>
    <n v="3202"/>
    <s v="Mary"/>
    <x v="156"/>
    <d v="2024-12-04T00:00:00"/>
    <n v="9"/>
    <x v="1"/>
    <n v="107.91"/>
    <n v="134"/>
    <x v="2"/>
    <n v="4"/>
    <n v="1"/>
    <b v="1"/>
    <n v="459"/>
    <n v="105"/>
    <s v="UK"/>
    <s v="Cryptocurrency"/>
    <s v="German"/>
    <n v="3"/>
    <x v="4"/>
    <b v="1"/>
    <s v="Active"/>
    <n v="4729"/>
    <s v="Smartphone"/>
    <s v="45-54"/>
    <s v="Afternoon"/>
  </r>
  <r>
    <n v="4512"/>
    <s v="Jacob"/>
    <x v="236"/>
    <d v="2024-11-30T00:00:00"/>
    <n v="21"/>
    <x v="1"/>
    <n v="251.79"/>
    <n v="250"/>
    <x v="3"/>
    <n v="5"/>
    <n v="2"/>
    <b v="0"/>
    <n v="611"/>
    <n v="170"/>
    <s v="UK"/>
    <s v="Credit Card"/>
    <s v="English"/>
    <n v="71"/>
    <x v="12"/>
    <b v="0"/>
    <s v="Active"/>
    <n v="4193"/>
    <s v="Smartphone"/>
    <s v="25-34"/>
    <s v="Evening"/>
  </r>
  <r>
    <n v="2075"/>
    <s v="Ann"/>
    <x v="237"/>
    <d v="2024-12-09T00:00:00"/>
    <n v="1"/>
    <x v="0"/>
    <n v="7.99"/>
    <n v="305"/>
    <x v="1"/>
    <n v="2"/>
    <n v="3"/>
    <b v="1"/>
    <n v="49"/>
    <n v="146"/>
    <s v="USA"/>
    <s v="Debit Card"/>
    <s v="Mandarin"/>
    <n v="48"/>
    <x v="3"/>
    <b v="0"/>
    <s v="Active"/>
    <n v="4626"/>
    <s v="Smart TV"/>
    <s v="55+"/>
    <s v="Morning"/>
  </r>
  <r>
    <n v="4057"/>
    <s v="Rachel"/>
    <x v="238"/>
    <d v="2024-11-28T00:00:00"/>
    <n v="6"/>
    <x v="2"/>
    <n v="95.94"/>
    <n v="256"/>
    <x v="5"/>
    <n v="5"/>
    <n v="3"/>
    <b v="0"/>
    <n v="929"/>
    <n v="89"/>
    <s v="Canada"/>
    <s v="PayPal"/>
    <s v="Spanish"/>
    <n v="89"/>
    <x v="0"/>
    <b v="0"/>
    <s v="Active"/>
    <n v="60"/>
    <s v="Smartphone"/>
    <s v="55+"/>
    <s v="Morning"/>
  </r>
  <r>
    <n v="5537"/>
    <s v="Justin"/>
    <x v="194"/>
    <d v="2024-11-19T00:00:00"/>
    <n v="2"/>
    <x v="1"/>
    <n v="23.98"/>
    <n v="214"/>
    <x v="3"/>
    <n v="1"/>
    <n v="3"/>
    <b v="0"/>
    <n v="39"/>
    <n v="89"/>
    <s v="Canada"/>
    <s v="Debit Card"/>
    <s v="Hindi"/>
    <n v="37"/>
    <x v="17"/>
    <b v="1"/>
    <s v="Active"/>
    <n v="2597"/>
    <s v="Tablet"/>
    <s v="45-54"/>
    <s v="Morning"/>
  </r>
  <r>
    <n v="9520"/>
    <s v="Tina"/>
    <x v="239"/>
    <d v="2024-12-01T00:00:00"/>
    <n v="15"/>
    <x v="1"/>
    <n v="179.85"/>
    <n v="272"/>
    <x v="6"/>
    <n v="1"/>
    <n v="2"/>
    <b v="0"/>
    <n v="520"/>
    <n v="170"/>
    <s v="Germany"/>
    <s v="PayPal"/>
    <s v="German"/>
    <n v="100"/>
    <x v="19"/>
    <b v="0"/>
    <s v="Active"/>
    <n v="260"/>
    <s v="Tablet"/>
    <s v="55+"/>
    <s v="Morning"/>
  </r>
  <r>
    <n v="1081"/>
    <s v="Vincent"/>
    <x v="240"/>
    <d v="2024-11-29T00:00:00"/>
    <n v="4"/>
    <x v="2"/>
    <n v="63.96"/>
    <n v="144"/>
    <x v="1"/>
    <n v="3"/>
    <n v="4"/>
    <b v="0"/>
    <n v="501"/>
    <n v="64"/>
    <s v="Canada"/>
    <s v="Debit Card"/>
    <s v="English"/>
    <n v="98"/>
    <x v="0"/>
    <b v="0"/>
    <s v="Active"/>
    <n v="1544"/>
    <s v="Tablet"/>
    <s v="35-44"/>
    <s v="Late Night"/>
  </r>
  <r>
    <n v="7621"/>
    <s v="Tina"/>
    <x v="69"/>
    <d v="2024-12-06T00:00:00"/>
    <n v="15"/>
    <x v="0"/>
    <n v="119.85000000000001"/>
    <n v="381"/>
    <x v="1"/>
    <n v="5"/>
    <n v="6"/>
    <b v="0"/>
    <n v="593"/>
    <n v="46"/>
    <s v="Australia"/>
    <s v="Debit Card"/>
    <s v="English"/>
    <n v="10"/>
    <x v="3"/>
    <b v="1"/>
    <s v="Active"/>
    <n v="4528"/>
    <s v="Tablet"/>
    <s v="55+"/>
    <s v="Evening"/>
  </r>
  <r>
    <n v="4558"/>
    <s v="Leah"/>
    <x v="225"/>
    <d v="2024-11-20T00:00:00"/>
    <n v="22"/>
    <x v="1"/>
    <n v="263.78000000000003"/>
    <n v="292"/>
    <x v="1"/>
    <n v="4"/>
    <n v="2"/>
    <b v="1"/>
    <n v="109"/>
    <n v="68"/>
    <s v="Germany"/>
    <s v="Credit Card"/>
    <s v="English"/>
    <n v="95"/>
    <x v="5"/>
    <b v="0"/>
    <s v="Active"/>
    <n v="1127"/>
    <s v="Laptop"/>
    <s v="55+"/>
    <s v="Evening"/>
  </r>
  <r>
    <n v="6628"/>
    <s v="Richard"/>
    <x v="10"/>
    <d v="2024-12-15T00:00:00"/>
    <n v="20"/>
    <x v="1"/>
    <n v="239.8"/>
    <n v="358"/>
    <x v="6"/>
    <n v="4"/>
    <n v="3"/>
    <b v="0"/>
    <n v="472"/>
    <n v="65"/>
    <s v="India"/>
    <s v="Debit Card"/>
    <s v="Spanish"/>
    <n v="92"/>
    <x v="1"/>
    <b v="0"/>
    <s v="Active"/>
    <n v="4542"/>
    <s v="Smartphone"/>
    <s v="45-54"/>
    <s v="Evening"/>
  </r>
  <r>
    <n v="7643"/>
    <s v="Cindy"/>
    <x v="241"/>
    <d v="2024-12-03T00:00:00"/>
    <n v="4"/>
    <x v="2"/>
    <n v="63.96"/>
    <n v="426"/>
    <x v="2"/>
    <n v="1"/>
    <n v="6"/>
    <b v="1"/>
    <n v="229"/>
    <n v="120"/>
    <s v="USA"/>
    <s v="PayPal"/>
    <s v="French"/>
    <n v="38"/>
    <x v="0"/>
    <b v="1"/>
    <s v="Active"/>
    <n v="1436"/>
    <s v="Smartphone"/>
    <s v="55+"/>
    <s v="Morning"/>
  </r>
  <r>
    <n v="4709"/>
    <s v="Gary"/>
    <x v="23"/>
    <d v="2024-11-24T00:00:00"/>
    <n v="14"/>
    <x v="1"/>
    <n v="167.86"/>
    <n v="474"/>
    <x v="5"/>
    <n v="5"/>
    <n v="1"/>
    <b v="0"/>
    <n v="487"/>
    <n v="107"/>
    <s v="Australia"/>
    <s v="Debit Card"/>
    <s v="German"/>
    <n v="66"/>
    <x v="1"/>
    <b v="0"/>
    <s v="Active"/>
    <n v="4438"/>
    <s v="Desktop"/>
    <s v="45-54"/>
    <s v="Late Night"/>
  </r>
  <r>
    <n v="8408"/>
    <s v="Emily"/>
    <x v="242"/>
    <d v="2024-12-12T00:00:00"/>
    <n v="16"/>
    <x v="0"/>
    <n v="127.84"/>
    <n v="286"/>
    <x v="3"/>
    <n v="2"/>
    <n v="5"/>
    <b v="1"/>
    <n v="543"/>
    <n v="16"/>
    <s v="USA"/>
    <s v="Credit Card"/>
    <s v="Mandarin"/>
    <n v="8"/>
    <x v="4"/>
    <b v="1"/>
    <s v="Active"/>
    <n v="3130"/>
    <s v="Smartphone"/>
    <s v="35-44"/>
    <s v="Afternoon"/>
  </r>
  <r>
    <n v="3530"/>
    <s v="Lindsey"/>
    <x v="243"/>
    <d v="2024-12-06T00:00:00"/>
    <n v="1"/>
    <x v="2"/>
    <n v="15.99"/>
    <n v="498"/>
    <x v="1"/>
    <n v="5"/>
    <n v="6"/>
    <b v="0"/>
    <n v="105"/>
    <n v="35"/>
    <s v="India"/>
    <s v="Debit Card"/>
    <s v="English"/>
    <n v="6"/>
    <x v="12"/>
    <b v="1"/>
    <s v="Active"/>
    <n v="3379"/>
    <s v="Desktop"/>
    <s v="25-34"/>
    <s v="Late Night"/>
  </r>
  <r>
    <n v="3779"/>
    <s v="Brandon"/>
    <x v="229"/>
    <d v="2024-12-15T00:00:00"/>
    <n v="5"/>
    <x v="1"/>
    <n v="59.95"/>
    <n v="32"/>
    <x v="1"/>
    <n v="2"/>
    <n v="4"/>
    <b v="0"/>
    <n v="334"/>
    <n v="151"/>
    <s v="UK"/>
    <s v="Cryptocurrency"/>
    <s v="Spanish"/>
    <n v="88"/>
    <x v="15"/>
    <b v="0"/>
    <s v="Active"/>
    <n v="3696"/>
    <s v="Tablet"/>
    <s v="25-34"/>
    <s v="Evening"/>
  </r>
  <r>
    <n v="8564"/>
    <s v="Lynn"/>
    <x v="244"/>
    <d v="2024-12-01T00:00:00"/>
    <n v="19"/>
    <x v="0"/>
    <n v="151.81"/>
    <n v="84"/>
    <x v="6"/>
    <n v="1"/>
    <n v="2"/>
    <b v="1"/>
    <n v="871"/>
    <n v="187"/>
    <s v="USA"/>
    <s v="Debit Card"/>
    <s v="Mandarin"/>
    <n v="96"/>
    <x v="6"/>
    <b v="1"/>
    <s v="Active"/>
    <n v="2416"/>
    <s v="Smartphone"/>
    <s v="45-54"/>
    <s v="Late Night"/>
  </r>
  <r>
    <n v="8731"/>
    <s v="Jonathan"/>
    <x v="74"/>
    <d v="2024-12-02T00:00:00"/>
    <n v="11"/>
    <x v="2"/>
    <n v="175.89000000000001"/>
    <n v="210"/>
    <x v="6"/>
    <n v="5"/>
    <n v="5"/>
    <b v="0"/>
    <n v="206"/>
    <n v="194"/>
    <s v="Canada"/>
    <s v="PayPal"/>
    <s v="Hindi"/>
    <n v="62"/>
    <x v="12"/>
    <b v="0"/>
    <s v="Active"/>
    <n v="2856"/>
    <s v="Smartphone"/>
    <s v="45-54"/>
    <s v="Evening"/>
  </r>
  <r>
    <n v="5000"/>
    <s v="Natalie"/>
    <x v="245"/>
    <d v="2024-11-24T00:00:00"/>
    <n v="21"/>
    <x v="2"/>
    <n v="335.79"/>
    <n v="231"/>
    <x v="4"/>
    <n v="3"/>
    <n v="5"/>
    <b v="1"/>
    <n v="701"/>
    <n v="173"/>
    <s v="India"/>
    <s v="Credit Card"/>
    <s v="German"/>
    <n v="65"/>
    <x v="15"/>
    <b v="1"/>
    <s v="Active"/>
    <n v="4177"/>
    <s v="Smartphone"/>
    <s v="18-24"/>
    <s v="Morning"/>
  </r>
  <r>
    <n v="3882"/>
    <s v="Michelle"/>
    <x v="129"/>
    <d v="2024-12-15T00:00:00"/>
    <n v="0"/>
    <x v="2"/>
    <n v="0"/>
    <n v="246"/>
    <x v="1"/>
    <n v="3"/>
    <n v="3"/>
    <b v="0"/>
    <n v="505"/>
    <n v="129"/>
    <s v="Canada"/>
    <s v="Credit Card"/>
    <s v="English"/>
    <n v="82"/>
    <x v="11"/>
    <b v="0"/>
    <s v="Active"/>
    <n v="1912"/>
    <s v="Laptop"/>
    <s v="18-24"/>
    <s v="Evening"/>
  </r>
  <r>
    <n v="4551"/>
    <s v="Gabriel"/>
    <x v="246"/>
    <d v="2024-11-19T00:00:00"/>
    <n v="10"/>
    <x v="1"/>
    <n v="119.9"/>
    <n v="174"/>
    <x v="6"/>
    <n v="1"/>
    <n v="6"/>
    <b v="1"/>
    <n v="239"/>
    <n v="175"/>
    <s v="USA"/>
    <s v="Credit Card"/>
    <s v="English"/>
    <n v="65"/>
    <x v="4"/>
    <b v="0"/>
    <s v="Active"/>
    <n v="2388"/>
    <s v="Tablet"/>
    <s v="18-24"/>
    <s v="Morning"/>
  </r>
  <r>
    <n v="7970"/>
    <s v="Scott"/>
    <x v="247"/>
    <d v="2024-11-19T00:00:00"/>
    <n v="15"/>
    <x v="2"/>
    <n v="239.85"/>
    <n v="298"/>
    <x v="5"/>
    <n v="3"/>
    <n v="1"/>
    <b v="1"/>
    <n v="115"/>
    <n v="168"/>
    <s v="Germany"/>
    <s v="PayPal"/>
    <s v="Hindi"/>
    <n v="27"/>
    <x v="8"/>
    <b v="0"/>
    <s v="Active"/>
    <n v="4216"/>
    <s v="Smartphone"/>
    <s v="55+"/>
    <s v="Morning"/>
  </r>
  <r>
    <n v="2466"/>
    <s v="Heidi"/>
    <x v="248"/>
    <d v="2024-12-03T00:00:00"/>
    <n v="1"/>
    <x v="1"/>
    <n v="11.99"/>
    <n v="344"/>
    <x v="3"/>
    <n v="5"/>
    <n v="2"/>
    <b v="0"/>
    <n v="142"/>
    <n v="113"/>
    <s v="USA"/>
    <s v="PayPal"/>
    <s v="German"/>
    <n v="100"/>
    <x v="3"/>
    <b v="1"/>
    <s v="Active"/>
    <n v="599"/>
    <s v="Laptop"/>
    <s v="25-34"/>
    <s v="Afternoon"/>
  </r>
  <r>
    <n v="1303"/>
    <s v="Ashley"/>
    <x v="8"/>
    <d v="2024-12-04T00:00:00"/>
    <n v="17"/>
    <x v="1"/>
    <n v="203.83"/>
    <n v="264"/>
    <x v="6"/>
    <n v="2"/>
    <n v="1"/>
    <b v="1"/>
    <n v="744"/>
    <n v="33"/>
    <s v="Australia"/>
    <s v="Cryptocurrency"/>
    <s v="English"/>
    <n v="29"/>
    <x v="11"/>
    <b v="1"/>
    <s v="Active"/>
    <n v="804"/>
    <s v="Desktop"/>
    <s v="25-34"/>
    <s v="Evening"/>
  </r>
  <r>
    <n v="9832"/>
    <s v="Danielle"/>
    <x v="102"/>
    <d v="2024-11-21T00:00:00"/>
    <n v="23"/>
    <x v="0"/>
    <n v="183.77"/>
    <n v="380"/>
    <x v="1"/>
    <n v="2"/>
    <n v="5"/>
    <b v="1"/>
    <n v="820"/>
    <n v="17"/>
    <s v="Australia"/>
    <s v="PayPal"/>
    <s v="French"/>
    <n v="93"/>
    <x v="8"/>
    <b v="0"/>
    <s v="Active"/>
    <n v="4565"/>
    <s v="Laptop"/>
    <s v="25-34"/>
    <s v="Evening"/>
  </r>
  <r>
    <n v="3618"/>
    <s v="Paul"/>
    <x v="249"/>
    <d v="2024-12-03T00:00:00"/>
    <n v="10"/>
    <x v="1"/>
    <n v="119.9"/>
    <n v="160"/>
    <x v="0"/>
    <n v="2"/>
    <n v="1"/>
    <b v="0"/>
    <n v="940"/>
    <n v="50"/>
    <s v="Australia"/>
    <s v="Cryptocurrency"/>
    <s v="German"/>
    <n v="71"/>
    <x v="8"/>
    <b v="0"/>
    <s v="Active"/>
    <n v="1095"/>
    <s v="Desktop"/>
    <s v="55+"/>
    <s v="Late Night"/>
  </r>
  <r>
    <n v="7424"/>
    <s v="Lisa"/>
    <x v="250"/>
    <d v="2024-12-13T00:00:00"/>
    <n v="16"/>
    <x v="0"/>
    <n v="127.84"/>
    <n v="55"/>
    <x v="5"/>
    <n v="4"/>
    <n v="6"/>
    <b v="1"/>
    <n v="135"/>
    <n v="138"/>
    <s v="Germany"/>
    <s v="Credit Card"/>
    <s v="French"/>
    <n v="5"/>
    <x v="15"/>
    <b v="0"/>
    <s v="Active"/>
    <n v="1512"/>
    <s v="Tablet"/>
    <s v="45-54"/>
    <s v="Evening"/>
  </r>
  <r>
    <n v="8414"/>
    <s v="Lisa"/>
    <x v="251"/>
    <d v="2024-11-22T00:00:00"/>
    <n v="10"/>
    <x v="1"/>
    <n v="119.9"/>
    <n v="70"/>
    <x v="1"/>
    <n v="2"/>
    <n v="3"/>
    <b v="1"/>
    <n v="803"/>
    <n v="51"/>
    <s v="India"/>
    <s v="Cryptocurrency"/>
    <s v="Mandarin"/>
    <n v="24"/>
    <x v="20"/>
    <b v="0"/>
    <s v="Active"/>
    <n v="1422"/>
    <s v="Laptop"/>
    <s v="55+"/>
    <s v="Afternoon"/>
  </r>
  <r>
    <n v="5688"/>
    <s v="Ashley"/>
    <x v="252"/>
    <d v="2024-11-30T00:00:00"/>
    <n v="2"/>
    <x v="0"/>
    <n v="15.98"/>
    <n v="256"/>
    <x v="1"/>
    <n v="3"/>
    <n v="3"/>
    <b v="0"/>
    <n v="322"/>
    <n v="199"/>
    <s v="Canada"/>
    <s v="Credit Card"/>
    <s v="English"/>
    <n v="65"/>
    <x v="6"/>
    <b v="0"/>
    <s v="Active"/>
    <n v="147"/>
    <s v="Smartphone"/>
    <s v="45-54"/>
    <s v="Morning"/>
  </r>
  <r>
    <n v="2062"/>
    <s v="Darren"/>
    <x v="85"/>
    <d v="2024-11-24T00:00:00"/>
    <n v="5"/>
    <x v="2"/>
    <n v="79.95"/>
    <n v="436"/>
    <x v="3"/>
    <n v="5"/>
    <n v="6"/>
    <b v="1"/>
    <n v="424"/>
    <n v="111"/>
    <s v="France"/>
    <s v="Credit Card"/>
    <s v="German"/>
    <n v="64"/>
    <x v="17"/>
    <b v="1"/>
    <s v="Active"/>
    <n v="4317"/>
    <s v="Smart TV"/>
    <s v="45-54"/>
    <s v="Late Night"/>
  </r>
  <r>
    <n v="5031"/>
    <s v="Bethany"/>
    <x v="253"/>
    <d v="2024-11-27T00:00:00"/>
    <n v="15"/>
    <x v="0"/>
    <n v="119.85000000000001"/>
    <n v="394"/>
    <x v="0"/>
    <n v="2"/>
    <n v="6"/>
    <b v="1"/>
    <n v="60"/>
    <n v="159"/>
    <s v="UK"/>
    <s v="PayPal"/>
    <s v="German"/>
    <n v="51"/>
    <x v="8"/>
    <b v="1"/>
    <s v="Active"/>
    <n v="3197"/>
    <s v="Desktop"/>
    <s v="18-24"/>
    <s v="Late Night"/>
  </r>
  <r>
    <n v="1162"/>
    <s v="Steven"/>
    <x v="254"/>
    <d v="2024-11-29T00:00:00"/>
    <n v="22"/>
    <x v="2"/>
    <n v="351.78000000000003"/>
    <n v="131"/>
    <x v="2"/>
    <n v="3"/>
    <n v="3"/>
    <b v="0"/>
    <n v="865"/>
    <n v="8"/>
    <s v="India"/>
    <s v="Debit Card"/>
    <s v="Spanish"/>
    <n v="78"/>
    <x v="3"/>
    <b v="0"/>
    <s v="Active"/>
    <n v="1413"/>
    <s v="Smart TV"/>
    <s v="45-54"/>
    <s v="Afternoon"/>
  </r>
  <r>
    <n v="6564"/>
    <s v="James"/>
    <x v="234"/>
    <d v="2024-12-07T00:00:00"/>
    <n v="13"/>
    <x v="1"/>
    <n v="155.87"/>
    <n v="98"/>
    <x v="1"/>
    <n v="5"/>
    <n v="2"/>
    <b v="1"/>
    <n v="526"/>
    <n v="144"/>
    <s v="USA"/>
    <s v="Debit Card"/>
    <s v="English"/>
    <n v="10"/>
    <x v="12"/>
    <b v="1"/>
    <s v="Active"/>
    <n v="747"/>
    <s v="Laptop"/>
    <s v="25-34"/>
    <s v="Afternoon"/>
  </r>
  <r>
    <n v="9298"/>
    <s v="Christine"/>
    <x v="224"/>
    <d v="2024-12-04T00:00:00"/>
    <n v="6"/>
    <x v="1"/>
    <n v="71.94"/>
    <n v="276"/>
    <x v="5"/>
    <n v="5"/>
    <n v="4"/>
    <b v="0"/>
    <n v="389"/>
    <n v="177"/>
    <s v="France"/>
    <s v="PayPal"/>
    <s v="English"/>
    <n v="19"/>
    <x v="5"/>
    <b v="0"/>
    <s v="Active"/>
    <n v="1099"/>
    <s v="Tablet"/>
    <s v="55+"/>
    <s v="Evening"/>
  </r>
  <r>
    <n v="4216"/>
    <s v="Beth"/>
    <x v="255"/>
    <d v="2024-11-19T00:00:00"/>
    <n v="8"/>
    <x v="1"/>
    <n v="95.92"/>
    <n v="251"/>
    <x v="0"/>
    <n v="3"/>
    <n v="3"/>
    <b v="0"/>
    <n v="922"/>
    <n v="106"/>
    <s v="Australia"/>
    <s v="Debit Card"/>
    <s v="Hindi"/>
    <n v="56"/>
    <x v="5"/>
    <b v="1"/>
    <s v="Active"/>
    <n v="585"/>
    <s v="Smartphone"/>
    <s v="25-34"/>
    <s v="Late Night"/>
  </r>
  <r>
    <n v="3677"/>
    <s v="Rebecca"/>
    <x v="256"/>
    <d v="2024-11-29T00:00:00"/>
    <n v="20"/>
    <x v="0"/>
    <n v="159.80000000000001"/>
    <n v="233"/>
    <x v="2"/>
    <n v="4"/>
    <n v="2"/>
    <b v="1"/>
    <n v="485"/>
    <n v="37"/>
    <s v="Canada"/>
    <s v="PayPal"/>
    <s v="Mandarin"/>
    <n v="47"/>
    <x v="15"/>
    <b v="1"/>
    <s v="Active"/>
    <n v="615"/>
    <s v="Smartphone"/>
    <s v="25-34"/>
    <s v="Afternoon"/>
  </r>
  <r>
    <n v="8453"/>
    <s v="Eric"/>
    <x v="257"/>
    <d v="2024-11-27T00:00:00"/>
    <n v="6"/>
    <x v="1"/>
    <n v="71.94"/>
    <n v="136"/>
    <x v="6"/>
    <n v="2"/>
    <n v="5"/>
    <b v="1"/>
    <n v="112"/>
    <n v="181"/>
    <s v="India"/>
    <s v="Cryptocurrency"/>
    <s v="Hindi"/>
    <n v="15"/>
    <x v="10"/>
    <b v="0"/>
    <s v="Active"/>
    <n v="2634"/>
    <s v="Laptop"/>
    <s v="18-24"/>
    <s v="Morning"/>
  </r>
  <r>
    <n v="6231"/>
    <s v="Nicole"/>
    <x v="258"/>
    <d v="2024-12-07T00:00:00"/>
    <n v="22"/>
    <x v="2"/>
    <n v="351.78000000000003"/>
    <n v="248"/>
    <x v="4"/>
    <n v="1"/>
    <n v="6"/>
    <b v="0"/>
    <n v="181"/>
    <n v="13"/>
    <s v="France"/>
    <s v="Credit Card"/>
    <s v="Spanish"/>
    <n v="43"/>
    <x v="11"/>
    <b v="1"/>
    <s v="Active"/>
    <n v="136"/>
    <s v="Laptop"/>
    <s v="45-54"/>
    <s v="Late Night"/>
  </r>
  <r>
    <n v="1481"/>
    <s v="Mary"/>
    <x v="128"/>
    <d v="2024-12-01T00:00:00"/>
    <n v="21"/>
    <x v="0"/>
    <n v="167.79"/>
    <n v="180"/>
    <x v="3"/>
    <n v="3"/>
    <n v="4"/>
    <b v="0"/>
    <n v="936"/>
    <n v="166"/>
    <s v="UK"/>
    <s v="Debit Card"/>
    <s v="English"/>
    <n v="71"/>
    <x v="11"/>
    <b v="1"/>
    <s v="Active"/>
    <n v="4566"/>
    <s v="Smartphone"/>
    <s v="45-54"/>
    <s v="Morning"/>
  </r>
  <r>
    <n v="7400"/>
    <s v="Allen"/>
    <x v="259"/>
    <d v="2024-12-15T00:00:00"/>
    <n v="7"/>
    <x v="1"/>
    <n v="83.93"/>
    <n v="254"/>
    <x v="0"/>
    <n v="4"/>
    <n v="1"/>
    <b v="1"/>
    <n v="406"/>
    <n v="47"/>
    <s v="Australia"/>
    <s v="Debit Card"/>
    <s v="Mandarin"/>
    <n v="5"/>
    <x v="10"/>
    <b v="0"/>
    <s v="Active"/>
    <n v="3281"/>
    <s v="Desktop"/>
    <s v="45-54"/>
    <s v="Late Night"/>
  </r>
  <r>
    <n v="7447"/>
    <s v="Stephanie"/>
    <x v="260"/>
    <d v="2024-11-20T00:00:00"/>
    <n v="17"/>
    <x v="0"/>
    <n v="135.83000000000001"/>
    <n v="108"/>
    <x v="1"/>
    <n v="2"/>
    <n v="1"/>
    <b v="0"/>
    <n v="717"/>
    <n v="84"/>
    <s v="Germany"/>
    <s v="PayPal"/>
    <s v="Hindi"/>
    <n v="82"/>
    <x v="12"/>
    <b v="0"/>
    <s v="Active"/>
    <n v="1559"/>
    <s v="Smart TV"/>
    <s v="35-44"/>
    <s v="Late Night"/>
  </r>
  <r>
    <n v="4597"/>
    <s v="Sarah"/>
    <x v="261"/>
    <d v="2024-12-13T00:00:00"/>
    <n v="4"/>
    <x v="0"/>
    <n v="31.96"/>
    <n v="183"/>
    <x v="3"/>
    <n v="4"/>
    <n v="5"/>
    <b v="0"/>
    <n v="833"/>
    <n v="154"/>
    <s v="France"/>
    <s v="PayPal"/>
    <s v="German"/>
    <n v="46"/>
    <x v="12"/>
    <b v="0"/>
    <s v="Active"/>
    <n v="3113"/>
    <s v="Tablet"/>
    <s v="35-44"/>
    <s v="Evening"/>
  </r>
  <r>
    <n v="3173"/>
    <s v="Aaron"/>
    <x v="262"/>
    <d v="2024-12-09T00:00:00"/>
    <n v="2"/>
    <x v="0"/>
    <n v="15.98"/>
    <n v="53"/>
    <x v="2"/>
    <n v="2"/>
    <n v="4"/>
    <b v="1"/>
    <n v="304"/>
    <n v="49"/>
    <s v="France"/>
    <s v="Cryptocurrency"/>
    <s v="English"/>
    <n v="57"/>
    <x v="5"/>
    <b v="0"/>
    <s v="Active"/>
    <n v="3836"/>
    <s v="Desktop"/>
    <s v="25-34"/>
    <s v="Evening"/>
  </r>
  <r>
    <n v="9514"/>
    <s v="Veronica"/>
    <x v="4"/>
    <d v="2024-12-10T00:00:00"/>
    <n v="18"/>
    <x v="0"/>
    <n v="143.82"/>
    <n v="120"/>
    <x v="4"/>
    <n v="3"/>
    <n v="3"/>
    <b v="1"/>
    <n v="802"/>
    <n v="31"/>
    <s v="UK"/>
    <s v="Debit Card"/>
    <s v="Hindi"/>
    <n v="16"/>
    <x v="1"/>
    <b v="1"/>
    <s v="Active"/>
    <n v="1522"/>
    <s v="Laptop"/>
    <s v="25-34"/>
    <s v="Evening"/>
  </r>
  <r>
    <n v="4985"/>
    <s v="Michael"/>
    <x v="263"/>
    <d v="2024-12-01T00:00:00"/>
    <n v="15"/>
    <x v="0"/>
    <n v="119.85000000000001"/>
    <n v="118"/>
    <x v="2"/>
    <n v="5"/>
    <n v="4"/>
    <b v="0"/>
    <n v="522"/>
    <n v="160"/>
    <s v="UK"/>
    <s v="Cryptocurrency"/>
    <s v="Mandarin"/>
    <n v="94"/>
    <x v="13"/>
    <b v="1"/>
    <s v="Active"/>
    <n v="1756"/>
    <s v="Desktop"/>
    <s v="18-24"/>
    <s v="Late Night"/>
  </r>
  <r>
    <n v="4486"/>
    <s v="Craig"/>
    <x v="264"/>
    <d v="2024-12-13T00:00:00"/>
    <n v="11"/>
    <x v="0"/>
    <n v="87.89"/>
    <n v="113"/>
    <x v="1"/>
    <n v="1"/>
    <n v="1"/>
    <b v="0"/>
    <n v="177"/>
    <n v="3"/>
    <s v="Australia"/>
    <s v="Cryptocurrency"/>
    <s v="English"/>
    <n v="69"/>
    <x v="14"/>
    <b v="0"/>
    <s v="Active"/>
    <n v="1542"/>
    <s v="Desktop"/>
    <s v="55+"/>
    <s v="Late Night"/>
  </r>
  <r>
    <n v="8756"/>
    <s v="Jessica"/>
    <x v="265"/>
    <d v="2024-12-09T00:00:00"/>
    <n v="11"/>
    <x v="0"/>
    <n v="87.89"/>
    <n v="138"/>
    <x v="1"/>
    <n v="3"/>
    <n v="2"/>
    <b v="1"/>
    <n v="811"/>
    <n v="37"/>
    <s v="Australia"/>
    <s v="Debit Card"/>
    <s v="Mandarin"/>
    <n v="36"/>
    <x v="10"/>
    <b v="0"/>
    <s v="Active"/>
    <n v="77"/>
    <s v="Smartphone"/>
    <s v="35-44"/>
    <s v="Evening"/>
  </r>
  <r>
    <n v="9121"/>
    <s v="Denise"/>
    <x v="157"/>
    <d v="2024-12-12T00:00:00"/>
    <n v="17"/>
    <x v="0"/>
    <n v="135.83000000000001"/>
    <n v="178"/>
    <x v="4"/>
    <n v="1"/>
    <n v="4"/>
    <b v="0"/>
    <n v="239"/>
    <n v="126"/>
    <s v="Canada"/>
    <s v="Cryptocurrency"/>
    <s v="English"/>
    <n v="86"/>
    <x v="12"/>
    <b v="0"/>
    <s v="Active"/>
    <n v="4356"/>
    <s v="Laptop"/>
    <s v="45-54"/>
    <s v="Evening"/>
  </r>
  <r>
    <n v="6471"/>
    <s v="Jennifer"/>
    <x v="266"/>
    <d v="2024-11-25T00:00:00"/>
    <n v="10"/>
    <x v="0"/>
    <n v="79.900000000000006"/>
    <n v="105"/>
    <x v="5"/>
    <n v="4"/>
    <n v="3"/>
    <b v="1"/>
    <n v="49"/>
    <n v="71"/>
    <s v="Australia"/>
    <s v="Credit Card"/>
    <s v="French"/>
    <n v="8"/>
    <x v="10"/>
    <b v="0"/>
    <s v="Active"/>
    <n v="1989"/>
    <s v="Desktop"/>
    <s v="45-54"/>
    <s v="Afternoon"/>
  </r>
  <r>
    <n v="6601"/>
    <s v="Larry"/>
    <x v="195"/>
    <d v="2024-12-18T00:00:00"/>
    <n v="18"/>
    <x v="0"/>
    <n v="143.82"/>
    <n v="283"/>
    <x v="0"/>
    <n v="1"/>
    <n v="5"/>
    <b v="1"/>
    <n v="407"/>
    <n v="15"/>
    <s v="France"/>
    <s v="Debit Card"/>
    <s v="French"/>
    <n v="26"/>
    <x v="2"/>
    <b v="1"/>
    <s v="Active"/>
    <n v="906"/>
    <s v="Smart TV"/>
    <s v="55+"/>
    <s v="Afternoon"/>
  </r>
  <r>
    <n v="4340"/>
    <s v="Makayla"/>
    <x v="267"/>
    <d v="2024-12-07T00:00:00"/>
    <n v="20"/>
    <x v="2"/>
    <n v="319.8"/>
    <n v="154"/>
    <x v="2"/>
    <n v="4"/>
    <n v="5"/>
    <b v="1"/>
    <n v="804"/>
    <n v="106"/>
    <s v="UK"/>
    <s v="PayPal"/>
    <s v="English"/>
    <n v="60"/>
    <x v="14"/>
    <b v="0"/>
    <s v="Active"/>
    <n v="4108"/>
    <s v="Laptop"/>
    <s v="55+"/>
    <s v="Late Night"/>
  </r>
  <r>
    <n v="5112"/>
    <s v="Juan"/>
    <x v="268"/>
    <d v="2024-12-14T00:00:00"/>
    <n v="1"/>
    <x v="2"/>
    <n v="15.99"/>
    <n v="240"/>
    <x v="4"/>
    <n v="2"/>
    <n v="6"/>
    <b v="1"/>
    <n v="564"/>
    <n v="121"/>
    <s v="USA"/>
    <s v="Cryptocurrency"/>
    <s v="Hindi"/>
    <n v="40"/>
    <x v="17"/>
    <b v="1"/>
    <s v="Active"/>
    <n v="333"/>
    <s v="Smart TV"/>
    <s v="25-34"/>
    <s v="Evening"/>
  </r>
  <r>
    <n v="5700"/>
    <s v="Gregory"/>
    <x v="269"/>
    <d v="2024-12-09T00:00:00"/>
    <n v="18"/>
    <x v="1"/>
    <n v="215.82"/>
    <n v="29"/>
    <x v="2"/>
    <n v="1"/>
    <n v="5"/>
    <b v="1"/>
    <n v="625"/>
    <n v="165"/>
    <s v="France"/>
    <s v="Credit Card"/>
    <s v="Spanish"/>
    <n v="41"/>
    <x v="5"/>
    <b v="0"/>
    <s v="Active"/>
    <n v="3847"/>
    <s v="Laptop"/>
    <s v="18-24"/>
    <s v="Afternoon"/>
  </r>
  <r>
    <n v="8617"/>
    <s v="Ashley"/>
    <x v="270"/>
    <d v="2024-12-11T00:00:00"/>
    <n v="1"/>
    <x v="2"/>
    <n v="15.99"/>
    <n v="202"/>
    <x v="5"/>
    <n v="1"/>
    <n v="2"/>
    <b v="1"/>
    <n v="260"/>
    <n v="53"/>
    <s v="Australia"/>
    <s v="Cryptocurrency"/>
    <s v="English"/>
    <n v="13"/>
    <x v="12"/>
    <b v="1"/>
    <s v="Active"/>
    <n v="1423"/>
    <s v="Laptop"/>
    <s v="55+"/>
    <s v="Evening"/>
  </r>
  <r>
    <n v="9149"/>
    <s v="Angelica"/>
    <x v="231"/>
    <d v="2024-12-17T00:00:00"/>
    <n v="23"/>
    <x v="2"/>
    <n v="367.77"/>
    <n v="348"/>
    <x v="3"/>
    <n v="2"/>
    <n v="6"/>
    <b v="1"/>
    <n v="378"/>
    <n v="56"/>
    <s v="Australia"/>
    <s v="Debit Card"/>
    <s v="Spanish"/>
    <n v="9"/>
    <x v="6"/>
    <b v="1"/>
    <s v="Active"/>
    <n v="595"/>
    <s v="Smart TV"/>
    <s v="18-24"/>
    <s v="Afternoon"/>
  </r>
  <r>
    <n v="8651"/>
    <s v="Dawn"/>
    <x v="271"/>
    <d v="2024-11-26T00:00:00"/>
    <n v="3"/>
    <x v="2"/>
    <n v="47.97"/>
    <n v="380"/>
    <x v="6"/>
    <n v="5"/>
    <n v="5"/>
    <b v="0"/>
    <n v="334"/>
    <n v="175"/>
    <s v="France"/>
    <s v="Credit Card"/>
    <s v="German"/>
    <n v="69"/>
    <x v="2"/>
    <b v="0"/>
    <s v="Active"/>
    <n v="4445"/>
    <s v="Tablet"/>
    <s v="55+"/>
    <s v="Late Night"/>
  </r>
  <r>
    <n v="1495"/>
    <s v="Timothy"/>
    <x v="271"/>
    <d v="2024-11-22T00:00:00"/>
    <n v="3"/>
    <x v="2"/>
    <n v="47.97"/>
    <n v="254"/>
    <x v="6"/>
    <n v="3"/>
    <n v="2"/>
    <b v="0"/>
    <n v="544"/>
    <n v="89"/>
    <s v="France"/>
    <s v="Debit Card"/>
    <s v="English"/>
    <n v="97"/>
    <x v="2"/>
    <b v="0"/>
    <s v="Active"/>
    <n v="144"/>
    <s v="Smartphone"/>
    <s v="25-34"/>
    <s v="Late Night"/>
  </r>
  <r>
    <n v="7359"/>
    <s v="Kevin"/>
    <x v="272"/>
    <d v="2024-12-17T00:00:00"/>
    <n v="20"/>
    <x v="2"/>
    <n v="319.8"/>
    <n v="477"/>
    <x v="0"/>
    <n v="2"/>
    <n v="3"/>
    <b v="1"/>
    <n v="899"/>
    <n v="97"/>
    <s v="USA"/>
    <s v="Credit Card"/>
    <s v="English"/>
    <n v="42"/>
    <x v="9"/>
    <b v="1"/>
    <s v="Active"/>
    <n v="3428"/>
    <s v="Laptop"/>
    <s v="45-54"/>
    <s v="Morning"/>
  </r>
  <r>
    <n v="6525"/>
    <s v="Paul"/>
    <x v="273"/>
    <d v="2024-11-22T00:00:00"/>
    <n v="21"/>
    <x v="2"/>
    <n v="335.79"/>
    <n v="385"/>
    <x v="5"/>
    <n v="3"/>
    <n v="1"/>
    <b v="0"/>
    <n v="807"/>
    <n v="188"/>
    <s v="USA"/>
    <s v="Credit Card"/>
    <s v="French"/>
    <n v="3"/>
    <x v="15"/>
    <b v="0"/>
    <s v="Active"/>
    <n v="4919"/>
    <s v="Tablet"/>
    <s v="35-44"/>
    <s v="Afternoon"/>
  </r>
  <r>
    <n v="7207"/>
    <s v="Christina"/>
    <x v="271"/>
    <d v="2024-12-17T00:00:00"/>
    <n v="3"/>
    <x v="0"/>
    <n v="23.97"/>
    <n v="336"/>
    <x v="2"/>
    <n v="1"/>
    <n v="2"/>
    <b v="0"/>
    <n v="235"/>
    <n v="25"/>
    <s v="Australia"/>
    <s v="Credit Card"/>
    <s v="French"/>
    <n v="31"/>
    <x v="12"/>
    <b v="0"/>
    <s v="Active"/>
    <n v="4905"/>
    <s v="Laptop"/>
    <s v="35-44"/>
    <s v="Late Night"/>
  </r>
  <r>
    <n v="2361"/>
    <s v="Karen"/>
    <x v="267"/>
    <d v="2024-11-25T00:00:00"/>
    <n v="20"/>
    <x v="2"/>
    <n v="319.8"/>
    <n v="171"/>
    <x v="0"/>
    <n v="2"/>
    <n v="3"/>
    <b v="0"/>
    <n v="763"/>
    <n v="16"/>
    <s v="UK"/>
    <s v="PayPal"/>
    <s v="Spanish"/>
    <n v="17"/>
    <x v="15"/>
    <b v="1"/>
    <s v="Active"/>
    <n v="428"/>
    <s v="Tablet"/>
    <s v="25-34"/>
    <s v="Evening"/>
  </r>
  <r>
    <n v="8766"/>
    <s v="Anna"/>
    <x v="274"/>
    <d v="2024-11-27T00:00:00"/>
    <n v="13"/>
    <x v="2"/>
    <n v="207.87"/>
    <n v="33"/>
    <x v="3"/>
    <n v="1"/>
    <n v="4"/>
    <b v="1"/>
    <n v="475"/>
    <n v="151"/>
    <s v="Canada"/>
    <s v="Credit Card"/>
    <s v="French"/>
    <n v="16"/>
    <x v="9"/>
    <b v="1"/>
    <s v="Active"/>
    <n v="1634"/>
    <s v="Smart TV"/>
    <s v="45-54"/>
    <s v="Late Night"/>
  </r>
  <r>
    <n v="7236"/>
    <s v="Mary"/>
    <x v="275"/>
    <d v="2024-12-10T00:00:00"/>
    <n v="7"/>
    <x v="0"/>
    <n v="55.93"/>
    <n v="193"/>
    <x v="6"/>
    <n v="3"/>
    <n v="6"/>
    <b v="1"/>
    <n v="453"/>
    <n v="113"/>
    <s v="UK"/>
    <s v="Cryptocurrency"/>
    <s v="French"/>
    <n v="74"/>
    <x v="17"/>
    <b v="1"/>
    <s v="Active"/>
    <n v="4085"/>
    <s v="Laptop"/>
    <s v="25-34"/>
    <s v="Evening"/>
  </r>
  <r>
    <n v="8605"/>
    <s v="Jessica"/>
    <x v="260"/>
    <d v="2024-12-01T00:00:00"/>
    <n v="18"/>
    <x v="1"/>
    <n v="215.82"/>
    <n v="153"/>
    <x v="4"/>
    <n v="2"/>
    <n v="2"/>
    <b v="1"/>
    <n v="40"/>
    <n v="106"/>
    <s v="India"/>
    <s v="Debit Card"/>
    <s v="French"/>
    <n v="44"/>
    <x v="16"/>
    <b v="1"/>
    <s v="Active"/>
    <n v="2790"/>
    <s v="Tablet"/>
    <s v="25-34"/>
    <s v="Afternoon"/>
  </r>
  <r>
    <n v="1055"/>
    <s v="Taylor"/>
    <x v="128"/>
    <d v="2024-12-12T00:00:00"/>
    <n v="21"/>
    <x v="2"/>
    <n v="335.79"/>
    <n v="140"/>
    <x v="4"/>
    <n v="5"/>
    <n v="5"/>
    <b v="1"/>
    <n v="112"/>
    <n v="30"/>
    <s v="France"/>
    <s v="Credit Card"/>
    <s v="Hindi"/>
    <n v="60"/>
    <x v="2"/>
    <b v="1"/>
    <s v="Active"/>
    <n v="2440"/>
    <s v="Desktop"/>
    <s v="35-44"/>
    <s v="Evening"/>
  </r>
  <r>
    <n v="7986"/>
    <s v="Douglas"/>
    <x v="119"/>
    <d v="2024-12-10T00:00:00"/>
    <n v="22"/>
    <x v="2"/>
    <n v="351.78000000000003"/>
    <n v="196"/>
    <x v="5"/>
    <n v="2"/>
    <n v="2"/>
    <b v="1"/>
    <n v="102"/>
    <n v="66"/>
    <s v="Australia"/>
    <s v="Cryptocurrency"/>
    <s v="Spanish"/>
    <n v="11"/>
    <x v="4"/>
    <b v="0"/>
    <s v="Active"/>
    <n v="2741"/>
    <s v="Tablet"/>
    <s v="45-54"/>
    <s v="Afternoon"/>
  </r>
  <r>
    <n v="6170"/>
    <s v="Sarah"/>
    <x v="229"/>
    <d v="2024-11-22T00:00:00"/>
    <n v="5"/>
    <x v="2"/>
    <n v="79.95"/>
    <n v="298"/>
    <x v="4"/>
    <n v="5"/>
    <n v="1"/>
    <b v="1"/>
    <n v="943"/>
    <n v="187"/>
    <s v="UK"/>
    <s v="Cryptocurrency"/>
    <s v="Spanish"/>
    <n v="60"/>
    <x v="4"/>
    <b v="0"/>
    <s v="Active"/>
    <n v="4338"/>
    <s v="Desktop"/>
    <s v="45-54"/>
    <s v="Late Night"/>
  </r>
  <r>
    <n v="7172"/>
    <s v="Felicia"/>
    <x v="276"/>
    <d v="2024-11-22T00:00:00"/>
    <n v="16"/>
    <x v="1"/>
    <n v="191.84"/>
    <n v="477"/>
    <x v="3"/>
    <n v="5"/>
    <n v="4"/>
    <b v="0"/>
    <n v="426"/>
    <n v="137"/>
    <s v="France"/>
    <s v="Credit Card"/>
    <s v="Hindi"/>
    <n v="31"/>
    <x v="19"/>
    <b v="0"/>
    <s v="Active"/>
    <n v="2039"/>
    <s v="Smart TV"/>
    <s v="45-54"/>
    <s v="Morning"/>
  </r>
  <r>
    <n v="7408"/>
    <s v="Aaron"/>
    <x v="277"/>
    <d v="2024-11-24T00:00:00"/>
    <n v="22"/>
    <x v="2"/>
    <n v="351.78000000000003"/>
    <n v="308"/>
    <x v="6"/>
    <n v="1"/>
    <n v="2"/>
    <b v="1"/>
    <n v="202"/>
    <n v="12"/>
    <s v="India"/>
    <s v="Cryptocurrency"/>
    <s v="Spanish"/>
    <n v="21"/>
    <x v="6"/>
    <b v="0"/>
    <s v="Active"/>
    <n v="2097"/>
    <s v="Desktop"/>
    <s v="25-34"/>
    <s v="Morning"/>
  </r>
  <r>
    <n v="7274"/>
    <s v="Joseph"/>
    <x v="278"/>
    <d v="2024-12-06T00:00:00"/>
    <n v="19"/>
    <x v="1"/>
    <n v="227.81"/>
    <n v="193"/>
    <x v="3"/>
    <n v="4"/>
    <n v="4"/>
    <b v="0"/>
    <n v="364"/>
    <n v="181"/>
    <s v="France"/>
    <s v="Credit Card"/>
    <s v="English"/>
    <n v="51"/>
    <x v="9"/>
    <b v="0"/>
    <s v="Active"/>
    <n v="2384"/>
    <s v="Desktop"/>
    <s v="55+"/>
    <s v="Afternoon"/>
  </r>
  <r>
    <n v="6001"/>
    <s v="Vickie"/>
    <x v="279"/>
    <d v="2024-11-28T00:00:00"/>
    <n v="2"/>
    <x v="2"/>
    <n v="31.98"/>
    <n v="420"/>
    <x v="3"/>
    <n v="3"/>
    <n v="3"/>
    <b v="1"/>
    <n v="562"/>
    <n v="67"/>
    <s v="USA"/>
    <s v="Debit Card"/>
    <s v="English"/>
    <n v="2"/>
    <x v="7"/>
    <b v="1"/>
    <s v="Active"/>
    <n v="4159"/>
    <s v="Smart TV"/>
    <s v="45-54"/>
    <s v="Evening"/>
  </r>
  <r>
    <n v="9418"/>
    <s v="Stacey"/>
    <x v="280"/>
    <d v="2024-11-26T00:00:00"/>
    <n v="4"/>
    <x v="0"/>
    <n v="31.96"/>
    <n v="128"/>
    <x v="0"/>
    <n v="5"/>
    <n v="6"/>
    <b v="1"/>
    <n v="481"/>
    <n v="128"/>
    <s v="India"/>
    <s v="Credit Card"/>
    <s v="German"/>
    <n v="89"/>
    <x v="0"/>
    <b v="1"/>
    <s v="Active"/>
    <n v="2002"/>
    <s v="Tablet"/>
    <s v="18-24"/>
    <s v="Morning"/>
  </r>
  <r>
    <n v="9354"/>
    <s v="Timothy"/>
    <x v="247"/>
    <d v="2024-11-30T00:00:00"/>
    <n v="16"/>
    <x v="1"/>
    <n v="191.84"/>
    <n v="133"/>
    <x v="0"/>
    <n v="4"/>
    <n v="6"/>
    <b v="0"/>
    <n v="469"/>
    <n v="182"/>
    <s v="Australia"/>
    <s v="PayPal"/>
    <s v="English"/>
    <n v="85"/>
    <x v="16"/>
    <b v="0"/>
    <s v="Active"/>
    <n v="782"/>
    <s v="Tablet"/>
    <s v="35-44"/>
    <s v="Afternoon"/>
  </r>
  <r>
    <n v="8122"/>
    <s v="Alison"/>
    <x v="281"/>
    <d v="2024-11-29T00:00:00"/>
    <n v="2"/>
    <x v="2"/>
    <n v="31.98"/>
    <n v="413"/>
    <x v="2"/>
    <n v="5"/>
    <n v="2"/>
    <b v="0"/>
    <n v="708"/>
    <n v="4"/>
    <s v="UK"/>
    <s v="Credit Card"/>
    <s v="French"/>
    <n v="62"/>
    <x v="5"/>
    <b v="1"/>
    <s v="Active"/>
    <n v="4056"/>
    <s v="Smartphone"/>
    <s v="55+"/>
    <s v="Evening"/>
  </r>
  <r>
    <n v="1765"/>
    <s v="Harold"/>
    <x v="282"/>
    <d v="2024-11-24T00:00:00"/>
    <n v="2"/>
    <x v="1"/>
    <n v="23.98"/>
    <n v="28"/>
    <x v="3"/>
    <n v="4"/>
    <n v="1"/>
    <b v="1"/>
    <n v="990"/>
    <n v="88"/>
    <s v="UK"/>
    <s v="Credit Card"/>
    <s v="French"/>
    <n v="97"/>
    <x v="19"/>
    <b v="0"/>
    <s v="Active"/>
    <n v="1341"/>
    <s v="Tablet"/>
    <s v="35-44"/>
    <s v="Late Night"/>
  </r>
  <r>
    <n v="5352"/>
    <s v="Andrew"/>
    <x v="283"/>
    <d v="2024-12-14T00:00:00"/>
    <n v="10"/>
    <x v="2"/>
    <n v="159.9"/>
    <n v="453"/>
    <x v="1"/>
    <n v="5"/>
    <n v="3"/>
    <b v="1"/>
    <n v="236"/>
    <n v="121"/>
    <s v="USA"/>
    <s v="Cryptocurrency"/>
    <s v="Mandarin"/>
    <n v="1"/>
    <x v="4"/>
    <b v="0"/>
    <s v="Active"/>
    <n v="3028"/>
    <s v="Desktop"/>
    <s v="55+"/>
    <s v="Morning"/>
  </r>
  <r>
    <n v="7578"/>
    <s v="Stephanie"/>
    <x v="113"/>
    <d v="2024-12-03T00:00:00"/>
    <n v="14"/>
    <x v="1"/>
    <n v="167.86"/>
    <n v="186"/>
    <x v="1"/>
    <n v="2"/>
    <n v="5"/>
    <b v="1"/>
    <n v="784"/>
    <n v="29"/>
    <s v="USA"/>
    <s v="Debit Card"/>
    <s v="German"/>
    <n v="76"/>
    <x v="5"/>
    <b v="1"/>
    <s v="Active"/>
    <n v="4799"/>
    <s v="Desktop"/>
    <s v="18-24"/>
    <s v="Morning"/>
  </r>
  <r>
    <n v="8912"/>
    <s v="Scott"/>
    <x v="219"/>
    <d v="2024-11-21T00:00:00"/>
    <n v="2"/>
    <x v="2"/>
    <n v="31.98"/>
    <n v="287"/>
    <x v="6"/>
    <n v="3"/>
    <n v="6"/>
    <b v="0"/>
    <n v="714"/>
    <n v="3"/>
    <s v="India"/>
    <s v="Debit Card"/>
    <s v="Mandarin"/>
    <n v="45"/>
    <x v="5"/>
    <b v="1"/>
    <s v="Active"/>
    <n v="4556"/>
    <s v="Tablet"/>
    <s v="45-54"/>
    <s v="Morning"/>
  </r>
  <r>
    <n v="6641"/>
    <s v="Ashley"/>
    <x v="71"/>
    <d v="2024-12-08T00:00:00"/>
    <n v="4"/>
    <x v="0"/>
    <n v="31.96"/>
    <n v="45"/>
    <x v="4"/>
    <n v="4"/>
    <n v="3"/>
    <b v="0"/>
    <n v="420"/>
    <n v="87"/>
    <s v="UK"/>
    <s v="Cryptocurrency"/>
    <s v="Mandarin"/>
    <n v="41"/>
    <x v="0"/>
    <b v="1"/>
    <s v="Active"/>
    <n v="2965"/>
    <s v="Laptop"/>
    <s v="55+"/>
    <s v="Evening"/>
  </r>
  <r>
    <n v="9664"/>
    <s v="Rick"/>
    <x v="201"/>
    <d v="2024-11-22T00:00:00"/>
    <n v="16"/>
    <x v="1"/>
    <n v="191.84"/>
    <n v="463"/>
    <x v="5"/>
    <n v="5"/>
    <n v="4"/>
    <b v="0"/>
    <n v="961"/>
    <n v="9"/>
    <s v="UK"/>
    <s v="Cryptocurrency"/>
    <s v="Spanish"/>
    <n v="62"/>
    <x v="15"/>
    <b v="1"/>
    <s v="Active"/>
    <n v="3556"/>
    <s v="Laptop"/>
    <s v="18-24"/>
    <s v="Evening"/>
  </r>
  <r>
    <n v="9134"/>
    <s v="Stephanie"/>
    <x v="284"/>
    <d v="2024-11-19T00:00:00"/>
    <n v="21"/>
    <x v="2"/>
    <n v="335.79"/>
    <n v="241"/>
    <x v="2"/>
    <n v="1"/>
    <n v="5"/>
    <b v="1"/>
    <n v="775"/>
    <n v="194"/>
    <s v="France"/>
    <s v="Debit Card"/>
    <s v="Hindi"/>
    <n v="94"/>
    <x v="2"/>
    <b v="0"/>
    <s v="Active"/>
    <n v="2901"/>
    <s v="Laptop"/>
    <s v="55+"/>
    <s v="Morning"/>
  </r>
  <r>
    <n v="6663"/>
    <s v="Douglas"/>
    <x v="150"/>
    <d v="2024-12-07T00:00:00"/>
    <n v="6"/>
    <x v="0"/>
    <n v="47.94"/>
    <n v="11"/>
    <x v="3"/>
    <n v="4"/>
    <n v="1"/>
    <b v="1"/>
    <n v="773"/>
    <n v="139"/>
    <s v="Germany"/>
    <s v="Debit Card"/>
    <s v="German"/>
    <n v="45"/>
    <x v="13"/>
    <b v="0"/>
    <s v="Active"/>
    <n v="3520"/>
    <s v="Tablet"/>
    <s v="55+"/>
    <s v="Evening"/>
  </r>
  <r>
    <n v="9800"/>
    <s v="Troy"/>
    <x v="53"/>
    <d v="2024-12-05T00:00:00"/>
    <n v="23"/>
    <x v="2"/>
    <n v="367.77"/>
    <n v="123"/>
    <x v="4"/>
    <n v="1"/>
    <n v="1"/>
    <b v="1"/>
    <n v="841"/>
    <n v="45"/>
    <s v="UK"/>
    <s v="PayPal"/>
    <s v="Hindi"/>
    <n v="76"/>
    <x v="5"/>
    <b v="1"/>
    <s v="Active"/>
    <n v="3983"/>
    <s v="Smartphone"/>
    <s v="35-44"/>
    <s v="Late Night"/>
  </r>
  <r>
    <n v="2363"/>
    <s v="Cindy"/>
    <x v="285"/>
    <d v="2024-12-01T00:00:00"/>
    <n v="18"/>
    <x v="0"/>
    <n v="143.82"/>
    <n v="411"/>
    <x v="3"/>
    <n v="3"/>
    <n v="2"/>
    <b v="1"/>
    <n v="412"/>
    <n v="20"/>
    <s v="Australia"/>
    <s v="PayPal"/>
    <s v="Spanish"/>
    <n v="94"/>
    <x v="9"/>
    <b v="1"/>
    <s v="Active"/>
    <n v="4632"/>
    <s v="Smartphone"/>
    <s v="25-34"/>
    <s v="Evening"/>
  </r>
  <r>
    <n v="4875"/>
    <s v="Christopher"/>
    <x v="286"/>
    <d v="2024-11-23T00:00:00"/>
    <n v="7"/>
    <x v="0"/>
    <n v="55.93"/>
    <n v="469"/>
    <x v="5"/>
    <n v="2"/>
    <n v="1"/>
    <b v="0"/>
    <n v="160"/>
    <n v="79"/>
    <s v="Germany"/>
    <s v="Debit Card"/>
    <s v="French"/>
    <n v="57"/>
    <x v="6"/>
    <b v="1"/>
    <s v="Active"/>
    <n v="314"/>
    <s v="Smartphone"/>
    <s v="25-34"/>
    <s v="Late Night"/>
  </r>
  <r>
    <n v="8961"/>
    <s v="Nathan"/>
    <x v="276"/>
    <d v="2024-12-07T00:00:00"/>
    <n v="16"/>
    <x v="1"/>
    <n v="191.84"/>
    <n v="120"/>
    <x v="4"/>
    <n v="3"/>
    <n v="6"/>
    <b v="0"/>
    <n v="346"/>
    <n v="125"/>
    <s v="USA"/>
    <s v="Cryptocurrency"/>
    <s v="German"/>
    <n v="25"/>
    <x v="13"/>
    <b v="0"/>
    <s v="Active"/>
    <n v="4012"/>
    <s v="Desktop"/>
    <s v="25-34"/>
    <s v="Morning"/>
  </r>
  <r>
    <n v="1539"/>
    <s v="Linda"/>
    <x v="287"/>
    <d v="2024-11-29T00:00:00"/>
    <n v="3"/>
    <x v="2"/>
    <n v="47.97"/>
    <n v="348"/>
    <x v="1"/>
    <n v="1"/>
    <n v="5"/>
    <b v="1"/>
    <n v="266"/>
    <n v="94"/>
    <s v="Australia"/>
    <s v="Debit Card"/>
    <s v="English"/>
    <n v="82"/>
    <x v="5"/>
    <b v="1"/>
    <s v="Active"/>
    <n v="2356"/>
    <s v="Laptop"/>
    <s v="45-54"/>
    <s v="Morning"/>
  </r>
  <r>
    <n v="4037"/>
    <s v="Tina"/>
    <x v="288"/>
    <d v="2024-12-14T00:00:00"/>
    <n v="12"/>
    <x v="1"/>
    <n v="143.88"/>
    <n v="103"/>
    <x v="6"/>
    <n v="4"/>
    <n v="4"/>
    <b v="0"/>
    <n v="305"/>
    <n v="191"/>
    <s v="Canada"/>
    <s v="PayPal"/>
    <s v="French"/>
    <n v="98"/>
    <x v="9"/>
    <b v="1"/>
    <s v="Active"/>
    <n v="1824"/>
    <s v="Tablet"/>
    <s v="18-24"/>
    <s v="Afternoon"/>
  </r>
  <r>
    <n v="4239"/>
    <s v="Christopher"/>
    <x v="111"/>
    <d v="2024-11-23T00:00:00"/>
    <n v="0"/>
    <x v="0"/>
    <n v="0"/>
    <n v="470"/>
    <x v="5"/>
    <n v="2"/>
    <n v="3"/>
    <b v="0"/>
    <n v="89"/>
    <n v="135"/>
    <s v="India"/>
    <s v="Debit Card"/>
    <s v="Mandarin"/>
    <n v="45"/>
    <x v="6"/>
    <b v="0"/>
    <s v="Active"/>
    <n v="4236"/>
    <s v="Smartphone"/>
    <s v="18-24"/>
    <s v="Morning"/>
  </r>
  <r>
    <n v="4364"/>
    <s v="Victor"/>
    <x v="167"/>
    <d v="2024-12-01T00:00:00"/>
    <n v="1"/>
    <x v="0"/>
    <n v="7.99"/>
    <n v="241"/>
    <x v="6"/>
    <n v="3"/>
    <n v="6"/>
    <b v="0"/>
    <n v="905"/>
    <n v="127"/>
    <s v="India"/>
    <s v="PayPal"/>
    <s v="Spanish"/>
    <n v="93"/>
    <x v="1"/>
    <b v="0"/>
    <s v="Active"/>
    <n v="2102"/>
    <s v="Desktop"/>
    <s v="35-44"/>
    <s v="Morning"/>
  </r>
  <r>
    <n v="8946"/>
    <s v="Judy"/>
    <x v="15"/>
    <d v="2024-12-14T00:00:00"/>
    <n v="6"/>
    <x v="2"/>
    <n v="95.94"/>
    <n v="277"/>
    <x v="6"/>
    <n v="3"/>
    <n v="5"/>
    <b v="0"/>
    <n v="959"/>
    <n v="174"/>
    <s v="USA"/>
    <s v="PayPal"/>
    <s v="French"/>
    <n v="51"/>
    <x v="15"/>
    <b v="1"/>
    <s v="Active"/>
    <n v="1876"/>
    <s v="Smartphone"/>
    <s v="25-34"/>
    <s v="Late Night"/>
  </r>
  <r>
    <n v="5911"/>
    <s v="Stephanie"/>
    <x v="289"/>
    <d v="2024-12-10T00:00:00"/>
    <n v="11"/>
    <x v="0"/>
    <n v="87.89"/>
    <n v="158"/>
    <x v="6"/>
    <n v="3"/>
    <n v="1"/>
    <b v="1"/>
    <n v="426"/>
    <n v="7"/>
    <s v="France"/>
    <s v="Cryptocurrency"/>
    <s v="French"/>
    <n v="36"/>
    <x v="10"/>
    <b v="0"/>
    <s v="Active"/>
    <n v="242"/>
    <s v="Tablet"/>
    <s v="55+"/>
    <s v="Morning"/>
  </r>
  <r>
    <n v="8033"/>
    <s v="Rhonda"/>
    <x v="290"/>
    <d v="2024-11-28T00:00:00"/>
    <n v="10"/>
    <x v="2"/>
    <n v="159.9"/>
    <n v="23"/>
    <x v="6"/>
    <n v="1"/>
    <n v="1"/>
    <b v="0"/>
    <n v="585"/>
    <n v="97"/>
    <s v="Australia"/>
    <s v="Debit Card"/>
    <s v="Hindi"/>
    <n v="23"/>
    <x v="15"/>
    <b v="1"/>
    <s v="Active"/>
    <n v="4531"/>
    <s v="Tablet"/>
    <s v="25-34"/>
    <s v="Evening"/>
  </r>
  <r>
    <n v="6603"/>
    <s v="Amanda"/>
    <x v="27"/>
    <d v="2024-12-07T00:00:00"/>
    <n v="10"/>
    <x v="1"/>
    <n v="119.9"/>
    <n v="200"/>
    <x v="6"/>
    <n v="4"/>
    <n v="5"/>
    <b v="0"/>
    <n v="65"/>
    <n v="11"/>
    <s v="Australia"/>
    <s v="Cryptocurrency"/>
    <s v="French"/>
    <n v="30"/>
    <x v="7"/>
    <b v="1"/>
    <s v="Active"/>
    <n v="959"/>
    <s v="Desktop"/>
    <s v="25-34"/>
    <s v="Afternoon"/>
  </r>
  <r>
    <n v="9630"/>
    <s v="William"/>
    <x v="179"/>
    <d v="2024-11-26T00:00:00"/>
    <n v="17"/>
    <x v="0"/>
    <n v="135.83000000000001"/>
    <n v="264"/>
    <x v="1"/>
    <n v="5"/>
    <n v="6"/>
    <b v="0"/>
    <n v="367"/>
    <n v="163"/>
    <s v="Germany"/>
    <s v="Cryptocurrency"/>
    <s v="French"/>
    <n v="88"/>
    <x v="17"/>
    <b v="1"/>
    <s v="Active"/>
    <n v="2156"/>
    <s v="Laptop"/>
    <s v="45-54"/>
    <s v="Late Night"/>
  </r>
  <r>
    <n v="1691"/>
    <s v="Elizabeth"/>
    <x v="291"/>
    <d v="2024-12-07T00:00:00"/>
    <n v="15"/>
    <x v="1"/>
    <n v="179.85"/>
    <n v="309"/>
    <x v="2"/>
    <n v="4"/>
    <n v="4"/>
    <b v="0"/>
    <n v="891"/>
    <n v="93"/>
    <s v="Canada"/>
    <s v="Cryptocurrency"/>
    <s v="Spanish"/>
    <n v="65"/>
    <x v="1"/>
    <b v="1"/>
    <s v="Active"/>
    <n v="1442"/>
    <s v="Smart TV"/>
    <s v="55+"/>
    <s v="Morning"/>
  </r>
  <r>
    <n v="5590"/>
    <s v="Jennifer"/>
    <x v="292"/>
    <d v="2024-12-15T00:00:00"/>
    <n v="4"/>
    <x v="0"/>
    <n v="31.96"/>
    <n v="30"/>
    <x v="3"/>
    <n v="2"/>
    <n v="6"/>
    <b v="0"/>
    <n v="468"/>
    <n v="196"/>
    <s v="UK"/>
    <s v="PayPal"/>
    <s v="Hindi"/>
    <n v="52"/>
    <x v="6"/>
    <b v="0"/>
    <s v="Active"/>
    <n v="4586"/>
    <s v="Smartphone"/>
    <s v="18-24"/>
    <s v="Afternoon"/>
  </r>
  <r>
    <n v="8645"/>
    <s v="Daniel"/>
    <x v="293"/>
    <d v="2024-11-29T00:00:00"/>
    <n v="7"/>
    <x v="1"/>
    <n v="83.93"/>
    <n v="289"/>
    <x v="2"/>
    <n v="4"/>
    <n v="3"/>
    <b v="1"/>
    <n v="999"/>
    <n v="22"/>
    <s v="USA"/>
    <s v="PayPal"/>
    <s v="Mandarin"/>
    <n v="50"/>
    <x v="5"/>
    <b v="1"/>
    <s v="Active"/>
    <n v="4170"/>
    <s v="Smart TV"/>
    <s v="55+"/>
    <s v="Late Night"/>
  </r>
  <r>
    <n v="7663"/>
    <s v="David"/>
    <x v="170"/>
    <d v="2024-11-28T00:00:00"/>
    <n v="6"/>
    <x v="0"/>
    <n v="47.94"/>
    <n v="432"/>
    <x v="3"/>
    <n v="5"/>
    <n v="4"/>
    <b v="1"/>
    <n v="263"/>
    <n v="55"/>
    <s v="France"/>
    <s v="Credit Card"/>
    <s v="English"/>
    <n v="22"/>
    <x v="17"/>
    <b v="1"/>
    <s v="Active"/>
    <n v="1294"/>
    <s v="Desktop"/>
    <s v="45-54"/>
    <s v="Morning"/>
  </r>
  <r>
    <n v="2647"/>
    <s v="John"/>
    <x v="294"/>
    <d v="2024-12-17T00:00:00"/>
    <n v="4"/>
    <x v="0"/>
    <n v="31.96"/>
    <n v="393"/>
    <x v="4"/>
    <n v="4"/>
    <n v="2"/>
    <b v="1"/>
    <n v="487"/>
    <n v="105"/>
    <s v="Canada"/>
    <s v="PayPal"/>
    <s v="French"/>
    <n v="99"/>
    <x v="15"/>
    <b v="0"/>
    <s v="Active"/>
    <n v="2460"/>
    <s v="Tablet"/>
    <s v="35-44"/>
    <s v="Morning"/>
  </r>
  <r>
    <n v="6539"/>
    <s v="Katherine"/>
    <x v="295"/>
    <d v="2024-12-01T00:00:00"/>
    <n v="7"/>
    <x v="1"/>
    <n v="83.93"/>
    <n v="203"/>
    <x v="4"/>
    <n v="1"/>
    <n v="3"/>
    <b v="0"/>
    <n v="961"/>
    <n v="41"/>
    <s v="Australia"/>
    <s v="Debit Card"/>
    <s v="German"/>
    <n v="76"/>
    <x v="18"/>
    <b v="1"/>
    <s v="Active"/>
    <n v="3276"/>
    <s v="Smart TV"/>
    <s v="55+"/>
    <s v="Late Night"/>
  </r>
  <r>
    <n v="3472"/>
    <s v="James"/>
    <x v="296"/>
    <d v="2024-11-23T00:00:00"/>
    <n v="14"/>
    <x v="0"/>
    <n v="111.86"/>
    <n v="43"/>
    <x v="5"/>
    <n v="4"/>
    <n v="1"/>
    <b v="0"/>
    <n v="973"/>
    <n v="7"/>
    <s v="UK"/>
    <s v="Credit Card"/>
    <s v="Hindi"/>
    <n v="76"/>
    <x v="13"/>
    <b v="1"/>
    <s v="Active"/>
    <n v="941"/>
    <s v="Smartphone"/>
    <s v="55+"/>
    <s v="Morning"/>
  </r>
  <r>
    <n v="4314"/>
    <s v="Alicia"/>
    <x v="297"/>
    <d v="2024-12-15T00:00:00"/>
    <n v="17"/>
    <x v="0"/>
    <n v="135.83000000000001"/>
    <n v="311"/>
    <x v="6"/>
    <n v="3"/>
    <n v="5"/>
    <b v="1"/>
    <n v="724"/>
    <n v="191"/>
    <s v="USA"/>
    <s v="PayPal"/>
    <s v="Hindi"/>
    <n v="55"/>
    <x v="9"/>
    <b v="1"/>
    <s v="Active"/>
    <n v="4062"/>
    <s v="Smart TV"/>
    <s v="35-44"/>
    <s v="Morning"/>
  </r>
  <r>
    <n v="6739"/>
    <s v="Richard"/>
    <x v="298"/>
    <d v="2024-12-01T00:00:00"/>
    <n v="4"/>
    <x v="1"/>
    <n v="47.96"/>
    <n v="23"/>
    <x v="3"/>
    <n v="5"/>
    <n v="3"/>
    <b v="0"/>
    <n v="725"/>
    <n v="168"/>
    <s v="USA"/>
    <s v="Debit Card"/>
    <s v="Hindi"/>
    <n v="25"/>
    <x v="10"/>
    <b v="1"/>
    <s v="Active"/>
    <n v="4322"/>
    <s v="Laptop"/>
    <s v="18-24"/>
    <s v="Late Night"/>
  </r>
  <r>
    <n v="6368"/>
    <s v="Robert"/>
    <x v="299"/>
    <d v="2024-12-14T00:00:00"/>
    <n v="15"/>
    <x v="1"/>
    <n v="179.85"/>
    <n v="370"/>
    <x v="5"/>
    <n v="3"/>
    <n v="4"/>
    <b v="1"/>
    <n v="973"/>
    <n v="152"/>
    <s v="Canada"/>
    <s v="Credit Card"/>
    <s v="Hindi"/>
    <n v="98"/>
    <x v="2"/>
    <b v="1"/>
    <s v="Active"/>
    <n v="1456"/>
    <s v="Tablet"/>
    <s v="45-54"/>
    <s v="Afternoon"/>
  </r>
  <r>
    <n v="7309"/>
    <s v="Emily"/>
    <x v="300"/>
    <d v="2024-11-19T00:00:00"/>
    <n v="4"/>
    <x v="2"/>
    <n v="63.96"/>
    <n v="343"/>
    <x v="3"/>
    <n v="2"/>
    <n v="2"/>
    <b v="0"/>
    <n v="830"/>
    <n v="172"/>
    <s v="Canada"/>
    <s v="Credit Card"/>
    <s v="German"/>
    <n v="99"/>
    <x v="11"/>
    <b v="0"/>
    <s v="Active"/>
    <n v="1281"/>
    <s v="Smart TV"/>
    <s v="45-54"/>
    <s v="Morning"/>
  </r>
  <r>
    <n v="3976"/>
    <s v="Catherine"/>
    <x v="301"/>
    <d v="2024-12-03T00:00:00"/>
    <n v="12"/>
    <x v="0"/>
    <n v="95.88"/>
    <n v="391"/>
    <x v="2"/>
    <n v="4"/>
    <n v="6"/>
    <b v="0"/>
    <n v="726"/>
    <n v="176"/>
    <s v="Canada"/>
    <s v="Debit Card"/>
    <s v="French"/>
    <n v="65"/>
    <x v="20"/>
    <b v="0"/>
    <s v="Active"/>
    <n v="1926"/>
    <s v="Laptop"/>
    <s v="45-54"/>
    <s v="Afternoon"/>
  </r>
  <r>
    <n v="7230"/>
    <s v="Jeffrey"/>
    <x v="302"/>
    <d v="2024-12-13T00:00:00"/>
    <n v="5"/>
    <x v="1"/>
    <n v="59.95"/>
    <n v="405"/>
    <x v="1"/>
    <n v="3"/>
    <n v="3"/>
    <b v="0"/>
    <n v="90"/>
    <n v="151"/>
    <s v="Canada"/>
    <s v="Debit Card"/>
    <s v="German"/>
    <n v="64"/>
    <x v="13"/>
    <b v="0"/>
    <s v="Active"/>
    <n v="1368"/>
    <s v="Smart TV"/>
    <s v="35-44"/>
    <s v="Late Night"/>
  </r>
  <r>
    <n v="8888"/>
    <s v="Eric"/>
    <x v="303"/>
    <d v="2024-12-13T00:00:00"/>
    <n v="7"/>
    <x v="2"/>
    <n v="111.93"/>
    <n v="14"/>
    <x v="4"/>
    <n v="5"/>
    <n v="1"/>
    <b v="0"/>
    <n v="617"/>
    <n v="128"/>
    <s v="India"/>
    <s v="Debit Card"/>
    <s v="French"/>
    <n v="31"/>
    <x v="17"/>
    <b v="0"/>
    <s v="Active"/>
    <n v="571"/>
    <s v="Smartphone"/>
    <s v="35-44"/>
    <s v="Evening"/>
  </r>
  <r>
    <n v="1194"/>
    <s v="Richard"/>
    <x v="76"/>
    <d v="2024-12-02T00:00:00"/>
    <n v="1"/>
    <x v="0"/>
    <n v="7.99"/>
    <n v="11"/>
    <x v="4"/>
    <n v="4"/>
    <n v="6"/>
    <b v="0"/>
    <n v="246"/>
    <n v="96"/>
    <s v="France"/>
    <s v="PayPal"/>
    <s v="Spanish"/>
    <n v="56"/>
    <x v="3"/>
    <b v="1"/>
    <s v="Active"/>
    <n v="3807"/>
    <s v="Laptop"/>
    <s v="55+"/>
    <s v="Morning"/>
  </r>
  <r>
    <n v="6983"/>
    <s v="Jennifer"/>
    <x v="304"/>
    <d v="2024-12-07T00:00:00"/>
    <n v="3"/>
    <x v="1"/>
    <n v="35.97"/>
    <n v="335"/>
    <x v="2"/>
    <n v="1"/>
    <n v="2"/>
    <b v="1"/>
    <n v="484"/>
    <n v="54"/>
    <s v="UK"/>
    <s v="PayPal"/>
    <s v="French"/>
    <n v="51"/>
    <x v="1"/>
    <b v="1"/>
    <s v="Active"/>
    <n v="3424"/>
    <s v="Smartphone"/>
    <s v="45-54"/>
    <s v="Evening"/>
  </r>
  <r>
    <n v="1413"/>
    <s v="Charles"/>
    <x v="305"/>
    <d v="2024-11-30T00:00:00"/>
    <n v="23"/>
    <x v="1"/>
    <n v="275.77"/>
    <n v="408"/>
    <x v="2"/>
    <n v="3"/>
    <n v="5"/>
    <b v="1"/>
    <n v="418"/>
    <n v="198"/>
    <s v="USA"/>
    <s v="PayPal"/>
    <s v="Spanish"/>
    <n v="0"/>
    <x v="8"/>
    <b v="0"/>
    <s v="Active"/>
    <n v="1428"/>
    <s v="Smartphone"/>
    <s v="18-24"/>
    <s v="Afternoon"/>
  </r>
  <r>
    <n v="9509"/>
    <s v="Samantha"/>
    <x v="240"/>
    <d v="2024-11-26T00:00:00"/>
    <n v="3"/>
    <x v="1"/>
    <n v="35.97"/>
    <n v="302"/>
    <x v="0"/>
    <n v="2"/>
    <n v="2"/>
    <b v="0"/>
    <n v="431"/>
    <n v="116"/>
    <s v="India"/>
    <s v="Debit Card"/>
    <s v="French"/>
    <n v="15"/>
    <x v="12"/>
    <b v="1"/>
    <s v="Active"/>
    <n v="2387"/>
    <s v="Smart TV"/>
    <s v="45-54"/>
    <s v="Morning"/>
  </r>
  <r>
    <n v="6330"/>
    <s v="Meghan"/>
    <x v="306"/>
    <d v="2024-12-04T00:00:00"/>
    <n v="10"/>
    <x v="0"/>
    <n v="79.900000000000006"/>
    <n v="329"/>
    <x v="2"/>
    <n v="4"/>
    <n v="1"/>
    <b v="1"/>
    <n v="973"/>
    <n v="163"/>
    <s v="USA"/>
    <s v="Cryptocurrency"/>
    <s v="English"/>
    <n v="78"/>
    <x v="18"/>
    <b v="1"/>
    <s v="Active"/>
    <n v="218"/>
    <s v="Tablet"/>
    <s v="18-24"/>
    <s v="Evening"/>
  </r>
  <r>
    <n v="2504"/>
    <s v="Calvin"/>
    <x v="307"/>
    <d v="2024-12-15T00:00:00"/>
    <n v="3"/>
    <x v="1"/>
    <n v="35.97"/>
    <n v="328"/>
    <x v="5"/>
    <n v="4"/>
    <n v="6"/>
    <b v="1"/>
    <n v="858"/>
    <n v="159"/>
    <s v="UK"/>
    <s v="PayPal"/>
    <s v="German"/>
    <n v="75"/>
    <x v="3"/>
    <b v="1"/>
    <s v="Active"/>
    <n v="68"/>
    <s v="Smartphone"/>
    <s v="45-54"/>
    <s v="Afternoon"/>
  </r>
  <r>
    <n v="6593"/>
    <s v="Richard"/>
    <x v="169"/>
    <d v="2024-12-07T00:00:00"/>
    <n v="3"/>
    <x v="1"/>
    <n v="35.97"/>
    <n v="353"/>
    <x v="1"/>
    <n v="3"/>
    <n v="6"/>
    <b v="0"/>
    <n v="637"/>
    <n v="160"/>
    <s v="UK"/>
    <s v="Debit Card"/>
    <s v="English"/>
    <n v="67"/>
    <x v="19"/>
    <b v="1"/>
    <s v="Active"/>
    <n v="2749"/>
    <s v="Desktop"/>
    <s v="45-54"/>
    <s v="Late Night"/>
  </r>
  <r>
    <n v="9537"/>
    <s v="Richard"/>
    <x v="151"/>
    <d v="2024-11-20T00:00:00"/>
    <n v="9"/>
    <x v="1"/>
    <n v="107.91"/>
    <n v="386"/>
    <x v="5"/>
    <n v="3"/>
    <n v="3"/>
    <b v="0"/>
    <n v="693"/>
    <n v="61"/>
    <s v="UK"/>
    <s v="Cryptocurrency"/>
    <s v="Hindi"/>
    <n v="48"/>
    <x v="20"/>
    <b v="0"/>
    <s v="Active"/>
    <n v="4942"/>
    <s v="Smart TV"/>
    <s v="35-44"/>
    <s v="Afternoon"/>
  </r>
  <r>
    <n v="9628"/>
    <s v="Maria"/>
    <x v="308"/>
    <d v="2024-12-11T00:00:00"/>
    <n v="13"/>
    <x v="0"/>
    <n v="103.87"/>
    <n v="401"/>
    <x v="5"/>
    <n v="5"/>
    <n v="6"/>
    <b v="0"/>
    <n v="308"/>
    <n v="103"/>
    <s v="USA"/>
    <s v="Credit Card"/>
    <s v="Mandarin"/>
    <n v="98"/>
    <x v="2"/>
    <b v="1"/>
    <s v="Active"/>
    <n v="1813"/>
    <s v="Laptop"/>
    <s v="35-44"/>
    <s v="Morning"/>
  </r>
  <r>
    <n v="4024"/>
    <s v="Sarah"/>
    <x v="309"/>
    <d v="2024-12-07T00:00:00"/>
    <n v="19"/>
    <x v="0"/>
    <n v="151.81"/>
    <n v="286"/>
    <x v="1"/>
    <n v="3"/>
    <n v="1"/>
    <b v="0"/>
    <n v="843"/>
    <n v="26"/>
    <s v="UK"/>
    <s v="PayPal"/>
    <s v="German"/>
    <n v="11"/>
    <x v="17"/>
    <b v="0"/>
    <s v="Active"/>
    <n v="318"/>
    <s v="Tablet"/>
    <s v="55+"/>
    <s v="Morning"/>
  </r>
  <r>
    <n v="5321"/>
    <s v="Joseph"/>
    <x v="310"/>
    <d v="2024-12-10T00:00:00"/>
    <n v="11"/>
    <x v="0"/>
    <n v="87.89"/>
    <n v="20"/>
    <x v="6"/>
    <n v="5"/>
    <n v="2"/>
    <b v="0"/>
    <n v="895"/>
    <n v="40"/>
    <s v="Canada"/>
    <s v="Cryptocurrency"/>
    <s v="English"/>
    <n v="97"/>
    <x v="20"/>
    <b v="0"/>
    <s v="Active"/>
    <n v="4216"/>
    <s v="Desktop"/>
    <s v="55+"/>
    <s v="Afternoon"/>
  </r>
  <r>
    <n v="3926"/>
    <s v="Sheri"/>
    <x v="311"/>
    <d v="2024-11-25T00:00:00"/>
    <n v="0"/>
    <x v="0"/>
    <n v="0"/>
    <n v="167"/>
    <x v="6"/>
    <n v="3"/>
    <n v="1"/>
    <b v="1"/>
    <n v="466"/>
    <n v="69"/>
    <s v="France"/>
    <s v="Cryptocurrency"/>
    <s v="Mandarin"/>
    <n v="86"/>
    <x v="5"/>
    <b v="0"/>
    <s v="Active"/>
    <n v="3003"/>
    <s v="Smart TV"/>
    <s v="35-44"/>
    <s v="Evening"/>
  </r>
  <r>
    <n v="8738"/>
    <s v="Ashley"/>
    <x v="147"/>
    <d v="2024-11-29T00:00:00"/>
    <n v="2"/>
    <x v="0"/>
    <n v="15.98"/>
    <n v="427"/>
    <x v="6"/>
    <n v="1"/>
    <n v="1"/>
    <b v="1"/>
    <n v="886"/>
    <n v="17"/>
    <s v="UK"/>
    <s v="Debit Card"/>
    <s v="Mandarin"/>
    <n v="41"/>
    <x v="13"/>
    <b v="0"/>
    <s v="Active"/>
    <n v="342"/>
    <s v="Smart TV"/>
    <s v="45-54"/>
    <s v="Afternoon"/>
  </r>
  <r>
    <n v="2701"/>
    <s v="Victor"/>
    <x v="170"/>
    <d v="2024-12-01T00:00:00"/>
    <n v="6"/>
    <x v="1"/>
    <n v="71.94"/>
    <n v="13"/>
    <x v="1"/>
    <n v="4"/>
    <n v="6"/>
    <b v="1"/>
    <n v="537"/>
    <n v="121"/>
    <s v="Australia"/>
    <s v="Cryptocurrency"/>
    <s v="Spanish"/>
    <n v="17"/>
    <x v="2"/>
    <b v="1"/>
    <s v="Active"/>
    <n v="2124"/>
    <s v="Desktop"/>
    <s v="55+"/>
    <s v="Morning"/>
  </r>
  <r>
    <n v="5339"/>
    <s v="Tommy"/>
    <x v="312"/>
    <d v="2024-12-14T00:00:00"/>
    <n v="9"/>
    <x v="2"/>
    <n v="143.91"/>
    <n v="53"/>
    <x v="0"/>
    <n v="5"/>
    <n v="5"/>
    <b v="0"/>
    <n v="524"/>
    <n v="161"/>
    <s v="France"/>
    <s v="Cryptocurrency"/>
    <s v="German"/>
    <n v="65"/>
    <x v="11"/>
    <b v="0"/>
    <s v="Active"/>
    <n v="1016"/>
    <s v="Desktop"/>
    <s v="45-54"/>
    <s v="Afternoon"/>
  </r>
  <r>
    <n v="1612"/>
    <s v="Trevor"/>
    <x v="195"/>
    <d v="2024-12-04T00:00:00"/>
    <n v="18"/>
    <x v="0"/>
    <n v="143.82"/>
    <n v="197"/>
    <x v="0"/>
    <n v="1"/>
    <n v="2"/>
    <b v="1"/>
    <n v="409"/>
    <n v="22"/>
    <s v="India"/>
    <s v="Debit Card"/>
    <s v="German"/>
    <n v="64"/>
    <x v="5"/>
    <b v="1"/>
    <s v="Active"/>
    <n v="1925"/>
    <s v="Tablet"/>
    <s v="35-44"/>
    <s v="Morning"/>
  </r>
  <r>
    <n v="5407"/>
    <s v="William"/>
    <x v="67"/>
    <d v="2024-12-04T00:00:00"/>
    <n v="13"/>
    <x v="0"/>
    <n v="103.87"/>
    <n v="429"/>
    <x v="4"/>
    <n v="3"/>
    <n v="5"/>
    <b v="0"/>
    <n v="988"/>
    <n v="115"/>
    <s v="USA"/>
    <s v="Credit Card"/>
    <s v="Spanish"/>
    <n v="19"/>
    <x v="5"/>
    <b v="1"/>
    <s v="Active"/>
    <n v="3773"/>
    <s v="Laptop"/>
    <s v="25-34"/>
    <s v="Late Night"/>
  </r>
  <r>
    <n v="8225"/>
    <s v="Darrell"/>
    <x v="313"/>
    <d v="2024-11-24T00:00:00"/>
    <n v="6"/>
    <x v="2"/>
    <n v="95.94"/>
    <n v="282"/>
    <x v="4"/>
    <n v="1"/>
    <n v="1"/>
    <b v="1"/>
    <n v="386"/>
    <n v="177"/>
    <s v="Germany"/>
    <s v="PayPal"/>
    <s v="Spanish"/>
    <n v="17"/>
    <x v="15"/>
    <b v="1"/>
    <s v="Active"/>
    <n v="1231"/>
    <s v="Laptop"/>
    <s v="55+"/>
    <s v="Afternoon"/>
  </r>
  <r>
    <n v="4714"/>
    <s v="Dana"/>
    <x v="314"/>
    <d v="2024-11-20T00:00:00"/>
    <n v="1"/>
    <x v="1"/>
    <n v="11.99"/>
    <n v="248"/>
    <x v="2"/>
    <n v="5"/>
    <n v="6"/>
    <b v="0"/>
    <n v="996"/>
    <n v="24"/>
    <s v="Australia"/>
    <s v="Debit Card"/>
    <s v="German"/>
    <n v="53"/>
    <x v="0"/>
    <b v="1"/>
    <s v="Active"/>
    <n v="62"/>
    <s v="Desktop"/>
    <s v="25-34"/>
    <s v="Evening"/>
  </r>
  <r>
    <n v="3826"/>
    <s v="Richard"/>
    <x v="315"/>
    <d v="2024-12-16T00:00:00"/>
    <n v="2"/>
    <x v="1"/>
    <n v="23.98"/>
    <n v="406"/>
    <x v="3"/>
    <n v="3"/>
    <n v="3"/>
    <b v="0"/>
    <n v="369"/>
    <n v="13"/>
    <s v="USA"/>
    <s v="Cryptocurrency"/>
    <s v="Mandarin"/>
    <n v="82"/>
    <x v="9"/>
    <b v="0"/>
    <s v="Active"/>
    <n v="1580"/>
    <s v="Tablet"/>
    <s v="55+"/>
    <s v="Late Night"/>
  </r>
  <r>
    <n v="3781"/>
    <s v="Jasmine"/>
    <x v="107"/>
    <d v="2024-11-29T00:00:00"/>
    <n v="0"/>
    <x v="2"/>
    <n v="0"/>
    <n v="249"/>
    <x v="6"/>
    <n v="1"/>
    <n v="4"/>
    <b v="1"/>
    <n v="713"/>
    <n v="125"/>
    <s v="UK"/>
    <s v="PayPal"/>
    <s v="German"/>
    <n v="95"/>
    <x v="14"/>
    <b v="0"/>
    <s v="Active"/>
    <n v="74"/>
    <s v="Laptop"/>
    <s v="18-24"/>
    <s v="Morning"/>
  </r>
  <r>
    <n v="5635"/>
    <s v="Chelsea"/>
    <x v="140"/>
    <d v="2024-11-24T00:00:00"/>
    <n v="13"/>
    <x v="0"/>
    <n v="103.87"/>
    <n v="12"/>
    <x v="4"/>
    <n v="2"/>
    <n v="4"/>
    <b v="0"/>
    <n v="928"/>
    <n v="147"/>
    <s v="Australia"/>
    <s v="Debit Card"/>
    <s v="English"/>
    <n v="92"/>
    <x v="9"/>
    <b v="0"/>
    <s v="Active"/>
    <n v="3452"/>
    <s v="Tablet"/>
    <s v="25-34"/>
    <s v="Late Night"/>
  </r>
  <r>
    <n v="2291"/>
    <s v="Courtney"/>
    <x v="278"/>
    <d v="2024-12-01T00:00:00"/>
    <n v="19"/>
    <x v="0"/>
    <n v="151.81"/>
    <n v="57"/>
    <x v="0"/>
    <n v="2"/>
    <n v="6"/>
    <b v="1"/>
    <n v="869"/>
    <n v="107"/>
    <s v="Australia"/>
    <s v="Credit Card"/>
    <s v="Spanish"/>
    <n v="67"/>
    <x v="5"/>
    <b v="0"/>
    <s v="Active"/>
    <n v="4792"/>
    <s v="Desktop"/>
    <s v="18-24"/>
    <s v="Afternoon"/>
  </r>
  <r>
    <n v="3119"/>
    <s v="Stacey"/>
    <x v="316"/>
    <d v="2024-12-13T00:00:00"/>
    <n v="2"/>
    <x v="0"/>
    <n v="15.98"/>
    <n v="247"/>
    <x v="6"/>
    <n v="5"/>
    <n v="6"/>
    <b v="1"/>
    <n v="563"/>
    <n v="185"/>
    <s v="Australia"/>
    <s v="Debit Card"/>
    <s v="Mandarin"/>
    <n v="3"/>
    <x v="14"/>
    <b v="0"/>
    <s v="Active"/>
    <n v="4378"/>
    <s v="Smart TV"/>
    <s v="45-54"/>
    <s v="Evening"/>
  </r>
  <r>
    <n v="5280"/>
    <s v="Kristy"/>
    <x v="45"/>
    <d v="2024-11-29T00:00:00"/>
    <n v="20"/>
    <x v="0"/>
    <n v="159.80000000000001"/>
    <n v="25"/>
    <x v="4"/>
    <n v="5"/>
    <n v="2"/>
    <b v="1"/>
    <n v="429"/>
    <n v="138"/>
    <s v="Australia"/>
    <s v="Credit Card"/>
    <s v="English"/>
    <n v="40"/>
    <x v="17"/>
    <b v="0"/>
    <s v="Active"/>
    <n v="1713"/>
    <s v="Smartphone"/>
    <s v="55+"/>
    <s v="Late Night"/>
  </r>
  <r>
    <n v="2546"/>
    <s v="Terri"/>
    <x v="317"/>
    <d v="2024-12-03T00:00:00"/>
    <n v="18"/>
    <x v="2"/>
    <n v="287.82"/>
    <n v="425"/>
    <x v="5"/>
    <n v="3"/>
    <n v="6"/>
    <b v="0"/>
    <n v="236"/>
    <n v="37"/>
    <s v="Australia"/>
    <s v="Debit Card"/>
    <s v="English"/>
    <n v="49"/>
    <x v="1"/>
    <b v="0"/>
    <s v="Active"/>
    <n v="1201"/>
    <s v="Smartphone"/>
    <s v="25-34"/>
    <s v="Evening"/>
  </r>
  <r>
    <n v="5975"/>
    <s v="Jessica"/>
    <x v="163"/>
    <d v="2024-12-17T00:00:00"/>
    <n v="14"/>
    <x v="0"/>
    <n v="111.86"/>
    <n v="315"/>
    <x v="3"/>
    <n v="2"/>
    <n v="5"/>
    <b v="1"/>
    <n v="889"/>
    <n v="80"/>
    <s v="Germany"/>
    <s v="Credit Card"/>
    <s v="German"/>
    <n v="52"/>
    <x v="16"/>
    <b v="1"/>
    <s v="Active"/>
    <n v="416"/>
    <s v="Smart TV"/>
    <s v="55+"/>
    <s v="Afternoon"/>
  </r>
  <r>
    <n v="9113"/>
    <s v="Aaron"/>
    <x v="318"/>
    <d v="2024-11-30T00:00:00"/>
    <n v="2"/>
    <x v="0"/>
    <n v="15.98"/>
    <n v="466"/>
    <x v="5"/>
    <n v="4"/>
    <n v="4"/>
    <b v="0"/>
    <n v="785"/>
    <n v="12"/>
    <s v="UK"/>
    <s v="Debit Card"/>
    <s v="Spanish"/>
    <n v="94"/>
    <x v="11"/>
    <b v="0"/>
    <s v="Active"/>
    <n v="17"/>
    <s v="Desktop"/>
    <s v="55+"/>
    <s v="Evening"/>
  </r>
  <r>
    <n v="6250"/>
    <s v="Madison"/>
    <x v="70"/>
    <d v="2024-11-22T00:00:00"/>
    <n v="4"/>
    <x v="2"/>
    <n v="63.96"/>
    <n v="207"/>
    <x v="2"/>
    <n v="3"/>
    <n v="6"/>
    <b v="0"/>
    <n v="909"/>
    <n v="164"/>
    <s v="Canada"/>
    <s v="Credit Card"/>
    <s v="Hindi"/>
    <n v="75"/>
    <x v="18"/>
    <b v="1"/>
    <s v="Active"/>
    <n v="4820"/>
    <s v="Laptop"/>
    <s v="45-54"/>
    <s v="Afternoon"/>
  </r>
  <r>
    <n v="6190"/>
    <s v="Alyssa"/>
    <x v="228"/>
    <d v="2024-12-08T00:00:00"/>
    <n v="0"/>
    <x v="0"/>
    <n v="0"/>
    <n v="248"/>
    <x v="1"/>
    <n v="5"/>
    <n v="2"/>
    <b v="0"/>
    <n v="142"/>
    <n v="22"/>
    <s v="USA"/>
    <s v="Debit Card"/>
    <s v="Mandarin"/>
    <n v="94"/>
    <x v="18"/>
    <b v="0"/>
    <s v="Active"/>
    <n v="1758"/>
    <s v="Tablet"/>
    <s v="55+"/>
    <s v="Late Night"/>
  </r>
  <r>
    <n v="5713"/>
    <s v="Carlos"/>
    <x v="293"/>
    <d v="2024-11-24T00:00:00"/>
    <n v="7"/>
    <x v="0"/>
    <n v="55.93"/>
    <n v="278"/>
    <x v="1"/>
    <n v="5"/>
    <n v="1"/>
    <b v="0"/>
    <n v="743"/>
    <n v="180"/>
    <s v="USA"/>
    <s v="Cryptocurrency"/>
    <s v="Hindi"/>
    <n v="0"/>
    <x v="5"/>
    <b v="1"/>
    <s v="Active"/>
    <n v="2568"/>
    <s v="Desktop"/>
    <s v="45-54"/>
    <s v="Morning"/>
  </r>
  <r>
    <n v="1932"/>
    <s v="Scott"/>
    <x v="319"/>
    <d v="2024-12-17T00:00:00"/>
    <n v="10"/>
    <x v="0"/>
    <n v="79.900000000000006"/>
    <n v="315"/>
    <x v="3"/>
    <n v="1"/>
    <n v="2"/>
    <b v="0"/>
    <n v="40"/>
    <n v="188"/>
    <s v="France"/>
    <s v="Debit Card"/>
    <s v="French"/>
    <n v="86"/>
    <x v="4"/>
    <b v="1"/>
    <s v="Active"/>
    <n v="4235"/>
    <s v="Smartphone"/>
    <s v="45-54"/>
    <s v="Late Night"/>
  </r>
  <r>
    <n v="6527"/>
    <s v="Debra"/>
    <x v="320"/>
    <d v="2024-11-23T00:00:00"/>
    <n v="17"/>
    <x v="0"/>
    <n v="135.83000000000001"/>
    <n v="190"/>
    <x v="6"/>
    <n v="4"/>
    <n v="1"/>
    <b v="1"/>
    <n v="400"/>
    <n v="151"/>
    <s v="Australia"/>
    <s v="PayPal"/>
    <s v="German"/>
    <n v="52"/>
    <x v="5"/>
    <b v="0"/>
    <s v="Active"/>
    <n v="3775"/>
    <s v="Desktop"/>
    <s v="55+"/>
    <s v="Late Night"/>
  </r>
  <r>
    <n v="9363"/>
    <s v="Ashley"/>
    <x v="321"/>
    <d v="2024-11-23T00:00:00"/>
    <n v="1"/>
    <x v="1"/>
    <n v="11.99"/>
    <n v="190"/>
    <x v="4"/>
    <n v="2"/>
    <n v="1"/>
    <b v="0"/>
    <n v="359"/>
    <n v="192"/>
    <s v="Germany"/>
    <s v="PayPal"/>
    <s v="English"/>
    <n v="38"/>
    <x v="16"/>
    <b v="1"/>
    <s v="Active"/>
    <n v="92"/>
    <s v="Smartphone"/>
    <s v="45-54"/>
    <s v="Afternoon"/>
  </r>
  <r>
    <n v="5019"/>
    <s v="Elizabeth"/>
    <x v="315"/>
    <d v="2024-12-12T00:00:00"/>
    <n v="2"/>
    <x v="2"/>
    <n v="31.98"/>
    <n v="408"/>
    <x v="3"/>
    <n v="4"/>
    <n v="3"/>
    <b v="0"/>
    <n v="711"/>
    <n v="23"/>
    <s v="Germany"/>
    <s v="Credit Card"/>
    <s v="French"/>
    <n v="65"/>
    <x v="10"/>
    <b v="1"/>
    <s v="Active"/>
    <n v="72"/>
    <s v="Laptop"/>
    <s v="25-34"/>
    <s v="Evening"/>
  </r>
  <r>
    <n v="9258"/>
    <s v="Bianca"/>
    <x v="200"/>
    <d v="2024-12-06T00:00:00"/>
    <n v="9"/>
    <x v="2"/>
    <n v="143.91"/>
    <n v="227"/>
    <x v="3"/>
    <n v="2"/>
    <n v="1"/>
    <b v="0"/>
    <n v="581"/>
    <n v="146"/>
    <s v="Germany"/>
    <s v="PayPal"/>
    <s v="Spanish"/>
    <n v="37"/>
    <x v="16"/>
    <b v="0"/>
    <s v="Active"/>
    <n v="2488"/>
    <s v="Smartphone"/>
    <s v="18-24"/>
    <s v="Evening"/>
  </r>
  <r>
    <n v="7512"/>
    <s v="Joann"/>
    <x v="322"/>
    <d v="2024-11-24T00:00:00"/>
    <n v="11"/>
    <x v="1"/>
    <n v="131.89000000000001"/>
    <n v="479"/>
    <x v="5"/>
    <n v="2"/>
    <n v="4"/>
    <b v="1"/>
    <n v="923"/>
    <n v="182"/>
    <s v="India"/>
    <s v="Debit Card"/>
    <s v="Hindi"/>
    <n v="14"/>
    <x v="11"/>
    <b v="1"/>
    <s v="Active"/>
    <n v="2666"/>
    <s v="Laptop"/>
    <s v="55+"/>
    <s v="Afternoon"/>
  </r>
  <r>
    <n v="8195"/>
    <s v="Gail"/>
    <x v="244"/>
    <d v="2024-11-20T00:00:00"/>
    <n v="19"/>
    <x v="1"/>
    <n v="227.81"/>
    <n v="415"/>
    <x v="1"/>
    <n v="3"/>
    <n v="1"/>
    <b v="0"/>
    <n v="381"/>
    <n v="78"/>
    <s v="Germany"/>
    <s v="Debit Card"/>
    <s v="Mandarin"/>
    <n v="84"/>
    <x v="16"/>
    <b v="1"/>
    <s v="Active"/>
    <n v="4221"/>
    <s v="Tablet"/>
    <s v="55+"/>
    <s v="Morning"/>
  </r>
  <r>
    <n v="8242"/>
    <s v="Daniel"/>
    <x v="91"/>
    <d v="2024-12-04T00:00:00"/>
    <n v="23"/>
    <x v="1"/>
    <n v="275.77"/>
    <n v="204"/>
    <x v="6"/>
    <n v="4"/>
    <n v="4"/>
    <b v="1"/>
    <n v="706"/>
    <n v="153"/>
    <s v="Canada"/>
    <s v="PayPal"/>
    <s v="Hindi"/>
    <n v="94"/>
    <x v="4"/>
    <b v="1"/>
    <s v="Active"/>
    <n v="4569"/>
    <s v="Smartphone"/>
    <s v="55+"/>
    <s v="Late Night"/>
  </r>
  <r>
    <n v="2220"/>
    <s v="Felicia"/>
    <x v="87"/>
    <d v="2024-11-28T00:00:00"/>
    <n v="13"/>
    <x v="2"/>
    <n v="207.87"/>
    <n v="205"/>
    <x v="5"/>
    <n v="3"/>
    <n v="1"/>
    <b v="1"/>
    <n v="792"/>
    <n v="103"/>
    <s v="Germany"/>
    <s v="PayPal"/>
    <s v="Mandarin"/>
    <n v="24"/>
    <x v="12"/>
    <b v="1"/>
    <s v="Active"/>
    <n v="2695"/>
    <s v="Laptop"/>
    <s v="55+"/>
    <s v="Evening"/>
  </r>
  <r>
    <n v="9308"/>
    <s v="Jennifer"/>
    <x v="136"/>
    <d v="2024-11-25T00:00:00"/>
    <n v="1"/>
    <x v="1"/>
    <n v="11.99"/>
    <n v="64"/>
    <x v="3"/>
    <n v="2"/>
    <n v="3"/>
    <b v="1"/>
    <n v="221"/>
    <n v="4"/>
    <s v="USA"/>
    <s v="PayPal"/>
    <s v="Mandarin"/>
    <n v="88"/>
    <x v="4"/>
    <b v="1"/>
    <s v="Active"/>
    <n v="48"/>
    <s v="Tablet"/>
    <s v="18-24"/>
    <s v="Afternoon"/>
  </r>
  <r>
    <n v="3437"/>
    <s v="Susan"/>
    <x v="258"/>
    <d v="2024-12-05T00:00:00"/>
    <n v="22"/>
    <x v="0"/>
    <n v="175.78"/>
    <n v="281"/>
    <x v="2"/>
    <n v="2"/>
    <n v="4"/>
    <b v="0"/>
    <n v="770"/>
    <n v="74"/>
    <s v="Australia"/>
    <s v="Debit Card"/>
    <s v="German"/>
    <n v="12"/>
    <x v="1"/>
    <b v="0"/>
    <s v="Active"/>
    <n v="1526"/>
    <s v="Laptop"/>
    <s v="35-44"/>
    <s v="Late Night"/>
  </r>
  <r>
    <n v="8305"/>
    <s v="Ashley"/>
    <x v="284"/>
    <d v="2024-12-06T00:00:00"/>
    <n v="22"/>
    <x v="1"/>
    <n v="263.78000000000003"/>
    <n v="78"/>
    <x v="5"/>
    <n v="4"/>
    <n v="5"/>
    <b v="0"/>
    <n v="914"/>
    <n v="22"/>
    <s v="France"/>
    <s v="Debit Card"/>
    <s v="German"/>
    <n v="14"/>
    <x v="6"/>
    <b v="0"/>
    <s v="Active"/>
    <n v="4934"/>
    <s v="Smartphone"/>
    <s v="35-44"/>
    <s v="Late Night"/>
  </r>
  <r>
    <n v="6773"/>
    <s v="Jeffrey"/>
    <x v="323"/>
    <d v="2024-11-29T00:00:00"/>
    <n v="9"/>
    <x v="0"/>
    <n v="71.91"/>
    <n v="343"/>
    <x v="1"/>
    <n v="4"/>
    <n v="1"/>
    <b v="1"/>
    <n v="492"/>
    <n v="187"/>
    <s v="USA"/>
    <s v="PayPal"/>
    <s v="French"/>
    <n v="75"/>
    <x v="11"/>
    <b v="1"/>
    <s v="Active"/>
    <n v="628"/>
    <s v="Desktop"/>
    <s v="45-54"/>
    <s v="Late Night"/>
  </r>
  <r>
    <n v="3010"/>
    <s v="Amanda"/>
    <x v="324"/>
    <d v="2024-11-24T00:00:00"/>
    <n v="0"/>
    <x v="1"/>
    <n v="0"/>
    <n v="318"/>
    <x v="2"/>
    <n v="1"/>
    <n v="5"/>
    <b v="0"/>
    <n v="925"/>
    <n v="191"/>
    <s v="Australia"/>
    <s v="PayPal"/>
    <s v="Mandarin"/>
    <n v="38"/>
    <x v="3"/>
    <b v="1"/>
    <s v="Active"/>
    <n v="167"/>
    <s v="Tablet"/>
    <s v="25-34"/>
    <s v="Afternoon"/>
  </r>
  <r>
    <n v="3622"/>
    <s v="Paul"/>
    <x v="188"/>
    <d v="2024-12-09T00:00:00"/>
    <n v="3"/>
    <x v="0"/>
    <n v="23.97"/>
    <n v="444"/>
    <x v="1"/>
    <n v="3"/>
    <n v="5"/>
    <b v="0"/>
    <n v="183"/>
    <n v="195"/>
    <s v="France"/>
    <s v="Cryptocurrency"/>
    <s v="Mandarin"/>
    <n v="36"/>
    <x v="9"/>
    <b v="0"/>
    <s v="Active"/>
    <n v="1309"/>
    <s v="Smart TV"/>
    <s v="25-34"/>
    <s v="Morning"/>
  </r>
  <r>
    <n v="6006"/>
    <s v="Mark"/>
    <x v="325"/>
    <d v="2024-11-19T00:00:00"/>
    <n v="2"/>
    <x v="1"/>
    <n v="23.98"/>
    <n v="171"/>
    <x v="4"/>
    <n v="3"/>
    <n v="1"/>
    <b v="1"/>
    <n v="889"/>
    <n v="54"/>
    <s v="France"/>
    <s v="Cryptocurrency"/>
    <s v="German"/>
    <n v="1"/>
    <x v="0"/>
    <b v="1"/>
    <s v="Active"/>
    <n v="710"/>
    <s v="Smartphone"/>
    <s v="45-54"/>
    <s v="Late Night"/>
  </r>
  <r>
    <n v="1338"/>
    <s v="Lisa"/>
    <x v="47"/>
    <d v="2024-12-02T00:00:00"/>
    <n v="20"/>
    <x v="2"/>
    <n v="319.8"/>
    <n v="309"/>
    <x v="6"/>
    <n v="5"/>
    <n v="4"/>
    <b v="0"/>
    <n v="174"/>
    <n v="172"/>
    <s v="Australia"/>
    <s v="Cryptocurrency"/>
    <s v="English"/>
    <n v="71"/>
    <x v="2"/>
    <b v="1"/>
    <s v="Active"/>
    <n v="106"/>
    <s v="Smart TV"/>
    <s v="55+"/>
    <s v="Morning"/>
  </r>
  <r>
    <n v="6722"/>
    <s v="Matthew"/>
    <x v="326"/>
    <d v="2024-11-27T00:00:00"/>
    <n v="18"/>
    <x v="2"/>
    <n v="287.82"/>
    <n v="447"/>
    <x v="5"/>
    <n v="5"/>
    <n v="2"/>
    <b v="0"/>
    <n v="709"/>
    <n v="93"/>
    <s v="India"/>
    <s v="Debit Card"/>
    <s v="German"/>
    <n v="35"/>
    <x v="14"/>
    <b v="1"/>
    <s v="Active"/>
    <n v="2652"/>
    <s v="Smart TV"/>
    <s v="25-34"/>
    <s v="Evening"/>
  </r>
  <r>
    <n v="5871"/>
    <s v="Travis"/>
    <x v="327"/>
    <d v="2024-12-04T00:00:00"/>
    <n v="4"/>
    <x v="0"/>
    <n v="31.96"/>
    <n v="120"/>
    <x v="6"/>
    <n v="3"/>
    <n v="5"/>
    <b v="1"/>
    <n v="783"/>
    <n v="81"/>
    <s v="Canada"/>
    <s v="PayPal"/>
    <s v="Mandarin"/>
    <n v="52"/>
    <x v="5"/>
    <b v="0"/>
    <s v="Active"/>
    <n v="4879"/>
    <s v="Laptop"/>
    <s v="55+"/>
    <s v="Afternoon"/>
  </r>
  <r>
    <n v="9290"/>
    <s v="Reginald"/>
    <x v="328"/>
    <d v="2024-12-08T00:00:00"/>
    <n v="12"/>
    <x v="2"/>
    <n v="191.88"/>
    <n v="168"/>
    <x v="0"/>
    <n v="5"/>
    <n v="4"/>
    <b v="1"/>
    <n v="304"/>
    <n v="196"/>
    <s v="USA"/>
    <s v="Debit Card"/>
    <s v="Spanish"/>
    <n v="44"/>
    <x v="13"/>
    <b v="0"/>
    <s v="Active"/>
    <n v="1426"/>
    <s v="Smart TV"/>
    <s v="35-44"/>
    <s v="Afternoon"/>
  </r>
  <r>
    <n v="8567"/>
    <s v="Jennifer"/>
    <x v="15"/>
    <d v="2024-12-13T00:00:00"/>
    <n v="6"/>
    <x v="0"/>
    <n v="47.94"/>
    <n v="203"/>
    <x v="2"/>
    <n v="1"/>
    <n v="3"/>
    <b v="1"/>
    <n v="738"/>
    <n v="96"/>
    <s v="Australia"/>
    <s v="Cryptocurrency"/>
    <s v="French"/>
    <n v="10"/>
    <x v="1"/>
    <b v="0"/>
    <s v="Active"/>
    <n v="1504"/>
    <s v="Laptop"/>
    <s v="18-24"/>
    <s v="Afternoon"/>
  </r>
  <r>
    <n v="5253"/>
    <s v="Debra"/>
    <x v="329"/>
    <d v="2024-11-24T00:00:00"/>
    <n v="11"/>
    <x v="1"/>
    <n v="131.89000000000001"/>
    <n v="436"/>
    <x v="5"/>
    <n v="5"/>
    <n v="5"/>
    <b v="1"/>
    <n v="228"/>
    <n v="110"/>
    <s v="Australia"/>
    <s v="Cryptocurrency"/>
    <s v="Hindi"/>
    <n v="78"/>
    <x v="6"/>
    <b v="1"/>
    <s v="Active"/>
    <n v="1518"/>
    <s v="Desktop"/>
    <s v="35-44"/>
    <s v="Morning"/>
  </r>
  <r>
    <n v="8172"/>
    <s v="Ian"/>
    <x v="330"/>
    <d v="2024-12-17T00:00:00"/>
    <n v="8"/>
    <x v="1"/>
    <n v="95.92"/>
    <n v="195"/>
    <x v="6"/>
    <n v="5"/>
    <n v="6"/>
    <b v="1"/>
    <n v="997"/>
    <n v="107"/>
    <s v="Canada"/>
    <s v="Credit Card"/>
    <s v="French"/>
    <n v="78"/>
    <x v="11"/>
    <b v="0"/>
    <s v="Active"/>
    <n v="708"/>
    <s v="Tablet"/>
    <s v="45-54"/>
    <s v="Evening"/>
  </r>
  <r>
    <n v="2154"/>
    <s v="Cassie"/>
    <x v="331"/>
    <d v="2024-12-05T00:00:00"/>
    <n v="11"/>
    <x v="0"/>
    <n v="87.89"/>
    <n v="454"/>
    <x v="1"/>
    <n v="5"/>
    <n v="1"/>
    <b v="1"/>
    <n v="722"/>
    <n v="98"/>
    <s v="UK"/>
    <s v="Credit Card"/>
    <s v="Mandarin"/>
    <n v="36"/>
    <x v="15"/>
    <b v="0"/>
    <s v="Active"/>
    <n v="4651"/>
    <s v="Tablet"/>
    <s v="35-44"/>
    <s v="Evening"/>
  </r>
  <r>
    <n v="5013"/>
    <s v="Claudia"/>
    <x v="332"/>
    <d v="2024-11-24T00:00:00"/>
    <n v="14"/>
    <x v="2"/>
    <n v="223.86"/>
    <n v="187"/>
    <x v="1"/>
    <n v="1"/>
    <n v="1"/>
    <b v="0"/>
    <n v="316"/>
    <n v="10"/>
    <s v="UK"/>
    <s v="PayPal"/>
    <s v="English"/>
    <n v="8"/>
    <x v="9"/>
    <b v="0"/>
    <s v="Active"/>
    <n v="4397"/>
    <s v="Smartphone"/>
    <s v="55+"/>
    <s v="Late Night"/>
  </r>
  <r>
    <n v="4211"/>
    <s v="Kristina"/>
    <x v="333"/>
    <d v="2024-12-01T00:00:00"/>
    <n v="1"/>
    <x v="0"/>
    <n v="7.99"/>
    <n v="277"/>
    <x v="6"/>
    <n v="1"/>
    <n v="3"/>
    <b v="1"/>
    <n v="455"/>
    <n v="120"/>
    <s v="France"/>
    <s v="PayPal"/>
    <s v="Spanish"/>
    <n v="92"/>
    <x v="9"/>
    <b v="0"/>
    <s v="Active"/>
    <n v="1360"/>
    <s v="Laptop"/>
    <s v="18-24"/>
    <s v="Afternoon"/>
  </r>
  <r>
    <n v="4408"/>
    <s v="Melissa"/>
    <x v="334"/>
    <d v="2024-11-30T00:00:00"/>
    <n v="14"/>
    <x v="0"/>
    <n v="111.86"/>
    <n v="257"/>
    <x v="6"/>
    <n v="3"/>
    <n v="6"/>
    <b v="1"/>
    <n v="985"/>
    <n v="97"/>
    <s v="UK"/>
    <s v="Credit Card"/>
    <s v="Mandarin"/>
    <n v="88"/>
    <x v="12"/>
    <b v="1"/>
    <s v="Active"/>
    <n v="4155"/>
    <s v="Desktop"/>
    <s v="18-24"/>
    <s v="Morning"/>
  </r>
  <r>
    <n v="8473"/>
    <s v="Desiree"/>
    <x v="153"/>
    <d v="2024-12-12T00:00:00"/>
    <n v="21"/>
    <x v="1"/>
    <n v="251.79"/>
    <n v="12"/>
    <x v="3"/>
    <n v="4"/>
    <n v="6"/>
    <b v="0"/>
    <n v="718"/>
    <n v="100"/>
    <s v="France"/>
    <s v="Debit Card"/>
    <s v="Mandarin"/>
    <n v="24"/>
    <x v="13"/>
    <b v="0"/>
    <s v="Active"/>
    <n v="1289"/>
    <s v="Smartphone"/>
    <s v="18-24"/>
    <s v="Morning"/>
  </r>
  <r>
    <n v="7510"/>
    <s v="Audrey"/>
    <x v="335"/>
    <d v="2024-11-29T00:00:00"/>
    <n v="22"/>
    <x v="0"/>
    <n v="175.78"/>
    <n v="362"/>
    <x v="6"/>
    <n v="2"/>
    <n v="4"/>
    <b v="1"/>
    <n v="923"/>
    <n v="57"/>
    <s v="France"/>
    <s v="PayPal"/>
    <s v="German"/>
    <n v="38"/>
    <x v="14"/>
    <b v="0"/>
    <s v="Active"/>
    <n v="2922"/>
    <s v="Laptop"/>
    <s v="35-44"/>
    <s v="Afternoon"/>
  </r>
  <r>
    <n v="5376"/>
    <s v="John"/>
    <x v="336"/>
    <d v="2024-11-26T00:00:00"/>
    <n v="19"/>
    <x v="0"/>
    <n v="151.81"/>
    <n v="89"/>
    <x v="6"/>
    <n v="2"/>
    <n v="4"/>
    <b v="1"/>
    <n v="174"/>
    <n v="178"/>
    <s v="Germany"/>
    <s v="PayPal"/>
    <s v="French"/>
    <n v="7"/>
    <x v="4"/>
    <b v="0"/>
    <s v="Active"/>
    <n v="28"/>
    <s v="Laptop"/>
    <s v="35-44"/>
    <s v="Morning"/>
  </r>
  <r>
    <n v="8005"/>
    <s v="Ryan"/>
    <x v="256"/>
    <d v="2024-12-14T00:00:00"/>
    <n v="21"/>
    <x v="0"/>
    <n v="167.79"/>
    <n v="123"/>
    <x v="3"/>
    <n v="5"/>
    <n v="5"/>
    <b v="1"/>
    <n v="253"/>
    <n v="157"/>
    <s v="UK"/>
    <s v="PayPal"/>
    <s v="Spanish"/>
    <n v="85"/>
    <x v="1"/>
    <b v="0"/>
    <s v="Active"/>
    <n v="3083"/>
    <s v="Smart TV"/>
    <s v="45-54"/>
    <s v="Late Night"/>
  </r>
  <r>
    <n v="7439"/>
    <s v="Kim"/>
    <x v="337"/>
    <d v="2024-12-05T00:00:00"/>
    <n v="15"/>
    <x v="2"/>
    <n v="239.85"/>
    <n v="427"/>
    <x v="5"/>
    <n v="1"/>
    <n v="1"/>
    <b v="0"/>
    <n v="479"/>
    <n v="98"/>
    <s v="USA"/>
    <s v="PayPal"/>
    <s v="English"/>
    <n v="18"/>
    <x v="20"/>
    <b v="1"/>
    <s v="Active"/>
    <n v="547"/>
    <s v="Tablet"/>
    <s v="55+"/>
    <s v="Late Night"/>
  </r>
  <r>
    <n v="3699"/>
    <s v="Lindsey"/>
    <x v="269"/>
    <d v="2024-11-24T00:00:00"/>
    <n v="17"/>
    <x v="2"/>
    <n v="271.83"/>
    <n v="439"/>
    <x v="6"/>
    <n v="2"/>
    <n v="4"/>
    <b v="0"/>
    <n v="932"/>
    <n v="98"/>
    <s v="France"/>
    <s v="Cryptocurrency"/>
    <s v="Hindi"/>
    <n v="58"/>
    <x v="11"/>
    <b v="0"/>
    <s v="Active"/>
    <n v="239"/>
    <s v="Tablet"/>
    <s v="35-44"/>
    <s v="Afternoon"/>
  </r>
  <r>
    <n v="3162"/>
    <s v="Michael"/>
    <x v="91"/>
    <d v="2024-12-13T00:00:00"/>
    <n v="23"/>
    <x v="2"/>
    <n v="367.77"/>
    <n v="396"/>
    <x v="4"/>
    <n v="3"/>
    <n v="3"/>
    <b v="1"/>
    <n v="175"/>
    <n v="17"/>
    <s v="USA"/>
    <s v="Credit Card"/>
    <s v="French"/>
    <n v="11"/>
    <x v="15"/>
    <b v="0"/>
    <s v="Active"/>
    <n v="3516"/>
    <s v="Smartphone"/>
    <s v="35-44"/>
    <s v="Evening"/>
  </r>
  <r>
    <n v="8798"/>
    <s v="Pamela"/>
    <x v="338"/>
    <d v="2024-12-15T00:00:00"/>
    <n v="19"/>
    <x v="2"/>
    <n v="303.81"/>
    <n v="453"/>
    <x v="4"/>
    <n v="5"/>
    <n v="2"/>
    <b v="1"/>
    <n v="591"/>
    <n v="169"/>
    <s v="Canada"/>
    <s v="PayPal"/>
    <s v="English"/>
    <n v="72"/>
    <x v="13"/>
    <b v="1"/>
    <s v="Active"/>
    <n v="4031"/>
    <s v="Tablet"/>
    <s v="25-34"/>
    <s v="Evening"/>
  </r>
  <r>
    <n v="6400"/>
    <s v="Jonathan"/>
    <x v="186"/>
    <d v="2024-12-14T00:00:00"/>
    <n v="9"/>
    <x v="1"/>
    <n v="107.91"/>
    <n v="356"/>
    <x v="4"/>
    <n v="3"/>
    <n v="2"/>
    <b v="1"/>
    <n v="776"/>
    <n v="40"/>
    <s v="USA"/>
    <s v="Credit Card"/>
    <s v="Mandarin"/>
    <n v="56"/>
    <x v="15"/>
    <b v="1"/>
    <s v="Active"/>
    <n v="3408"/>
    <s v="Tablet"/>
    <s v="35-44"/>
    <s v="Evening"/>
  </r>
  <r>
    <n v="9404"/>
    <s v="Michael"/>
    <x v="339"/>
    <d v="2024-12-03T00:00:00"/>
    <n v="14"/>
    <x v="2"/>
    <n v="223.86"/>
    <n v="192"/>
    <x v="2"/>
    <n v="1"/>
    <n v="3"/>
    <b v="1"/>
    <n v="229"/>
    <n v="54"/>
    <s v="Germany"/>
    <s v="PayPal"/>
    <s v="Spanish"/>
    <n v="87"/>
    <x v="2"/>
    <b v="0"/>
    <s v="Active"/>
    <n v="3849"/>
    <s v="Smart TV"/>
    <s v="45-54"/>
    <s v="Afternoon"/>
  </r>
  <r>
    <n v="8151"/>
    <s v="Mark"/>
    <x v="340"/>
    <d v="2024-11-24T00:00:00"/>
    <n v="5"/>
    <x v="1"/>
    <n v="59.95"/>
    <n v="483"/>
    <x v="6"/>
    <n v="3"/>
    <n v="6"/>
    <b v="0"/>
    <n v="730"/>
    <n v="98"/>
    <s v="Canada"/>
    <s v="Cryptocurrency"/>
    <s v="Mandarin"/>
    <n v="29"/>
    <x v="20"/>
    <b v="0"/>
    <s v="Active"/>
    <n v="1813"/>
    <s v="Desktop"/>
    <s v="35-44"/>
    <s v="Evening"/>
  </r>
  <r>
    <n v="7742"/>
    <s v="James"/>
    <x v="252"/>
    <d v="2024-11-22T00:00:00"/>
    <n v="1"/>
    <x v="1"/>
    <n v="11.99"/>
    <n v="17"/>
    <x v="5"/>
    <n v="2"/>
    <n v="3"/>
    <b v="1"/>
    <n v="312"/>
    <n v="114"/>
    <s v="USA"/>
    <s v="PayPal"/>
    <s v="German"/>
    <n v="15"/>
    <x v="10"/>
    <b v="1"/>
    <s v="Active"/>
    <n v="2084"/>
    <s v="Tablet"/>
    <s v="18-24"/>
    <s v="Morning"/>
  </r>
  <r>
    <n v="4553"/>
    <s v="Janet"/>
    <x v="341"/>
    <d v="2024-11-27T00:00:00"/>
    <n v="17"/>
    <x v="0"/>
    <n v="135.83000000000001"/>
    <n v="272"/>
    <x v="3"/>
    <n v="1"/>
    <n v="6"/>
    <b v="0"/>
    <n v="356"/>
    <n v="126"/>
    <s v="India"/>
    <s v="Debit Card"/>
    <s v="Mandarin"/>
    <n v="40"/>
    <x v="5"/>
    <b v="1"/>
    <s v="Active"/>
    <n v="749"/>
    <s v="Smart TV"/>
    <s v="25-34"/>
    <s v="Morning"/>
  </r>
  <r>
    <n v="6919"/>
    <s v="Jane"/>
    <x v="153"/>
    <d v="2024-11-24T00:00:00"/>
    <n v="20"/>
    <x v="0"/>
    <n v="159.80000000000001"/>
    <n v="195"/>
    <x v="0"/>
    <n v="4"/>
    <n v="3"/>
    <b v="1"/>
    <n v="49"/>
    <n v="30"/>
    <s v="Canada"/>
    <s v="PayPal"/>
    <s v="German"/>
    <n v="68"/>
    <x v="16"/>
    <b v="0"/>
    <s v="Active"/>
    <n v="3157"/>
    <s v="Smart TV"/>
    <s v="18-24"/>
    <s v="Morning"/>
  </r>
  <r>
    <n v="7168"/>
    <s v="Tammy"/>
    <x v="33"/>
    <d v="2024-11-21T00:00:00"/>
    <n v="10"/>
    <x v="1"/>
    <n v="119.9"/>
    <n v="416"/>
    <x v="2"/>
    <n v="3"/>
    <n v="1"/>
    <b v="1"/>
    <n v="774"/>
    <n v="55"/>
    <s v="France"/>
    <s v="PayPal"/>
    <s v="French"/>
    <n v="41"/>
    <x v="0"/>
    <b v="0"/>
    <s v="Active"/>
    <n v="173"/>
    <s v="Smartphone"/>
    <s v="18-24"/>
    <s v="Evening"/>
  </r>
  <r>
    <n v="6474"/>
    <s v="Christopher"/>
    <x v="342"/>
    <d v="2024-11-19T00:00:00"/>
    <n v="12"/>
    <x v="2"/>
    <n v="191.88"/>
    <n v="459"/>
    <x v="3"/>
    <n v="5"/>
    <n v="5"/>
    <b v="1"/>
    <n v="961"/>
    <n v="173"/>
    <s v="UK"/>
    <s v="PayPal"/>
    <s v="German"/>
    <n v="92"/>
    <x v="4"/>
    <b v="0"/>
    <s v="Active"/>
    <n v="2925"/>
    <s v="Desktop"/>
    <s v="55+"/>
    <s v="Late Night"/>
  </r>
  <r>
    <n v="4242"/>
    <s v="Robert"/>
    <x v="343"/>
    <d v="2024-12-15T00:00:00"/>
    <n v="13"/>
    <x v="0"/>
    <n v="103.87"/>
    <n v="168"/>
    <x v="4"/>
    <n v="5"/>
    <n v="3"/>
    <b v="1"/>
    <n v="539"/>
    <n v="48"/>
    <s v="Canada"/>
    <s v="Credit Card"/>
    <s v="Hindi"/>
    <n v="82"/>
    <x v="5"/>
    <b v="0"/>
    <s v="Active"/>
    <n v="3182"/>
    <s v="Tablet"/>
    <s v="25-34"/>
    <s v="Late Night"/>
  </r>
  <r>
    <n v="3395"/>
    <s v="Michael"/>
    <x v="158"/>
    <d v="2024-11-29T00:00:00"/>
    <n v="8"/>
    <x v="0"/>
    <n v="63.92"/>
    <n v="307"/>
    <x v="6"/>
    <n v="5"/>
    <n v="6"/>
    <b v="0"/>
    <n v="340"/>
    <n v="174"/>
    <s v="India"/>
    <s v="Cryptocurrency"/>
    <s v="Mandarin"/>
    <n v="11"/>
    <x v="6"/>
    <b v="1"/>
    <s v="Active"/>
    <n v="2432"/>
    <s v="Smart TV"/>
    <s v="18-24"/>
    <s v="Evening"/>
  </r>
  <r>
    <n v="8694"/>
    <s v="Norma"/>
    <x v="344"/>
    <d v="2024-12-03T00:00:00"/>
    <n v="11"/>
    <x v="2"/>
    <n v="175.89000000000001"/>
    <n v="270"/>
    <x v="5"/>
    <n v="2"/>
    <n v="3"/>
    <b v="1"/>
    <n v="836"/>
    <n v="67"/>
    <s v="Australia"/>
    <s v="PayPal"/>
    <s v="French"/>
    <n v="51"/>
    <x v="6"/>
    <b v="1"/>
    <s v="Active"/>
    <n v="414"/>
    <s v="Smart TV"/>
    <s v="18-24"/>
    <s v="Morning"/>
  </r>
  <r>
    <n v="7150"/>
    <s v="Matthew"/>
    <x v="64"/>
    <d v="2024-12-07T00:00:00"/>
    <n v="19"/>
    <x v="0"/>
    <n v="151.81"/>
    <n v="358"/>
    <x v="0"/>
    <n v="4"/>
    <n v="6"/>
    <b v="1"/>
    <n v="746"/>
    <n v="200"/>
    <s v="India"/>
    <s v="Debit Card"/>
    <s v="English"/>
    <n v="35"/>
    <x v="12"/>
    <b v="1"/>
    <s v="Active"/>
    <n v="888"/>
    <s v="Laptop"/>
    <s v="45-54"/>
    <s v="Late Night"/>
  </r>
  <r>
    <n v="4111"/>
    <s v="Tyler"/>
    <x v="345"/>
    <d v="2024-11-27T00:00:00"/>
    <n v="7"/>
    <x v="1"/>
    <n v="83.93"/>
    <n v="301"/>
    <x v="2"/>
    <n v="2"/>
    <n v="2"/>
    <b v="1"/>
    <n v="939"/>
    <n v="21"/>
    <s v="Germany"/>
    <s v="Credit Card"/>
    <s v="Mandarin"/>
    <n v="83"/>
    <x v="11"/>
    <b v="0"/>
    <s v="Active"/>
    <n v="1058"/>
    <s v="Smart TV"/>
    <s v="55+"/>
    <s v="Morning"/>
  </r>
  <r>
    <n v="3532"/>
    <s v="Richard"/>
    <x v="346"/>
    <d v="2024-12-15T00:00:00"/>
    <n v="22"/>
    <x v="0"/>
    <n v="175.78"/>
    <n v="277"/>
    <x v="0"/>
    <n v="2"/>
    <n v="4"/>
    <b v="0"/>
    <n v="659"/>
    <n v="150"/>
    <s v="USA"/>
    <s v="Debit Card"/>
    <s v="English"/>
    <n v="79"/>
    <x v="12"/>
    <b v="1"/>
    <s v="Active"/>
    <n v="2067"/>
    <s v="Smart TV"/>
    <s v="45-54"/>
    <s v="Evening"/>
  </r>
  <r>
    <n v="5375"/>
    <s v="Wendy"/>
    <x v="53"/>
    <d v="2024-11-30T00:00:00"/>
    <n v="22"/>
    <x v="2"/>
    <n v="351.78000000000003"/>
    <n v="423"/>
    <x v="2"/>
    <n v="5"/>
    <n v="2"/>
    <b v="1"/>
    <n v="435"/>
    <n v="108"/>
    <s v="UK"/>
    <s v="Debit Card"/>
    <s v="English"/>
    <n v="44"/>
    <x v="3"/>
    <b v="0"/>
    <s v="Active"/>
    <n v="3763"/>
    <s v="Laptop"/>
    <s v="45-54"/>
    <s v="Morning"/>
  </r>
  <r>
    <n v="8881"/>
    <s v="Taylor"/>
    <x v="282"/>
    <d v="2024-11-24T00:00:00"/>
    <n v="2"/>
    <x v="1"/>
    <n v="23.98"/>
    <n v="197"/>
    <x v="1"/>
    <n v="1"/>
    <n v="5"/>
    <b v="0"/>
    <n v="292"/>
    <n v="169"/>
    <s v="France"/>
    <s v="Cryptocurrency"/>
    <s v="English"/>
    <n v="3"/>
    <x v="6"/>
    <b v="0"/>
    <s v="Active"/>
    <n v="957"/>
    <s v="Desktop"/>
    <s v="45-54"/>
    <s v="Morning"/>
  </r>
  <r>
    <n v="1235"/>
    <s v="William"/>
    <x v="342"/>
    <d v="2024-11-27T00:00:00"/>
    <n v="12"/>
    <x v="2"/>
    <n v="191.88"/>
    <n v="100"/>
    <x v="3"/>
    <n v="2"/>
    <n v="6"/>
    <b v="1"/>
    <n v="103"/>
    <n v="36"/>
    <s v="India"/>
    <s v="Debit Card"/>
    <s v="Mandarin"/>
    <n v="68"/>
    <x v="4"/>
    <b v="0"/>
    <s v="Active"/>
    <n v="3003"/>
    <s v="Tablet"/>
    <s v="55+"/>
    <s v="Late Night"/>
  </r>
  <r>
    <n v="2533"/>
    <s v="Danielle"/>
    <x v="144"/>
    <d v="2024-11-23T00:00:00"/>
    <n v="12"/>
    <x v="2"/>
    <n v="191.88"/>
    <n v="338"/>
    <x v="0"/>
    <n v="4"/>
    <n v="2"/>
    <b v="0"/>
    <n v="525"/>
    <n v="140"/>
    <s v="Australia"/>
    <s v="Credit Card"/>
    <s v="French"/>
    <n v="75"/>
    <x v="3"/>
    <b v="1"/>
    <s v="Active"/>
    <n v="354"/>
    <s v="Smart TV"/>
    <s v="18-24"/>
    <s v="Afternoon"/>
  </r>
  <r>
    <n v="2734"/>
    <s v="Bruce"/>
    <x v="347"/>
    <d v="2024-12-01T00:00:00"/>
    <n v="5"/>
    <x v="1"/>
    <n v="59.95"/>
    <n v="130"/>
    <x v="3"/>
    <n v="1"/>
    <n v="1"/>
    <b v="1"/>
    <n v="428"/>
    <n v="119"/>
    <s v="France"/>
    <s v="Credit Card"/>
    <s v="French"/>
    <n v="53"/>
    <x v="6"/>
    <b v="1"/>
    <s v="Active"/>
    <n v="4922"/>
    <s v="Tablet"/>
    <s v="35-44"/>
    <s v="Afternoon"/>
  </r>
  <r>
    <n v="4129"/>
    <s v="Erin"/>
    <x v="74"/>
    <d v="2024-11-25T00:00:00"/>
    <n v="10"/>
    <x v="1"/>
    <n v="119.9"/>
    <n v="383"/>
    <x v="4"/>
    <n v="5"/>
    <n v="4"/>
    <b v="1"/>
    <n v="711"/>
    <n v="147"/>
    <s v="France"/>
    <s v="PayPal"/>
    <s v="Mandarin"/>
    <n v="68"/>
    <x v="12"/>
    <b v="1"/>
    <s v="Active"/>
    <n v="2083"/>
    <s v="Laptop"/>
    <s v="18-24"/>
    <s v="Evening"/>
  </r>
  <r>
    <n v="3762"/>
    <s v="Michelle"/>
    <x v="266"/>
    <d v="2024-11-30T00:00:00"/>
    <n v="11"/>
    <x v="1"/>
    <n v="131.89000000000001"/>
    <n v="411"/>
    <x v="0"/>
    <n v="5"/>
    <n v="6"/>
    <b v="1"/>
    <n v="887"/>
    <n v="37"/>
    <s v="Australia"/>
    <s v="PayPal"/>
    <s v="French"/>
    <n v="66"/>
    <x v="12"/>
    <b v="1"/>
    <s v="Active"/>
    <n v="2098"/>
    <s v="Desktop"/>
    <s v="45-54"/>
    <s v="Late Night"/>
  </r>
  <r>
    <n v="4341"/>
    <s v="Marie"/>
    <x v="179"/>
    <d v="2024-12-07T00:00:00"/>
    <n v="18"/>
    <x v="1"/>
    <n v="215.82"/>
    <n v="347"/>
    <x v="4"/>
    <n v="4"/>
    <n v="2"/>
    <b v="1"/>
    <n v="546"/>
    <n v="12"/>
    <s v="Australia"/>
    <s v="PayPal"/>
    <s v="Spanish"/>
    <n v="31"/>
    <x v="2"/>
    <b v="0"/>
    <s v="Active"/>
    <n v="2022"/>
    <s v="Smartphone"/>
    <s v="35-44"/>
    <s v="Evening"/>
  </r>
  <r>
    <n v="6638"/>
    <s v="Cory"/>
    <x v="348"/>
    <d v="2024-12-11T00:00:00"/>
    <n v="14"/>
    <x v="1"/>
    <n v="167.86"/>
    <n v="302"/>
    <x v="5"/>
    <n v="4"/>
    <n v="2"/>
    <b v="1"/>
    <n v="417"/>
    <n v="143"/>
    <s v="Canada"/>
    <s v="Debit Card"/>
    <s v="Mandarin"/>
    <n v="14"/>
    <x v="9"/>
    <b v="0"/>
    <s v="Active"/>
    <n v="3791"/>
    <s v="Smartphone"/>
    <s v="55+"/>
    <s v="Afternoon"/>
  </r>
  <r>
    <n v="5861"/>
    <s v="Angela"/>
    <x v="326"/>
    <d v="2024-12-03T00:00:00"/>
    <n v="18"/>
    <x v="2"/>
    <n v="287.82"/>
    <n v="361"/>
    <x v="6"/>
    <n v="3"/>
    <n v="6"/>
    <b v="0"/>
    <n v="407"/>
    <n v="126"/>
    <s v="Germany"/>
    <s v="Debit Card"/>
    <s v="Spanish"/>
    <n v="80"/>
    <x v="5"/>
    <b v="0"/>
    <s v="Active"/>
    <n v="728"/>
    <s v="Laptop"/>
    <s v="35-44"/>
    <s v="Late Night"/>
  </r>
  <r>
    <n v="8815"/>
    <s v="Brian"/>
    <x v="349"/>
    <d v="2024-12-01T00:00:00"/>
    <n v="12"/>
    <x v="0"/>
    <n v="95.88"/>
    <n v="148"/>
    <x v="3"/>
    <n v="1"/>
    <n v="1"/>
    <b v="1"/>
    <n v="579"/>
    <n v="121"/>
    <s v="France"/>
    <s v="Cryptocurrency"/>
    <s v="Spanish"/>
    <n v="8"/>
    <x v="10"/>
    <b v="0"/>
    <s v="Active"/>
    <n v="3448"/>
    <s v="Smart TV"/>
    <s v="45-54"/>
    <s v="Evening"/>
  </r>
  <r>
    <n v="8793"/>
    <s v="Lisa"/>
    <x v="15"/>
    <d v="2024-11-21T00:00:00"/>
    <n v="6"/>
    <x v="0"/>
    <n v="47.94"/>
    <n v="162"/>
    <x v="2"/>
    <n v="2"/>
    <n v="5"/>
    <b v="1"/>
    <n v="672"/>
    <n v="57"/>
    <s v="Australia"/>
    <s v="Debit Card"/>
    <s v="Mandarin"/>
    <n v="16"/>
    <x v="5"/>
    <b v="0"/>
    <s v="Active"/>
    <n v="3930"/>
    <s v="Laptop"/>
    <s v="18-24"/>
    <s v="Afternoon"/>
  </r>
  <r>
    <n v="3469"/>
    <s v="Kimberly"/>
    <x v="101"/>
    <d v="2024-12-18T00:00:00"/>
    <n v="16"/>
    <x v="0"/>
    <n v="127.84"/>
    <n v="379"/>
    <x v="1"/>
    <n v="3"/>
    <n v="5"/>
    <b v="1"/>
    <n v="377"/>
    <n v="153"/>
    <s v="Australia"/>
    <s v="Cryptocurrency"/>
    <s v="Mandarin"/>
    <n v="67"/>
    <x v="10"/>
    <b v="1"/>
    <s v="Active"/>
    <n v="3702"/>
    <s v="Smartphone"/>
    <s v="18-24"/>
    <s v="Afternoon"/>
  </r>
  <r>
    <n v="3654"/>
    <s v="James"/>
    <x v="350"/>
    <d v="2024-12-14T00:00:00"/>
    <n v="9"/>
    <x v="2"/>
    <n v="143.91"/>
    <n v="373"/>
    <x v="5"/>
    <n v="2"/>
    <n v="6"/>
    <b v="1"/>
    <n v="818"/>
    <n v="34"/>
    <s v="Canada"/>
    <s v="PayPal"/>
    <s v="English"/>
    <n v="57"/>
    <x v="20"/>
    <b v="1"/>
    <s v="Active"/>
    <n v="2400"/>
    <s v="Desktop"/>
    <s v="45-54"/>
    <s v="Evening"/>
  </r>
  <r>
    <n v="9555"/>
    <s v="Brian"/>
    <x v="351"/>
    <d v="2024-11-22T00:00:00"/>
    <n v="3"/>
    <x v="1"/>
    <n v="35.97"/>
    <n v="354"/>
    <x v="3"/>
    <n v="1"/>
    <n v="1"/>
    <b v="1"/>
    <n v="225"/>
    <n v="1"/>
    <s v="UK"/>
    <s v="Cryptocurrency"/>
    <s v="Hindi"/>
    <n v="83"/>
    <x v="5"/>
    <b v="1"/>
    <s v="Active"/>
    <n v="548"/>
    <s v="Tablet"/>
    <s v="55+"/>
    <s v="Evening"/>
  </r>
  <r>
    <n v="4028"/>
    <s v="Juan"/>
    <x v="352"/>
    <d v="2024-12-09T00:00:00"/>
    <n v="7"/>
    <x v="0"/>
    <n v="55.93"/>
    <n v="76"/>
    <x v="4"/>
    <n v="2"/>
    <n v="4"/>
    <b v="1"/>
    <n v="324"/>
    <n v="113"/>
    <s v="Australia"/>
    <s v="Credit Card"/>
    <s v="French"/>
    <n v="87"/>
    <x v="11"/>
    <b v="0"/>
    <s v="Active"/>
    <n v="4702"/>
    <s v="Laptop"/>
    <s v="25-34"/>
    <s v="Morning"/>
  </r>
  <r>
    <n v="9499"/>
    <s v="Kevin"/>
    <x v="244"/>
    <d v="2024-12-14T00:00:00"/>
    <n v="19"/>
    <x v="1"/>
    <n v="227.81"/>
    <n v="316"/>
    <x v="0"/>
    <n v="1"/>
    <n v="3"/>
    <b v="0"/>
    <n v="793"/>
    <n v="141"/>
    <s v="USA"/>
    <s v="PayPal"/>
    <s v="German"/>
    <n v="28"/>
    <x v="15"/>
    <b v="0"/>
    <s v="Active"/>
    <n v="2821"/>
    <s v="Desktop"/>
    <s v="45-54"/>
    <s v="Morning"/>
  </r>
  <r>
    <n v="8628"/>
    <s v="Lori"/>
    <x v="51"/>
    <d v="2024-11-29T00:00:00"/>
    <n v="23"/>
    <x v="1"/>
    <n v="275.77"/>
    <n v="331"/>
    <x v="4"/>
    <n v="4"/>
    <n v="2"/>
    <b v="1"/>
    <n v="133"/>
    <n v="143"/>
    <s v="UK"/>
    <s v="PayPal"/>
    <s v="Spanish"/>
    <n v="35"/>
    <x v="3"/>
    <b v="1"/>
    <s v="Active"/>
    <n v="484"/>
    <s v="Laptop"/>
    <s v="55+"/>
    <s v="Late Night"/>
  </r>
  <r>
    <n v="9942"/>
    <s v="Michael"/>
    <x v="253"/>
    <d v="2024-11-20T00:00:00"/>
    <n v="15"/>
    <x v="2"/>
    <n v="239.85"/>
    <n v="418"/>
    <x v="3"/>
    <n v="1"/>
    <n v="5"/>
    <b v="1"/>
    <n v="260"/>
    <n v="161"/>
    <s v="Canada"/>
    <s v="Cryptocurrency"/>
    <s v="English"/>
    <n v="49"/>
    <x v="10"/>
    <b v="1"/>
    <s v="Active"/>
    <n v="2871"/>
    <s v="Smart TV"/>
    <s v="25-34"/>
    <s v="Late Night"/>
  </r>
  <r>
    <n v="4044"/>
    <s v="Cameron"/>
    <x v="353"/>
    <d v="2024-11-23T00:00:00"/>
    <n v="17"/>
    <x v="2"/>
    <n v="271.83"/>
    <n v="309"/>
    <x v="6"/>
    <n v="5"/>
    <n v="5"/>
    <b v="0"/>
    <n v="851"/>
    <n v="166"/>
    <s v="France"/>
    <s v="Cryptocurrency"/>
    <s v="Spanish"/>
    <n v="66"/>
    <x v="1"/>
    <b v="1"/>
    <s v="Active"/>
    <n v="4783"/>
    <s v="Laptop"/>
    <s v="45-54"/>
    <s v="Afternoon"/>
  </r>
  <r>
    <n v="8143"/>
    <s v="Mark"/>
    <x v="354"/>
    <d v="2024-12-11T00:00:00"/>
    <n v="6"/>
    <x v="0"/>
    <n v="47.94"/>
    <n v="252"/>
    <x v="1"/>
    <n v="3"/>
    <n v="5"/>
    <b v="1"/>
    <n v="105"/>
    <n v="118"/>
    <s v="Germany"/>
    <s v="Debit Card"/>
    <s v="German"/>
    <n v="52"/>
    <x v="16"/>
    <b v="1"/>
    <s v="Active"/>
    <n v="2725"/>
    <s v="Laptop"/>
    <s v="25-34"/>
    <s v="Morning"/>
  </r>
  <r>
    <n v="3984"/>
    <s v="Daniel"/>
    <x v="355"/>
    <d v="2024-12-01T00:00:00"/>
    <n v="20"/>
    <x v="2"/>
    <n v="319.8"/>
    <n v="146"/>
    <x v="5"/>
    <n v="4"/>
    <n v="6"/>
    <b v="0"/>
    <n v="646"/>
    <n v="139"/>
    <s v="Germany"/>
    <s v="PayPal"/>
    <s v="German"/>
    <n v="27"/>
    <x v="4"/>
    <b v="1"/>
    <s v="Active"/>
    <n v="4400"/>
    <s v="Tablet"/>
    <s v="18-24"/>
    <s v="Late Night"/>
  </r>
  <r>
    <n v="9294"/>
    <s v="Jerry"/>
    <x v="128"/>
    <d v="2024-11-21T00:00:00"/>
    <n v="21"/>
    <x v="1"/>
    <n v="251.79"/>
    <n v="352"/>
    <x v="4"/>
    <n v="4"/>
    <n v="4"/>
    <b v="1"/>
    <n v="358"/>
    <n v="6"/>
    <s v="Canada"/>
    <s v="Debit Card"/>
    <s v="Mandarin"/>
    <n v="32"/>
    <x v="20"/>
    <b v="0"/>
    <s v="Active"/>
    <n v="2218"/>
    <s v="Smartphone"/>
    <s v="25-34"/>
    <s v="Evening"/>
  </r>
  <r>
    <n v="4769"/>
    <s v="Michael"/>
    <x v="356"/>
    <d v="2024-12-17T00:00:00"/>
    <n v="9"/>
    <x v="0"/>
    <n v="71.91"/>
    <n v="43"/>
    <x v="6"/>
    <n v="5"/>
    <n v="3"/>
    <b v="1"/>
    <n v="336"/>
    <n v="135"/>
    <s v="USA"/>
    <s v="PayPal"/>
    <s v="English"/>
    <n v="70"/>
    <x v="1"/>
    <b v="1"/>
    <s v="Active"/>
    <n v="4552"/>
    <s v="Smartphone"/>
    <s v="18-24"/>
    <s v="Late Night"/>
  </r>
  <r>
    <n v="8864"/>
    <s v="Michael"/>
    <x v="357"/>
    <d v="2024-11-29T00:00:00"/>
    <n v="8"/>
    <x v="1"/>
    <n v="95.92"/>
    <n v="440"/>
    <x v="1"/>
    <n v="4"/>
    <n v="3"/>
    <b v="1"/>
    <n v="80"/>
    <n v="143"/>
    <s v="UK"/>
    <s v="Cryptocurrency"/>
    <s v="German"/>
    <n v="2"/>
    <x v="15"/>
    <b v="0"/>
    <s v="Active"/>
    <n v="4125"/>
    <s v="Tablet"/>
    <s v="35-44"/>
    <s v="Late Night"/>
  </r>
  <r>
    <n v="1857"/>
    <s v="Brittney"/>
    <x v="358"/>
    <d v="2024-11-23T00:00:00"/>
    <n v="5"/>
    <x v="2"/>
    <n v="79.95"/>
    <n v="376"/>
    <x v="6"/>
    <n v="2"/>
    <n v="2"/>
    <b v="0"/>
    <n v="326"/>
    <n v="89"/>
    <s v="India"/>
    <s v="Cryptocurrency"/>
    <s v="Spanish"/>
    <n v="84"/>
    <x v="3"/>
    <b v="1"/>
    <s v="Active"/>
    <n v="424"/>
    <s v="Laptop"/>
    <s v="55+"/>
    <s v="Late Night"/>
  </r>
  <r>
    <n v="5566"/>
    <s v="Brian"/>
    <x v="81"/>
    <d v="2024-12-07T00:00:00"/>
    <n v="11"/>
    <x v="1"/>
    <n v="131.89000000000001"/>
    <n v="137"/>
    <x v="0"/>
    <n v="3"/>
    <n v="6"/>
    <b v="1"/>
    <n v="699"/>
    <n v="70"/>
    <s v="Germany"/>
    <s v="PayPal"/>
    <s v="Spanish"/>
    <n v="25"/>
    <x v="12"/>
    <b v="1"/>
    <s v="Active"/>
    <n v="2418"/>
    <s v="Laptop"/>
    <s v="35-44"/>
    <s v="Evening"/>
  </r>
  <r>
    <n v="1373"/>
    <s v="Elizabeth"/>
    <x v="152"/>
    <d v="2024-12-12T00:00:00"/>
    <n v="20"/>
    <x v="0"/>
    <n v="159.80000000000001"/>
    <n v="301"/>
    <x v="0"/>
    <n v="2"/>
    <n v="5"/>
    <b v="0"/>
    <n v="89"/>
    <n v="55"/>
    <s v="USA"/>
    <s v="Credit Card"/>
    <s v="French"/>
    <n v="54"/>
    <x v="18"/>
    <b v="1"/>
    <s v="Active"/>
    <n v="756"/>
    <s v="Laptop"/>
    <s v="55+"/>
    <s v="Late Night"/>
  </r>
  <r>
    <n v="6345"/>
    <s v="Thomas"/>
    <x v="203"/>
    <d v="2024-12-09T00:00:00"/>
    <n v="23"/>
    <x v="0"/>
    <n v="183.77"/>
    <n v="410"/>
    <x v="3"/>
    <n v="1"/>
    <n v="1"/>
    <b v="1"/>
    <n v="909"/>
    <n v="99"/>
    <s v="Canada"/>
    <s v="PayPal"/>
    <s v="Mandarin"/>
    <n v="22"/>
    <x v="7"/>
    <b v="0"/>
    <s v="Active"/>
    <n v="754"/>
    <s v="Smart TV"/>
    <s v="25-34"/>
    <s v="Evening"/>
  </r>
  <r>
    <n v="3234"/>
    <s v="Jessica"/>
    <x v="359"/>
    <d v="2024-12-07T00:00:00"/>
    <n v="11"/>
    <x v="1"/>
    <n v="131.89000000000001"/>
    <n v="298"/>
    <x v="4"/>
    <n v="2"/>
    <n v="1"/>
    <b v="0"/>
    <n v="918"/>
    <n v="153"/>
    <s v="Australia"/>
    <s v="PayPal"/>
    <s v="Spanish"/>
    <n v="52"/>
    <x v="16"/>
    <b v="1"/>
    <s v="Active"/>
    <n v="3476"/>
    <s v="Smart TV"/>
    <s v="18-24"/>
    <s v="Morning"/>
  </r>
  <r>
    <n v="6998"/>
    <s v="Joshua"/>
    <x v="360"/>
    <d v="2024-12-02T00:00:00"/>
    <n v="8"/>
    <x v="0"/>
    <n v="63.92"/>
    <n v="54"/>
    <x v="2"/>
    <n v="4"/>
    <n v="5"/>
    <b v="1"/>
    <n v="285"/>
    <n v="66"/>
    <s v="India"/>
    <s v="Credit Card"/>
    <s v="English"/>
    <n v="43"/>
    <x v="20"/>
    <b v="0"/>
    <s v="Active"/>
    <n v="290"/>
    <s v="Tablet"/>
    <s v="45-54"/>
    <s v="Late Night"/>
  </r>
  <r>
    <n v="5809"/>
    <s v="Melissa"/>
    <x v="318"/>
    <d v="2024-11-19T00:00:00"/>
    <n v="2"/>
    <x v="0"/>
    <n v="15.98"/>
    <n v="486"/>
    <x v="4"/>
    <n v="4"/>
    <n v="3"/>
    <b v="0"/>
    <n v="463"/>
    <n v="171"/>
    <s v="UK"/>
    <s v="Debit Card"/>
    <s v="French"/>
    <n v="10"/>
    <x v="7"/>
    <b v="0"/>
    <s v="Active"/>
    <n v="987"/>
    <s v="Desktop"/>
    <s v="55+"/>
    <s v="Evening"/>
  </r>
  <r>
    <n v="6522"/>
    <s v="Bryan"/>
    <x v="339"/>
    <d v="2024-11-27T00:00:00"/>
    <n v="14"/>
    <x v="1"/>
    <n v="167.86"/>
    <n v="38"/>
    <x v="5"/>
    <n v="1"/>
    <n v="4"/>
    <b v="1"/>
    <n v="875"/>
    <n v="115"/>
    <s v="Canada"/>
    <s v="Cryptocurrency"/>
    <s v="German"/>
    <n v="75"/>
    <x v="9"/>
    <b v="1"/>
    <s v="Active"/>
    <n v="4972"/>
    <s v="Smart TV"/>
    <s v="18-24"/>
    <s v="Late Night"/>
  </r>
  <r>
    <n v="3892"/>
    <s v="Amanda"/>
    <x v="247"/>
    <d v="2024-12-03T00:00:00"/>
    <n v="16"/>
    <x v="0"/>
    <n v="127.84"/>
    <n v="442"/>
    <x v="0"/>
    <n v="3"/>
    <n v="6"/>
    <b v="1"/>
    <n v="875"/>
    <n v="70"/>
    <s v="Canada"/>
    <s v="PayPal"/>
    <s v="German"/>
    <n v="96"/>
    <x v="4"/>
    <b v="0"/>
    <s v="Active"/>
    <n v="1628"/>
    <s v="Desktop"/>
    <s v="35-44"/>
    <s v="Evening"/>
  </r>
  <r>
    <n v="4427"/>
    <s v="Walter"/>
    <x v="8"/>
    <d v="2024-11-28T00:00:00"/>
    <n v="17"/>
    <x v="0"/>
    <n v="135.83000000000001"/>
    <n v="474"/>
    <x v="4"/>
    <n v="3"/>
    <n v="5"/>
    <b v="1"/>
    <n v="341"/>
    <n v="165"/>
    <s v="Australia"/>
    <s v="Cryptocurrency"/>
    <s v="Mandarin"/>
    <n v="30"/>
    <x v="14"/>
    <b v="0"/>
    <s v="Active"/>
    <n v="1285"/>
    <s v="Smartphone"/>
    <s v="45-54"/>
    <s v="Evening"/>
  </r>
  <r>
    <n v="8145"/>
    <s v="Samuel"/>
    <x v="361"/>
    <d v="2024-11-21T00:00:00"/>
    <n v="21"/>
    <x v="2"/>
    <n v="335.79"/>
    <n v="96"/>
    <x v="5"/>
    <n v="5"/>
    <n v="1"/>
    <b v="1"/>
    <n v="273"/>
    <n v="79"/>
    <s v="UK"/>
    <s v="PayPal"/>
    <s v="English"/>
    <n v="60"/>
    <x v="5"/>
    <b v="0"/>
    <s v="Active"/>
    <n v="1960"/>
    <s v="Desktop"/>
    <s v="25-34"/>
    <s v="Afternoon"/>
  </r>
  <r>
    <n v="1150"/>
    <s v="John"/>
    <x v="234"/>
    <d v="2024-11-29T00:00:00"/>
    <n v="13"/>
    <x v="1"/>
    <n v="155.87"/>
    <n v="160"/>
    <x v="4"/>
    <n v="5"/>
    <n v="5"/>
    <b v="1"/>
    <n v="352"/>
    <n v="31"/>
    <s v="India"/>
    <s v="PayPal"/>
    <s v="Hindi"/>
    <n v="37"/>
    <x v="4"/>
    <b v="1"/>
    <s v="Active"/>
    <n v="771"/>
    <s v="Tablet"/>
    <s v="25-34"/>
    <s v="Afternoon"/>
  </r>
  <r>
    <n v="7366"/>
    <s v="Dylan"/>
    <x v="340"/>
    <d v="2024-12-15T00:00:00"/>
    <n v="5"/>
    <x v="0"/>
    <n v="39.950000000000003"/>
    <n v="451"/>
    <x v="5"/>
    <n v="3"/>
    <n v="3"/>
    <b v="0"/>
    <n v="588"/>
    <n v="147"/>
    <s v="Germany"/>
    <s v="Debit Card"/>
    <s v="German"/>
    <n v="75"/>
    <x v="0"/>
    <b v="1"/>
    <s v="Active"/>
    <n v="1785"/>
    <s v="Tablet"/>
    <s v="45-54"/>
    <s v="Evening"/>
  </r>
  <r>
    <n v="3004"/>
    <s v="Joseph"/>
    <x v="362"/>
    <d v="2024-12-18T00:00:00"/>
    <n v="1"/>
    <x v="1"/>
    <n v="11.99"/>
    <n v="184"/>
    <x v="3"/>
    <n v="3"/>
    <n v="4"/>
    <b v="0"/>
    <n v="233"/>
    <n v="15"/>
    <s v="Canada"/>
    <s v="Cryptocurrency"/>
    <s v="Mandarin"/>
    <n v="28"/>
    <x v="17"/>
    <b v="1"/>
    <s v="Active"/>
    <n v="2760"/>
    <s v="Smart TV"/>
    <s v="45-54"/>
    <s v="Late Night"/>
  </r>
  <r>
    <n v="9934"/>
    <s v="Heather"/>
    <x v="266"/>
    <d v="2024-12-16T00:00:00"/>
    <n v="11"/>
    <x v="2"/>
    <n v="175.89000000000001"/>
    <n v="50"/>
    <x v="1"/>
    <n v="2"/>
    <n v="6"/>
    <b v="1"/>
    <n v="159"/>
    <n v="131"/>
    <s v="Australia"/>
    <s v="Debit Card"/>
    <s v="Mandarin"/>
    <n v="49"/>
    <x v="20"/>
    <b v="0"/>
    <s v="Active"/>
    <n v="388"/>
    <s v="Desktop"/>
    <s v="25-34"/>
    <s v="Afternoon"/>
  </r>
  <r>
    <n v="1228"/>
    <s v="Cassandra"/>
    <x v="363"/>
    <d v="2024-12-14T00:00:00"/>
    <n v="20"/>
    <x v="0"/>
    <n v="159.80000000000001"/>
    <n v="299"/>
    <x v="4"/>
    <n v="3"/>
    <n v="1"/>
    <b v="0"/>
    <n v="488"/>
    <n v="135"/>
    <s v="Germany"/>
    <s v="Debit Card"/>
    <s v="German"/>
    <n v="100"/>
    <x v="14"/>
    <b v="0"/>
    <s v="Active"/>
    <n v="2385"/>
    <s v="Desktop"/>
    <s v="45-54"/>
    <s v="Afternoon"/>
  </r>
  <r>
    <n v="5806"/>
    <s v="Marisa"/>
    <x v="364"/>
    <d v="2024-12-15T00:00:00"/>
    <n v="4"/>
    <x v="0"/>
    <n v="31.96"/>
    <n v="495"/>
    <x v="1"/>
    <n v="5"/>
    <n v="6"/>
    <b v="0"/>
    <n v="522"/>
    <n v="32"/>
    <s v="Australia"/>
    <s v="Cryptocurrency"/>
    <s v="French"/>
    <n v="41"/>
    <x v="12"/>
    <b v="1"/>
    <s v="Active"/>
    <n v="3714"/>
    <s v="Tablet"/>
    <s v="55+"/>
    <s v="Afternoon"/>
  </r>
  <r>
    <n v="7538"/>
    <s v="Samantha"/>
    <x v="365"/>
    <d v="2024-11-26T00:00:00"/>
    <n v="6"/>
    <x v="0"/>
    <n v="47.94"/>
    <n v="132"/>
    <x v="4"/>
    <n v="4"/>
    <n v="5"/>
    <b v="1"/>
    <n v="30"/>
    <n v="177"/>
    <s v="USA"/>
    <s v="PayPal"/>
    <s v="French"/>
    <n v="31"/>
    <x v="19"/>
    <b v="0"/>
    <s v="Active"/>
    <n v="2015"/>
    <s v="Smart TV"/>
    <s v="45-54"/>
    <s v="Evening"/>
  </r>
  <r>
    <n v="1035"/>
    <s v="Katherine"/>
    <x v="38"/>
    <d v="2024-11-22T00:00:00"/>
    <n v="9"/>
    <x v="1"/>
    <n v="107.91"/>
    <n v="395"/>
    <x v="6"/>
    <n v="2"/>
    <n v="4"/>
    <b v="1"/>
    <n v="139"/>
    <n v="29"/>
    <s v="Germany"/>
    <s v="Debit Card"/>
    <s v="Spanish"/>
    <n v="44"/>
    <x v="12"/>
    <b v="1"/>
    <s v="Active"/>
    <n v="3201"/>
    <s v="Tablet"/>
    <s v="45-54"/>
    <s v="Morning"/>
  </r>
  <r>
    <n v="8399"/>
    <s v="Diana"/>
    <x v="366"/>
    <d v="2024-12-03T00:00:00"/>
    <n v="20"/>
    <x v="1"/>
    <n v="239.8"/>
    <n v="34"/>
    <x v="0"/>
    <n v="1"/>
    <n v="2"/>
    <b v="1"/>
    <n v="393"/>
    <n v="130"/>
    <s v="UK"/>
    <s v="Cryptocurrency"/>
    <s v="Mandarin"/>
    <n v="10"/>
    <x v="12"/>
    <b v="0"/>
    <s v="Active"/>
    <n v="3426"/>
    <s v="Laptop"/>
    <s v="35-44"/>
    <s v="Late Night"/>
  </r>
  <r>
    <n v="1912"/>
    <s v="Stephen"/>
    <x v="242"/>
    <d v="2024-12-14T00:00:00"/>
    <n v="16"/>
    <x v="1"/>
    <n v="191.84"/>
    <n v="348"/>
    <x v="6"/>
    <n v="1"/>
    <n v="4"/>
    <b v="0"/>
    <n v="792"/>
    <n v="67"/>
    <s v="Australia"/>
    <s v="Cryptocurrency"/>
    <s v="French"/>
    <n v="60"/>
    <x v="13"/>
    <b v="0"/>
    <s v="Active"/>
    <n v="3366"/>
    <s v="Desktop"/>
    <s v="35-44"/>
    <s v="Late Night"/>
  </r>
  <r>
    <n v="6604"/>
    <s v="Lisa"/>
    <x v="367"/>
    <d v="2024-11-22T00:00:00"/>
    <n v="5"/>
    <x v="2"/>
    <n v="79.95"/>
    <n v="247"/>
    <x v="6"/>
    <n v="5"/>
    <n v="4"/>
    <b v="0"/>
    <n v="186"/>
    <n v="158"/>
    <s v="UK"/>
    <s v="Cryptocurrency"/>
    <s v="Spanish"/>
    <n v="19"/>
    <x v="20"/>
    <b v="0"/>
    <s v="Active"/>
    <n v="125"/>
    <s v="Tablet"/>
    <s v="45-54"/>
    <s v="Evening"/>
  </r>
  <r>
    <n v="8952"/>
    <s v="Kristin"/>
    <x v="116"/>
    <d v="2024-11-22T00:00:00"/>
    <n v="21"/>
    <x v="1"/>
    <n v="251.79"/>
    <n v="216"/>
    <x v="6"/>
    <n v="1"/>
    <n v="1"/>
    <b v="0"/>
    <n v="872"/>
    <n v="150"/>
    <s v="France"/>
    <s v="Credit Card"/>
    <s v="English"/>
    <n v="10"/>
    <x v="20"/>
    <b v="1"/>
    <s v="Active"/>
    <n v="4037"/>
    <s v="Tablet"/>
    <s v="18-24"/>
    <s v="Late Night"/>
  </r>
  <r>
    <n v="2549"/>
    <s v="Autumn"/>
    <x v="188"/>
    <d v="2024-11-26T00:00:00"/>
    <n v="3"/>
    <x v="1"/>
    <n v="35.97"/>
    <n v="299"/>
    <x v="5"/>
    <n v="4"/>
    <n v="6"/>
    <b v="0"/>
    <n v="77"/>
    <n v="191"/>
    <s v="Australia"/>
    <s v="Cryptocurrency"/>
    <s v="English"/>
    <n v="85"/>
    <x v="15"/>
    <b v="1"/>
    <s v="Active"/>
    <n v="4348"/>
    <s v="Desktop"/>
    <s v="45-54"/>
    <s v="Afternoon"/>
  </r>
  <r>
    <n v="8954"/>
    <s v="Melissa"/>
    <x v="349"/>
    <d v="2024-11-27T00:00:00"/>
    <n v="12"/>
    <x v="2"/>
    <n v="191.88"/>
    <n v="315"/>
    <x v="5"/>
    <n v="2"/>
    <n v="1"/>
    <b v="1"/>
    <n v="829"/>
    <n v="178"/>
    <s v="USA"/>
    <s v="Debit Card"/>
    <s v="Spanish"/>
    <n v="53"/>
    <x v="2"/>
    <b v="0"/>
    <s v="Active"/>
    <n v="546"/>
    <s v="Smartphone"/>
    <s v="35-44"/>
    <s v="Evening"/>
  </r>
  <r>
    <n v="1922"/>
    <s v="Tiffany"/>
    <x v="129"/>
    <d v="2024-12-03T00:00:00"/>
    <n v="0"/>
    <x v="1"/>
    <n v="0"/>
    <n v="35"/>
    <x v="3"/>
    <n v="2"/>
    <n v="4"/>
    <b v="0"/>
    <n v="821"/>
    <n v="7"/>
    <s v="India"/>
    <s v="Debit Card"/>
    <s v="Mandarin"/>
    <n v="3"/>
    <x v="0"/>
    <b v="0"/>
    <s v="Active"/>
    <n v="2785"/>
    <s v="Smart TV"/>
    <s v="35-44"/>
    <s v="Afternoon"/>
  </r>
  <r>
    <n v="9861"/>
    <s v="Ashley"/>
    <x v="329"/>
    <d v="2024-12-16T00:00:00"/>
    <n v="12"/>
    <x v="2"/>
    <n v="191.88"/>
    <n v="359"/>
    <x v="5"/>
    <n v="3"/>
    <n v="1"/>
    <b v="0"/>
    <n v="265"/>
    <n v="34"/>
    <s v="Australia"/>
    <s v="Credit Card"/>
    <s v="English"/>
    <n v="64"/>
    <x v="11"/>
    <b v="1"/>
    <s v="Active"/>
    <n v="3308"/>
    <s v="Smartphone"/>
    <s v="25-34"/>
    <s v="Morning"/>
  </r>
  <r>
    <n v="4383"/>
    <s v="Tracy"/>
    <x v="55"/>
    <d v="2024-11-30T00:00:00"/>
    <n v="2"/>
    <x v="2"/>
    <n v="31.98"/>
    <n v="361"/>
    <x v="0"/>
    <n v="4"/>
    <n v="5"/>
    <b v="1"/>
    <n v="416"/>
    <n v="143"/>
    <s v="Australia"/>
    <s v="Credit Card"/>
    <s v="French"/>
    <n v="99"/>
    <x v="4"/>
    <b v="0"/>
    <s v="Active"/>
    <n v="527"/>
    <s v="Smart TV"/>
    <s v="18-24"/>
    <s v="Morning"/>
  </r>
  <r>
    <n v="4328"/>
    <s v="Amy"/>
    <x v="368"/>
    <d v="2024-11-24T00:00:00"/>
    <n v="18"/>
    <x v="1"/>
    <n v="215.82"/>
    <n v="273"/>
    <x v="0"/>
    <n v="3"/>
    <n v="4"/>
    <b v="1"/>
    <n v="253"/>
    <n v="70"/>
    <s v="Germany"/>
    <s v="PayPal"/>
    <s v="English"/>
    <n v="42"/>
    <x v="11"/>
    <b v="0"/>
    <s v="Active"/>
    <n v="837"/>
    <s v="Smartphone"/>
    <s v="25-34"/>
    <s v="Evening"/>
  </r>
  <r>
    <n v="4622"/>
    <s v="Nicholas"/>
    <x v="311"/>
    <d v="2024-12-15T00:00:00"/>
    <n v="0"/>
    <x v="0"/>
    <n v="0"/>
    <n v="47"/>
    <x v="0"/>
    <n v="2"/>
    <n v="4"/>
    <b v="1"/>
    <n v="770"/>
    <n v="2"/>
    <s v="Australia"/>
    <s v="Credit Card"/>
    <s v="English"/>
    <n v="46"/>
    <x v="9"/>
    <b v="1"/>
    <s v="Active"/>
    <n v="371"/>
    <s v="Desktop"/>
    <s v="45-54"/>
    <s v="Afternoon"/>
  </r>
  <r>
    <n v="7828"/>
    <s v="Angel"/>
    <x v="369"/>
    <d v="2024-12-02T00:00:00"/>
    <n v="19"/>
    <x v="0"/>
    <n v="151.81"/>
    <n v="477"/>
    <x v="4"/>
    <n v="5"/>
    <n v="5"/>
    <b v="0"/>
    <n v="969"/>
    <n v="12"/>
    <s v="France"/>
    <s v="Debit Card"/>
    <s v="English"/>
    <n v="37"/>
    <x v="9"/>
    <b v="0"/>
    <s v="Active"/>
    <n v="877"/>
    <s v="Tablet"/>
    <s v="25-34"/>
    <s v="Late Night"/>
  </r>
  <r>
    <n v="1393"/>
    <s v="Ryan"/>
    <x v="370"/>
    <d v="2024-12-03T00:00:00"/>
    <n v="22"/>
    <x v="0"/>
    <n v="175.78"/>
    <n v="418"/>
    <x v="0"/>
    <n v="3"/>
    <n v="4"/>
    <b v="1"/>
    <n v="701"/>
    <n v="125"/>
    <s v="India"/>
    <s v="Debit Card"/>
    <s v="Hindi"/>
    <n v="68"/>
    <x v="14"/>
    <b v="1"/>
    <s v="Active"/>
    <n v="4873"/>
    <s v="Tablet"/>
    <s v="25-34"/>
    <s v="Evening"/>
  </r>
  <r>
    <n v="9239"/>
    <s v="Daniel"/>
    <x v="371"/>
    <d v="2024-11-21T00:00:00"/>
    <n v="0"/>
    <x v="2"/>
    <n v="0"/>
    <n v="274"/>
    <x v="1"/>
    <n v="5"/>
    <n v="6"/>
    <b v="0"/>
    <n v="732"/>
    <n v="105"/>
    <s v="UK"/>
    <s v="PayPal"/>
    <s v="Hindi"/>
    <n v="36"/>
    <x v="13"/>
    <b v="1"/>
    <s v="Active"/>
    <n v="4194"/>
    <s v="Smart TV"/>
    <s v="45-54"/>
    <s v="Evening"/>
  </r>
  <r>
    <n v="1636"/>
    <s v="Elizabeth"/>
    <x v="372"/>
    <d v="2024-12-06T00:00:00"/>
    <n v="18"/>
    <x v="1"/>
    <n v="215.82"/>
    <n v="102"/>
    <x v="6"/>
    <n v="5"/>
    <n v="2"/>
    <b v="0"/>
    <n v="989"/>
    <n v="44"/>
    <s v="Australia"/>
    <s v="Cryptocurrency"/>
    <s v="English"/>
    <n v="63"/>
    <x v="14"/>
    <b v="0"/>
    <s v="Active"/>
    <n v="3118"/>
    <s v="Desktop"/>
    <s v="35-44"/>
    <s v="Late Night"/>
  </r>
  <r>
    <n v="4401"/>
    <s v="Caitlin"/>
    <x v="373"/>
    <d v="2024-12-15T00:00:00"/>
    <n v="8"/>
    <x v="2"/>
    <n v="127.92"/>
    <n v="164"/>
    <x v="3"/>
    <n v="3"/>
    <n v="5"/>
    <b v="1"/>
    <n v="89"/>
    <n v="32"/>
    <s v="Germany"/>
    <s v="Cryptocurrency"/>
    <s v="German"/>
    <n v="83"/>
    <x v="8"/>
    <b v="1"/>
    <s v="Active"/>
    <n v="2088"/>
    <s v="Tablet"/>
    <s v="55+"/>
    <s v="Evening"/>
  </r>
  <r>
    <n v="7135"/>
    <s v="Johnathan"/>
    <x v="374"/>
    <d v="2024-12-17T00:00:00"/>
    <n v="12"/>
    <x v="2"/>
    <n v="191.88"/>
    <n v="478"/>
    <x v="1"/>
    <n v="4"/>
    <n v="5"/>
    <b v="1"/>
    <n v="578"/>
    <n v="117"/>
    <s v="Germany"/>
    <s v="Credit Card"/>
    <s v="Hindi"/>
    <n v="27"/>
    <x v="11"/>
    <b v="0"/>
    <s v="Active"/>
    <n v="3468"/>
    <s v="Smart TV"/>
    <s v="45-54"/>
    <s v="Morning"/>
  </r>
  <r>
    <n v="8923"/>
    <s v="Douglas"/>
    <x v="375"/>
    <d v="2024-12-10T00:00:00"/>
    <n v="0"/>
    <x v="1"/>
    <n v="0"/>
    <n v="100"/>
    <x v="6"/>
    <n v="3"/>
    <n v="4"/>
    <b v="0"/>
    <n v="417"/>
    <n v="87"/>
    <s v="France"/>
    <s v="Credit Card"/>
    <s v="English"/>
    <n v="14"/>
    <x v="15"/>
    <b v="0"/>
    <s v="Active"/>
    <n v="3183"/>
    <s v="Smart TV"/>
    <s v="35-44"/>
    <s v="Afternoon"/>
  </r>
  <r>
    <n v="9748"/>
    <s v="Sherri"/>
    <x v="374"/>
    <d v="2024-12-07T00:00:00"/>
    <n v="11"/>
    <x v="2"/>
    <n v="175.89000000000001"/>
    <n v="264"/>
    <x v="6"/>
    <n v="2"/>
    <n v="6"/>
    <b v="0"/>
    <n v="474"/>
    <n v="10"/>
    <s v="USA"/>
    <s v="Cryptocurrency"/>
    <s v="German"/>
    <n v="18"/>
    <x v="9"/>
    <b v="1"/>
    <s v="Active"/>
    <n v="4070"/>
    <s v="Smartphone"/>
    <s v="35-44"/>
    <s v="Morning"/>
  </r>
  <r>
    <n v="7046"/>
    <s v="Eric"/>
    <x v="376"/>
    <d v="2024-12-10T00:00:00"/>
    <n v="21"/>
    <x v="2"/>
    <n v="335.79"/>
    <n v="208"/>
    <x v="4"/>
    <n v="5"/>
    <n v="6"/>
    <b v="0"/>
    <n v="512"/>
    <n v="176"/>
    <s v="Australia"/>
    <s v="PayPal"/>
    <s v="French"/>
    <n v="36"/>
    <x v="9"/>
    <b v="0"/>
    <s v="Active"/>
    <n v="4147"/>
    <s v="Smartphone"/>
    <s v="55+"/>
    <s v="Afternoon"/>
  </r>
  <r>
    <n v="9688"/>
    <s v="Mariah"/>
    <x v="283"/>
    <d v="2024-12-04T00:00:00"/>
    <n v="10"/>
    <x v="0"/>
    <n v="79.900000000000006"/>
    <n v="56"/>
    <x v="5"/>
    <n v="1"/>
    <n v="2"/>
    <b v="1"/>
    <n v="280"/>
    <n v="67"/>
    <s v="France"/>
    <s v="Cryptocurrency"/>
    <s v="Spanish"/>
    <n v="21"/>
    <x v="3"/>
    <b v="0"/>
    <s v="Active"/>
    <n v="255"/>
    <s v="Smartphone"/>
    <s v="25-34"/>
    <s v="Morning"/>
  </r>
  <r>
    <n v="6720"/>
    <s v="Michael"/>
    <x v="377"/>
    <d v="2024-12-13T00:00:00"/>
    <n v="17"/>
    <x v="2"/>
    <n v="271.83"/>
    <n v="207"/>
    <x v="4"/>
    <n v="2"/>
    <n v="2"/>
    <b v="1"/>
    <n v="494"/>
    <n v="28"/>
    <s v="France"/>
    <s v="Cryptocurrency"/>
    <s v="German"/>
    <n v="99"/>
    <x v="10"/>
    <b v="0"/>
    <s v="Active"/>
    <n v="3278"/>
    <s v="Desktop"/>
    <s v="55+"/>
    <s v="Late Night"/>
  </r>
  <r>
    <n v="2766"/>
    <s v="Jerome"/>
    <x v="378"/>
    <d v="2024-11-25T00:00:00"/>
    <n v="22"/>
    <x v="0"/>
    <n v="175.78"/>
    <n v="187"/>
    <x v="3"/>
    <n v="2"/>
    <n v="3"/>
    <b v="1"/>
    <n v="697"/>
    <n v="5"/>
    <s v="Australia"/>
    <s v="Debit Card"/>
    <s v="German"/>
    <n v="29"/>
    <x v="6"/>
    <b v="0"/>
    <s v="Active"/>
    <n v="213"/>
    <s v="Smart TV"/>
    <s v="18-24"/>
    <s v="Morning"/>
  </r>
  <r>
    <n v="3847"/>
    <s v="Cynthia"/>
    <x v="379"/>
    <d v="2024-11-23T00:00:00"/>
    <n v="8"/>
    <x v="1"/>
    <n v="95.92"/>
    <n v="62"/>
    <x v="0"/>
    <n v="3"/>
    <n v="1"/>
    <b v="1"/>
    <n v="879"/>
    <n v="128"/>
    <s v="India"/>
    <s v="PayPal"/>
    <s v="Mandarin"/>
    <n v="56"/>
    <x v="15"/>
    <b v="0"/>
    <s v="Active"/>
    <n v="2886"/>
    <s v="Laptop"/>
    <s v="25-34"/>
    <s v="Late Night"/>
  </r>
  <r>
    <n v="8554"/>
    <s v="James"/>
    <x v="9"/>
    <d v="2024-11-21T00:00:00"/>
    <n v="11"/>
    <x v="2"/>
    <n v="175.89000000000001"/>
    <n v="182"/>
    <x v="6"/>
    <n v="1"/>
    <n v="2"/>
    <b v="1"/>
    <n v="442"/>
    <n v="87"/>
    <s v="USA"/>
    <s v="Credit Card"/>
    <s v="Mandarin"/>
    <n v="62"/>
    <x v="11"/>
    <b v="0"/>
    <s v="Active"/>
    <n v="1901"/>
    <s v="Desktop"/>
    <s v="45-54"/>
    <s v="Evening"/>
  </r>
  <r>
    <n v="6569"/>
    <s v="Patrick"/>
    <x v="342"/>
    <d v="2024-11-25T00:00:00"/>
    <n v="12"/>
    <x v="0"/>
    <n v="95.88"/>
    <n v="468"/>
    <x v="6"/>
    <n v="2"/>
    <n v="3"/>
    <b v="0"/>
    <n v="514"/>
    <n v="46"/>
    <s v="Canada"/>
    <s v="Debit Card"/>
    <s v="English"/>
    <n v="74"/>
    <x v="7"/>
    <b v="0"/>
    <s v="Active"/>
    <n v="4456"/>
    <s v="Smartphone"/>
    <s v="25-34"/>
    <s v="Afternoon"/>
  </r>
  <r>
    <n v="6391"/>
    <s v="Daniel"/>
    <x v="380"/>
    <d v="2024-11-24T00:00:00"/>
    <n v="6"/>
    <x v="2"/>
    <n v="95.94"/>
    <n v="389"/>
    <x v="1"/>
    <n v="2"/>
    <n v="2"/>
    <b v="0"/>
    <n v="120"/>
    <n v="191"/>
    <s v="UK"/>
    <s v="Debit Card"/>
    <s v="English"/>
    <n v="75"/>
    <x v="20"/>
    <b v="1"/>
    <s v="Active"/>
    <n v="237"/>
    <s v="Desktop"/>
    <s v="18-24"/>
    <s v="Morning"/>
  </r>
  <r>
    <n v="4883"/>
    <s v="Devon"/>
    <x v="164"/>
    <d v="2024-12-09T00:00:00"/>
    <n v="10"/>
    <x v="2"/>
    <n v="159.9"/>
    <n v="155"/>
    <x v="0"/>
    <n v="4"/>
    <n v="5"/>
    <b v="0"/>
    <n v="573"/>
    <n v="190"/>
    <s v="India"/>
    <s v="Cryptocurrency"/>
    <s v="Spanish"/>
    <n v="86"/>
    <x v="17"/>
    <b v="1"/>
    <s v="Active"/>
    <n v="4659"/>
    <s v="Tablet"/>
    <s v="35-44"/>
    <s v="Late Night"/>
  </r>
  <r>
    <n v="4530"/>
    <s v="Rebecca"/>
    <x v="381"/>
    <d v="2024-11-26T00:00:00"/>
    <n v="11"/>
    <x v="0"/>
    <n v="87.89"/>
    <n v="331"/>
    <x v="0"/>
    <n v="1"/>
    <n v="6"/>
    <b v="1"/>
    <n v="231"/>
    <n v="199"/>
    <s v="Germany"/>
    <s v="PayPal"/>
    <s v="Mandarin"/>
    <n v="93"/>
    <x v="15"/>
    <b v="0"/>
    <s v="Active"/>
    <n v="4906"/>
    <s v="Desktop"/>
    <s v="55+"/>
    <s v="Late Night"/>
  </r>
  <r>
    <n v="6531"/>
    <s v="Amanda"/>
    <x v="148"/>
    <d v="2024-12-12T00:00:00"/>
    <n v="22"/>
    <x v="1"/>
    <n v="263.78000000000003"/>
    <n v="131"/>
    <x v="2"/>
    <n v="5"/>
    <n v="2"/>
    <b v="0"/>
    <n v="374"/>
    <n v="154"/>
    <s v="France"/>
    <s v="Debit Card"/>
    <s v="German"/>
    <n v="81"/>
    <x v="16"/>
    <b v="0"/>
    <s v="Active"/>
    <n v="1155"/>
    <s v="Laptop"/>
    <s v="35-44"/>
    <s v="Morning"/>
  </r>
  <r>
    <n v="9701"/>
    <s v="Antonio"/>
    <x v="382"/>
    <d v="2024-11-26T00:00:00"/>
    <n v="20"/>
    <x v="0"/>
    <n v="159.80000000000001"/>
    <n v="376"/>
    <x v="2"/>
    <n v="3"/>
    <n v="6"/>
    <b v="0"/>
    <n v="727"/>
    <n v="13"/>
    <s v="UK"/>
    <s v="Cryptocurrency"/>
    <s v="German"/>
    <n v="5"/>
    <x v="15"/>
    <b v="0"/>
    <s v="Active"/>
    <n v="4378"/>
    <s v="Desktop"/>
    <s v="25-34"/>
    <s v="Morning"/>
  </r>
  <r>
    <n v="4702"/>
    <s v="Christina"/>
    <x v="383"/>
    <d v="2024-12-11T00:00:00"/>
    <n v="8"/>
    <x v="0"/>
    <n v="63.92"/>
    <n v="106"/>
    <x v="4"/>
    <n v="4"/>
    <n v="6"/>
    <b v="1"/>
    <n v="858"/>
    <n v="12"/>
    <s v="Australia"/>
    <s v="Debit Card"/>
    <s v="Mandarin"/>
    <n v="25"/>
    <x v="15"/>
    <b v="1"/>
    <s v="Active"/>
    <n v="1674"/>
    <s v="Desktop"/>
    <s v="45-54"/>
    <s v="Afternoon"/>
  </r>
  <r>
    <n v="3163"/>
    <s v="Gary"/>
    <x v="384"/>
    <d v="2024-11-30T00:00:00"/>
    <n v="4"/>
    <x v="1"/>
    <n v="47.96"/>
    <n v="445"/>
    <x v="5"/>
    <n v="4"/>
    <n v="4"/>
    <b v="0"/>
    <n v="25"/>
    <n v="132"/>
    <s v="Germany"/>
    <s v="PayPal"/>
    <s v="Spanish"/>
    <n v="50"/>
    <x v="20"/>
    <b v="1"/>
    <s v="Active"/>
    <n v="2407"/>
    <s v="Smart TV"/>
    <s v="25-34"/>
    <s v="Morning"/>
  </r>
  <r>
    <n v="8719"/>
    <s v="Joshua"/>
    <x v="385"/>
    <d v="2024-11-26T00:00:00"/>
    <n v="14"/>
    <x v="2"/>
    <n v="223.86"/>
    <n v="345"/>
    <x v="3"/>
    <n v="4"/>
    <n v="5"/>
    <b v="0"/>
    <n v="180"/>
    <n v="99"/>
    <s v="UK"/>
    <s v="Cryptocurrency"/>
    <s v="French"/>
    <n v="73"/>
    <x v="9"/>
    <b v="1"/>
    <s v="Active"/>
    <n v="2636"/>
    <s v="Smartphone"/>
    <s v="18-24"/>
    <s v="Late Night"/>
  </r>
  <r>
    <n v="1282"/>
    <s v="Amy"/>
    <x v="386"/>
    <d v="2024-11-27T00:00:00"/>
    <n v="0"/>
    <x v="2"/>
    <n v="0"/>
    <n v="432"/>
    <x v="4"/>
    <n v="4"/>
    <n v="3"/>
    <b v="1"/>
    <n v="666"/>
    <n v="76"/>
    <s v="Australia"/>
    <s v="Cryptocurrency"/>
    <s v="French"/>
    <n v="92"/>
    <x v="3"/>
    <b v="0"/>
    <s v="Active"/>
    <n v="4020"/>
    <s v="Tablet"/>
    <s v="45-54"/>
    <s v="Late Night"/>
  </r>
  <r>
    <n v="4538"/>
    <s v="Andrew"/>
    <x v="387"/>
    <d v="2024-12-14T00:00:00"/>
    <n v="15"/>
    <x v="2"/>
    <n v="239.85"/>
    <n v="362"/>
    <x v="1"/>
    <n v="4"/>
    <n v="1"/>
    <b v="0"/>
    <n v="709"/>
    <n v="52"/>
    <s v="USA"/>
    <s v="Credit Card"/>
    <s v="Spanish"/>
    <n v="80"/>
    <x v="6"/>
    <b v="1"/>
    <s v="Active"/>
    <n v="4127"/>
    <s v="Smart TV"/>
    <s v="55+"/>
    <s v="Late Night"/>
  </r>
  <r>
    <n v="9538"/>
    <s v="Amanda"/>
    <x v="273"/>
    <d v="2024-11-30T00:00:00"/>
    <n v="22"/>
    <x v="2"/>
    <n v="351.78000000000003"/>
    <n v="174"/>
    <x v="1"/>
    <n v="4"/>
    <n v="3"/>
    <b v="0"/>
    <n v="30"/>
    <n v="136"/>
    <s v="USA"/>
    <s v="Cryptocurrency"/>
    <s v="Mandarin"/>
    <n v="4"/>
    <x v="2"/>
    <b v="1"/>
    <s v="Active"/>
    <n v="4503"/>
    <s v="Smartphone"/>
    <s v="35-44"/>
    <s v="Morning"/>
  </r>
  <r>
    <n v="5109"/>
    <s v="David"/>
    <x v="388"/>
    <d v="2024-12-13T00:00:00"/>
    <n v="7"/>
    <x v="1"/>
    <n v="83.93"/>
    <n v="490"/>
    <x v="3"/>
    <n v="4"/>
    <n v="3"/>
    <b v="0"/>
    <n v="466"/>
    <n v="106"/>
    <s v="Germany"/>
    <s v="Credit Card"/>
    <s v="French"/>
    <n v="91"/>
    <x v="4"/>
    <b v="0"/>
    <s v="Active"/>
    <n v="1080"/>
    <s v="Desktop"/>
    <s v="18-24"/>
    <s v="Afternoon"/>
  </r>
  <r>
    <n v="7947"/>
    <s v="Billy"/>
    <x v="215"/>
    <d v="2024-12-17T00:00:00"/>
    <n v="13"/>
    <x v="2"/>
    <n v="207.87"/>
    <n v="32"/>
    <x v="5"/>
    <n v="3"/>
    <n v="4"/>
    <b v="0"/>
    <n v="385"/>
    <n v="106"/>
    <s v="UK"/>
    <s v="Credit Card"/>
    <s v="Spanish"/>
    <n v="75"/>
    <x v="4"/>
    <b v="0"/>
    <s v="Active"/>
    <n v="1610"/>
    <s v="Laptop"/>
    <s v="35-44"/>
    <s v="Late Night"/>
  </r>
  <r>
    <n v="7546"/>
    <s v="Elizabeth"/>
    <x v="389"/>
    <d v="2024-12-10T00:00:00"/>
    <n v="1"/>
    <x v="0"/>
    <n v="7.99"/>
    <n v="48"/>
    <x v="2"/>
    <n v="1"/>
    <n v="4"/>
    <b v="0"/>
    <n v="484"/>
    <n v="131"/>
    <s v="India"/>
    <s v="Cryptocurrency"/>
    <s v="English"/>
    <n v="68"/>
    <x v="1"/>
    <b v="0"/>
    <s v="Active"/>
    <n v="1535"/>
    <s v="Smart TV"/>
    <s v="18-24"/>
    <s v="Afternoon"/>
  </r>
  <r>
    <n v="4213"/>
    <s v="Kelsey"/>
    <x v="96"/>
    <d v="2024-11-23T00:00:00"/>
    <n v="11"/>
    <x v="0"/>
    <n v="87.89"/>
    <n v="141"/>
    <x v="0"/>
    <n v="4"/>
    <n v="2"/>
    <b v="1"/>
    <n v="379"/>
    <n v="35"/>
    <s v="Canada"/>
    <s v="Cryptocurrency"/>
    <s v="Hindi"/>
    <n v="29"/>
    <x v="11"/>
    <b v="1"/>
    <s v="Active"/>
    <n v="3840"/>
    <s v="Tablet"/>
    <s v="45-54"/>
    <s v="Late Night"/>
  </r>
  <r>
    <n v="3135"/>
    <s v="Angela"/>
    <x v="390"/>
    <d v="2024-11-24T00:00:00"/>
    <n v="5"/>
    <x v="0"/>
    <n v="39.950000000000003"/>
    <n v="368"/>
    <x v="4"/>
    <n v="5"/>
    <n v="1"/>
    <b v="0"/>
    <n v="481"/>
    <n v="58"/>
    <s v="France"/>
    <s v="Cryptocurrency"/>
    <s v="German"/>
    <n v="97"/>
    <x v="1"/>
    <b v="0"/>
    <s v="Active"/>
    <n v="1108"/>
    <s v="Desktop"/>
    <s v="25-34"/>
    <s v="Evening"/>
  </r>
  <r>
    <n v="9916"/>
    <s v="Wendy"/>
    <x v="391"/>
    <d v="2024-11-21T00:00:00"/>
    <n v="8"/>
    <x v="0"/>
    <n v="63.92"/>
    <n v="227"/>
    <x v="5"/>
    <n v="5"/>
    <n v="2"/>
    <b v="1"/>
    <n v="969"/>
    <n v="175"/>
    <s v="UK"/>
    <s v="Credit Card"/>
    <s v="Spanish"/>
    <n v="11"/>
    <x v="19"/>
    <b v="0"/>
    <s v="Active"/>
    <n v="4510"/>
    <s v="Smart TV"/>
    <s v="35-44"/>
    <s v="Evening"/>
  </r>
  <r>
    <n v="2784"/>
    <s v="Matthew"/>
    <x v="392"/>
    <d v="2024-12-13T00:00:00"/>
    <n v="12"/>
    <x v="0"/>
    <n v="95.88"/>
    <n v="484"/>
    <x v="3"/>
    <n v="5"/>
    <n v="2"/>
    <b v="1"/>
    <n v="52"/>
    <n v="151"/>
    <s v="France"/>
    <s v="PayPal"/>
    <s v="French"/>
    <n v="15"/>
    <x v="2"/>
    <b v="0"/>
    <s v="Active"/>
    <n v="1042"/>
    <s v="Tablet"/>
    <s v="18-24"/>
    <s v="Late Night"/>
  </r>
  <r>
    <n v="5916"/>
    <s v="Lisa"/>
    <x v="316"/>
    <d v="2024-12-09T00:00:00"/>
    <n v="2"/>
    <x v="2"/>
    <n v="31.98"/>
    <n v="14"/>
    <x v="1"/>
    <n v="4"/>
    <n v="2"/>
    <b v="1"/>
    <n v="57"/>
    <n v="175"/>
    <s v="Germany"/>
    <s v="Debit Card"/>
    <s v="French"/>
    <n v="41"/>
    <x v="15"/>
    <b v="1"/>
    <s v="Active"/>
    <n v="2175"/>
    <s v="Laptop"/>
    <s v="18-24"/>
    <s v="Evening"/>
  </r>
  <r>
    <n v="1674"/>
    <s v="Jonathan"/>
    <x v="393"/>
    <d v="2024-12-15T00:00:00"/>
    <n v="5"/>
    <x v="1"/>
    <n v="59.95"/>
    <n v="328"/>
    <x v="5"/>
    <n v="2"/>
    <n v="2"/>
    <b v="1"/>
    <n v="415"/>
    <n v="162"/>
    <s v="UK"/>
    <s v="PayPal"/>
    <s v="French"/>
    <n v="19"/>
    <x v="16"/>
    <b v="1"/>
    <s v="Active"/>
    <n v="1311"/>
    <s v="Smartphone"/>
    <s v="35-44"/>
    <s v="Morning"/>
  </r>
  <r>
    <n v="2095"/>
    <s v="Richard"/>
    <x v="169"/>
    <d v="2024-11-29T00:00:00"/>
    <n v="3"/>
    <x v="1"/>
    <n v="35.97"/>
    <n v="279"/>
    <x v="6"/>
    <n v="5"/>
    <n v="5"/>
    <b v="1"/>
    <n v="285"/>
    <n v="92"/>
    <s v="Canada"/>
    <s v="Cryptocurrency"/>
    <s v="Mandarin"/>
    <n v="81"/>
    <x v="9"/>
    <b v="1"/>
    <s v="Active"/>
    <n v="4201"/>
    <s v="Laptop"/>
    <s v="55+"/>
    <s v="Late Night"/>
  </r>
  <r>
    <n v="9594"/>
    <s v="Matthew"/>
    <x v="394"/>
    <d v="2024-12-03T00:00:00"/>
    <n v="1"/>
    <x v="0"/>
    <n v="7.99"/>
    <n v="158"/>
    <x v="0"/>
    <n v="2"/>
    <n v="5"/>
    <b v="1"/>
    <n v="861"/>
    <n v="125"/>
    <s v="France"/>
    <s v="Credit Card"/>
    <s v="English"/>
    <n v="95"/>
    <x v="16"/>
    <b v="1"/>
    <s v="Active"/>
    <n v="513"/>
    <s v="Laptop"/>
    <s v="18-24"/>
    <s v="Late Night"/>
  </r>
  <r>
    <n v="6750"/>
    <s v="Amber"/>
    <x v="242"/>
    <d v="2024-12-02T00:00:00"/>
    <n v="16"/>
    <x v="0"/>
    <n v="127.84"/>
    <n v="422"/>
    <x v="2"/>
    <n v="3"/>
    <n v="5"/>
    <b v="0"/>
    <n v="399"/>
    <n v="27"/>
    <s v="France"/>
    <s v="Credit Card"/>
    <s v="English"/>
    <n v="12"/>
    <x v="16"/>
    <b v="1"/>
    <s v="Active"/>
    <n v="1330"/>
    <s v="Smartphone"/>
    <s v="18-24"/>
    <s v="Afternoon"/>
  </r>
  <r>
    <n v="7235"/>
    <s v="Zachary"/>
    <x v="221"/>
    <d v="2024-11-29T00:00:00"/>
    <n v="22"/>
    <x v="0"/>
    <n v="175.78"/>
    <n v="235"/>
    <x v="4"/>
    <n v="1"/>
    <n v="2"/>
    <b v="0"/>
    <n v="765"/>
    <n v="159"/>
    <s v="UK"/>
    <s v="Credit Card"/>
    <s v="Hindi"/>
    <n v="77"/>
    <x v="18"/>
    <b v="0"/>
    <s v="Active"/>
    <n v="3689"/>
    <s v="Smart TV"/>
    <s v="45-54"/>
    <s v="Evening"/>
  </r>
  <r>
    <n v="3910"/>
    <s v="Carolyn"/>
    <x v="74"/>
    <d v="2024-12-08T00:00:00"/>
    <n v="11"/>
    <x v="1"/>
    <n v="131.89000000000001"/>
    <n v="331"/>
    <x v="6"/>
    <n v="1"/>
    <n v="2"/>
    <b v="0"/>
    <n v="667"/>
    <n v="43"/>
    <s v="Australia"/>
    <s v="Debit Card"/>
    <s v="Mandarin"/>
    <n v="55"/>
    <x v="17"/>
    <b v="0"/>
    <s v="Active"/>
    <n v="670"/>
    <s v="Tablet"/>
    <s v="18-24"/>
    <s v="Afternoon"/>
  </r>
  <r>
    <n v="8190"/>
    <s v="Erica"/>
    <x v="287"/>
    <d v="2024-12-09T00:00:00"/>
    <n v="3"/>
    <x v="1"/>
    <n v="35.97"/>
    <n v="148"/>
    <x v="3"/>
    <n v="4"/>
    <n v="1"/>
    <b v="1"/>
    <n v="409"/>
    <n v="38"/>
    <s v="France"/>
    <s v="Credit Card"/>
    <s v="English"/>
    <n v="37"/>
    <x v="2"/>
    <b v="1"/>
    <s v="Active"/>
    <n v="544"/>
    <s v="Smart TV"/>
    <s v="35-44"/>
    <s v="Evening"/>
  </r>
  <r>
    <n v="5315"/>
    <s v="Donna"/>
    <x v="395"/>
    <d v="2024-11-19T00:00:00"/>
    <n v="16"/>
    <x v="0"/>
    <n v="127.84"/>
    <n v="198"/>
    <x v="4"/>
    <n v="4"/>
    <n v="3"/>
    <b v="0"/>
    <n v="202"/>
    <n v="26"/>
    <s v="Canada"/>
    <s v="Cryptocurrency"/>
    <s v="French"/>
    <n v="52"/>
    <x v="14"/>
    <b v="0"/>
    <s v="Active"/>
    <n v="1392"/>
    <s v="Laptop"/>
    <s v="25-34"/>
    <s v="Afternoon"/>
  </r>
  <r>
    <n v="7503"/>
    <s v="James"/>
    <x v="396"/>
    <d v="2024-12-03T00:00:00"/>
    <n v="18"/>
    <x v="2"/>
    <n v="287.82"/>
    <n v="81"/>
    <x v="4"/>
    <n v="3"/>
    <n v="4"/>
    <b v="0"/>
    <n v="208"/>
    <n v="144"/>
    <s v="France"/>
    <s v="Debit Card"/>
    <s v="English"/>
    <n v="12"/>
    <x v="3"/>
    <b v="0"/>
    <s v="Active"/>
    <n v="3199"/>
    <s v="Tablet"/>
    <s v="25-34"/>
    <s v="Morning"/>
  </r>
  <r>
    <n v="5788"/>
    <s v="Nicole"/>
    <x v="132"/>
    <d v="2024-11-23T00:00:00"/>
    <n v="18"/>
    <x v="1"/>
    <n v="215.82"/>
    <n v="131"/>
    <x v="4"/>
    <n v="3"/>
    <n v="3"/>
    <b v="1"/>
    <n v="382"/>
    <n v="50"/>
    <s v="Germany"/>
    <s v="Credit Card"/>
    <s v="Spanish"/>
    <n v="47"/>
    <x v="14"/>
    <b v="0"/>
    <s v="Active"/>
    <n v="4204"/>
    <s v="Laptop"/>
    <s v="25-34"/>
    <s v="Morning"/>
  </r>
  <r>
    <n v="7030"/>
    <s v="Paige"/>
    <x v="99"/>
    <d v="2024-11-23T00:00:00"/>
    <n v="8"/>
    <x v="2"/>
    <n v="127.92"/>
    <n v="210"/>
    <x v="3"/>
    <n v="3"/>
    <n v="4"/>
    <b v="0"/>
    <n v="666"/>
    <n v="164"/>
    <s v="USA"/>
    <s v="PayPal"/>
    <s v="Mandarin"/>
    <n v="38"/>
    <x v="18"/>
    <b v="0"/>
    <s v="Active"/>
    <n v="1461"/>
    <s v="Smart TV"/>
    <s v="55+"/>
    <s v="Late Night"/>
  </r>
  <r>
    <n v="6619"/>
    <s v="Cindy"/>
    <x v="141"/>
    <d v="2024-12-16T00:00:00"/>
    <n v="5"/>
    <x v="2"/>
    <n v="79.95"/>
    <n v="301"/>
    <x v="3"/>
    <n v="2"/>
    <n v="1"/>
    <b v="1"/>
    <n v="855"/>
    <n v="46"/>
    <s v="India"/>
    <s v="Cryptocurrency"/>
    <s v="Spanish"/>
    <n v="26"/>
    <x v="16"/>
    <b v="0"/>
    <s v="Active"/>
    <n v="658"/>
    <s v="Smartphone"/>
    <s v="35-44"/>
    <s v="Late Night"/>
  </r>
  <r>
    <n v="6319"/>
    <s v="Todd"/>
    <x v="397"/>
    <d v="2024-12-16T00:00:00"/>
    <n v="21"/>
    <x v="0"/>
    <n v="167.79"/>
    <n v="466"/>
    <x v="6"/>
    <n v="4"/>
    <n v="1"/>
    <b v="1"/>
    <n v="592"/>
    <n v="67"/>
    <s v="France"/>
    <s v="Debit Card"/>
    <s v="French"/>
    <n v="81"/>
    <x v="14"/>
    <b v="0"/>
    <s v="Active"/>
    <n v="423"/>
    <s v="Desktop"/>
    <s v="45-54"/>
    <s v="Morning"/>
  </r>
  <r>
    <n v="6268"/>
    <s v="Alexander"/>
    <x v="398"/>
    <d v="2024-11-26T00:00:00"/>
    <n v="10"/>
    <x v="2"/>
    <n v="159.9"/>
    <n v="336"/>
    <x v="4"/>
    <n v="5"/>
    <n v="2"/>
    <b v="0"/>
    <n v="546"/>
    <n v="16"/>
    <s v="India"/>
    <s v="PayPal"/>
    <s v="English"/>
    <n v="31"/>
    <x v="10"/>
    <b v="1"/>
    <s v="Active"/>
    <n v="2824"/>
    <s v="Smartphone"/>
    <s v="55+"/>
    <s v="Afternoon"/>
  </r>
  <r>
    <n v="5016"/>
    <s v="Beth"/>
    <x v="399"/>
    <d v="2024-12-11T00:00:00"/>
    <n v="16"/>
    <x v="1"/>
    <n v="191.84"/>
    <n v="280"/>
    <x v="5"/>
    <n v="4"/>
    <n v="3"/>
    <b v="0"/>
    <n v="633"/>
    <n v="83"/>
    <s v="USA"/>
    <s v="PayPal"/>
    <s v="Mandarin"/>
    <n v="49"/>
    <x v="0"/>
    <b v="0"/>
    <s v="Active"/>
    <n v="2657"/>
    <s v="Smart TV"/>
    <s v="55+"/>
    <s v="Afternoon"/>
  </r>
  <r>
    <n v="3888"/>
    <s v="Emily"/>
    <x v="368"/>
    <d v="2024-12-14T00:00:00"/>
    <n v="18"/>
    <x v="2"/>
    <n v="287.82"/>
    <n v="495"/>
    <x v="0"/>
    <n v="3"/>
    <n v="2"/>
    <b v="1"/>
    <n v="883"/>
    <n v="60"/>
    <s v="Australia"/>
    <s v="Cryptocurrency"/>
    <s v="English"/>
    <n v="10"/>
    <x v="6"/>
    <b v="0"/>
    <s v="Active"/>
    <n v="2213"/>
    <s v="Tablet"/>
    <s v="55+"/>
    <s v="Evening"/>
  </r>
  <r>
    <n v="9918"/>
    <s v="Melissa"/>
    <x v="400"/>
    <d v="2024-12-12T00:00:00"/>
    <n v="6"/>
    <x v="1"/>
    <n v="71.94"/>
    <n v="144"/>
    <x v="3"/>
    <n v="5"/>
    <n v="6"/>
    <b v="0"/>
    <n v="235"/>
    <n v="88"/>
    <s v="India"/>
    <s v="PayPal"/>
    <s v="Hindi"/>
    <n v="18"/>
    <x v="2"/>
    <b v="1"/>
    <s v="Active"/>
    <n v="3455"/>
    <s v="Laptop"/>
    <s v="18-24"/>
    <s v="Morning"/>
  </r>
  <r>
    <n v="7305"/>
    <s v="John"/>
    <x v="401"/>
    <d v="2024-12-02T00:00:00"/>
    <n v="21"/>
    <x v="0"/>
    <n v="167.79"/>
    <n v="165"/>
    <x v="6"/>
    <n v="5"/>
    <n v="4"/>
    <b v="0"/>
    <n v="267"/>
    <n v="146"/>
    <s v="USA"/>
    <s v="Credit Card"/>
    <s v="Spanish"/>
    <n v="34"/>
    <x v="18"/>
    <b v="1"/>
    <s v="Active"/>
    <n v="3334"/>
    <s v="Tablet"/>
    <s v="25-34"/>
    <s v="Evening"/>
  </r>
  <r>
    <n v="5719"/>
    <s v="Wendy"/>
    <x v="402"/>
    <d v="2024-12-16T00:00:00"/>
    <n v="15"/>
    <x v="1"/>
    <n v="179.85"/>
    <n v="479"/>
    <x v="3"/>
    <n v="5"/>
    <n v="2"/>
    <b v="0"/>
    <n v="710"/>
    <n v="68"/>
    <s v="Germany"/>
    <s v="Cryptocurrency"/>
    <s v="French"/>
    <n v="54"/>
    <x v="3"/>
    <b v="0"/>
    <s v="Active"/>
    <n v="105"/>
    <s v="Tablet"/>
    <s v="45-54"/>
    <s v="Afternoon"/>
  </r>
  <r>
    <n v="2334"/>
    <s v="Jeffrey"/>
    <x v="200"/>
    <d v="2024-11-24T00:00:00"/>
    <n v="8"/>
    <x v="1"/>
    <n v="95.92"/>
    <n v="285"/>
    <x v="5"/>
    <n v="2"/>
    <n v="4"/>
    <b v="0"/>
    <n v="805"/>
    <n v="42"/>
    <s v="UK"/>
    <s v="Debit Card"/>
    <s v="Hindi"/>
    <n v="90"/>
    <x v="6"/>
    <b v="0"/>
    <s v="Active"/>
    <n v="1404"/>
    <s v="Smartphone"/>
    <s v="45-54"/>
    <s v="Morning"/>
  </r>
  <r>
    <n v="1006"/>
    <s v="Sherry"/>
    <x v="403"/>
    <d v="2024-11-29T00:00:00"/>
    <n v="14"/>
    <x v="1"/>
    <n v="167.86"/>
    <n v="93"/>
    <x v="1"/>
    <n v="4"/>
    <n v="6"/>
    <b v="0"/>
    <n v="209"/>
    <n v="151"/>
    <s v="India"/>
    <s v="Credit Card"/>
    <s v="English"/>
    <n v="74"/>
    <x v="8"/>
    <b v="0"/>
    <s v="Active"/>
    <n v="1017"/>
    <s v="Smart TV"/>
    <s v="55+"/>
    <s v="Morning"/>
  </r>
  <r>
    <n v="6719"/>
    <s v="Cynthia"/>
    <x v="177"/>
    <d v="2024-11-25T00:00:00"/>
    <n v="22"/>
    <x v="2"/>
    <n v="351.78000000000003"/>
    <n v="299"/>
    <x v="4"/>
    <n v="5"/>
    <n v="2"/>
    <b v="0"/>
    <n v="803"/>
    <n v="197"/>
    <s v="Australia"/>
    <s v="Cryptocurrency"/>
    <s v="French"/>
    <n v="58"/>
    <x v="14"/>
    <b v="0"/>
    <s v="Active"/>
    <n v="2812"/>
    <s v="Desktop"/>
    <s v="25-34"/>
    <s v="Evening"/>
  </r>
  <r>
    <n v="6138"/>
    <s v="Patricia"/>
    <x v="205"/>
    <d v="2024-11-23T00:00:00"/>
    <n v="10"/>
    <x v="2"/>
    <n v="159.9"/>
    <n v="10"/>
    <x v="3"/>
    <n v="4"/>
    <n v="6"/>
    <b v="1"/>
    <n v="236"/>
    <n v="183"/>
    <s v="India"/>
    <s v="Credit Card"/>
    <s v="English"/>
    <n v="86"/>
    <x v="20"/>
    <b v="0"/>
    <s v="Active"/>
    <n v="959"/>
    <s v="Smartphone"/>
    <s v="45-54"/>
    <s v="Late Night"/>
  </r>
  <r>
    <n v="1255"/>
    <s v="Kimberly"/>
    <x v="404"/>
    <d v="2024-12-10T00:00:00"/>
    <n v="19"/>
    <x v="1"/>
    <n v="227.81"/>
    <n v="82"/>
    <x v="3"/>
    <n v="4"/>
    <n v="3"/>
    <b v="1"/>
    <n v="264"/>
    <n v="115"/>
    <s v="India"/>
    <s v="Cryptocurrency"/>
    <s v="French"/>
    <n v="30"/>
    <x v="9"/>
    <b v="1"/>
    <s v="Active"/>
    <n v="1870"/>
    <s v="Smart TV"/>
    <s v="18-24"/>
    <s v="Afternoon"/>
  </r>
  <r>
    <n v="5528"/>
    <s v="David"/>
    <x v="330"/>
    <d v="2024-12-10T00:00:00"/>
    <n v="8"/>
    <x v="1"/>
    <n v="95.92"/>
    <n v="27"/>
    <x v="0"/>
    <n v="3"/>
    <n v="6"/>
    <b v="1"/>
    <n v="767"/>
    <n v="5"/>
    <s v="Australia"/>
    <s v="Debit Card"/>
    <s v="French"/>
    <n v="69"/>
    <x v="7"/>
    <b v="1"/>
    <s v="Active"/>
    <n v="2984"/>
    <s v="Smart TV"/>
    <s v="45-54"/>
    <s v="Afternoon"/>
  </r>
  <r>
    <n v="2517"/>
    <s v="Michael"/>
    <x v="405"/>
    <d v="2024-12-01T00:00:00"/>
    <n v="7"/>
    <x v="0"/>
    <n v="55.93"/>
    <n v="105"/>
    <x v="2"/>
    <n v="2"/>
    <n v="1"/>
    <b v="1"/>
    <n v="247"/>
    <n v="104"/>
    <s v="France"/>
    <s v="PayPal"/>
    <s v="Spanish"/>
    <n v="19"/>
    <x v="7"/>
    <b v="1"/>
    <s v="Active"/>
    <n v="3379"/>
    <s v="Smartphone"/>
    <s v="35-44"/>
    <s v="Afternoon"/>
  </r>
  <r>
    <n v="9593"/>
    <s v="Erika"/>
    <x v="57"/>
    <d v="2024-11-24T00:00:00"/>
    <n v="13"/>
    <x v="2"/>
    <n v="207.87"/>
    <n v="330"/>
    <x v="4"/>
    <n v="3"/>
    <n v="1"/>
    <b v="1"/>
    <n v="69"/>
    <n v="101"/>
    <s v="UK"/>
    <s v="PayPal"/>
    <s v="English"/>
    <n v="38"/>
    <x v="8"/>
    <b v="1"/>
    <s v="Active"/>
    <n v="4990"/>
    <s v="Desktop"/>
    <s v="55+"/>
    <s v="Evening"/>
  </r>
  <r>
    <n v="7507"/>
    <s v="Rachel"/>
    <x v="356"/>
    <d v="2024-12-10T00:00:00"/>
    <n v="9"/>
    <x v="1"/>
    <n v="107.91"/>
    <n v="462"/>
    <x v="3"/>
    <n v="2"/>
    <n v="4"/>
    <b v="1"/>
    <n v="958"/>
    <n v="153"/>
    <s v="France"/>
    <s v="Credit Card"/>
    <s v="German"/>
    <n v="71"/>
    <x v="14"/>
    <b v="0"/>
    <s v="Active"/>
    <n v="2554"/>
    <s v="Smart TV"/>
    <s v="35-44"/>
    <s v="Evening"/>
  </r>
  <r>
    <n v="2884"/>
    <s v="Heather"/>
    <x v="288"/>
    <d v="2024-12-15T00:00:00"/>
    <n v="12"/>
    <x v="2"/>
    <n v="191.88"/>
    <n v="250"/>
    <x v="0"/>
    <n v="4"/>
    <n v="6"/>
    <b v="0"/>
    <n v="271"/>
    <n v="50"/>
    <s v="Germany"/>
    <s v="Cryptocurrency"/>
    <s v="Hindi"/>
    <n v="34"/>
    <x v="9"/>
    <b v="0"/>
    <s v="Active"/>
    <n v="4307"/>
    <s v="Tablet"/>
    <s v="18-24"/>
    <s v="Evening"/>
  </r>
  <r>
    <n v="6374"/>
    <s v="Terri"/>
    <x v="406"/>
    <d v="2024-11-19T00:00:00"/>
    <n v="16"/>
    <x v="2"/>
    <n v="255.84"/>
    <n v="30"/>
    <x v="0"/>
    <n v="1"/>
    <n v="1"/>
    <b v="0"/>
    <n v="178"/>
    <n v="162"/>
    <s v="India"/>
    <s v="PayPal"/>
    <s v="Mandarin"/>
    <n v="20"/>
    <x v="3"/>
    <b v="1"/>
    <s v="Active"/>
    <n v="3124"/>
    <s v="Smartphone"/>
    <s v="45-54"/>
    <s v="Afternoon"/>
  </r>
  <r>
    <n v="6888"/>
    <s v="Jose"/>
    <x v="313"/>
    <d v="2024-12-03T00:00:00"/>
    <n v="6"/>
    <x v="2"/>
    <n v="95.94"/>
    <n v="364"/>
    <x v="5"/>
    <n v="2"/>
    <n v="5"/>
    <b v="0"/>
    <n v="865"/>
    <n v="104"/>
    <s v="USA"/>
    <s v="Credit Card"/>
    <s v="Mandarin"/>
    <n v="31"/>
    <x v="2"/>
    <b v="0"/>
    <s v="Active"/>
    <n v="1261"/>
    <s v="Smartphone"/>
    <s v="35-44"/>
    <s v="Late Night"/>
  </r>
  <r>
    <n v="2788"/>
    <s v="Keith"/>
    <x v="227"/>
    <d v="2024-12-06T00:00:00"/>
    <n v="21"/>
    <x v="2"/>
    <n v="335.79"/>
    <n v="404"/>
    <x v="5"/>
    <n v="2"/>
    <n v="2"/>
    <b v="0"/>
    <n v="257"/>
    <n v="113"/>
    <s v="Germany"/>
    <s v="Credit Card"/>
    <s v="Mandarin"/>
    <n v="60"/>
    <x v="20"/>
    <b v="0"/>
    <s v="Active"/>
    <n v="1290"/>
    <s v="Smart TV"/>
    <s v="35-44"/>
    <s v="Late Night"/>
  </r>
  <r>
    <n v="7892"/>
    <s v="Nathan"/>
    <x v="407"/>
    <d v="2024-11-25T00:00:00"/>
    <n v="6"/>
    <x v="0"/>
    <n v="47.94"/>
    <n v="499"/>
    <x v="6"/>
    <n v="4"/>
    <n v="3"/>
    <b v="0"/>
    <n v="428"/>
    <n v="168"/>
    <s v="France"/>
    <s v="Credit Card"/>
    <s v="French"/>
    <n v="82"/>
    <x v="4"/>
    <b v="0"/>
    <s v="Active"/>
    <n v="874"/>
    <s v="Smartphone"/>
    <s v="55+"/>
    <s v="Morning"/>
  </r>
  <r>
    <n v="4576"/>
    <s v="Matthew"/>
    <x v="408"/>
    <d v="2024-12-16T00:00:00"/>
    <n v="4"/>
    <x v="2"/>
    <n v="63.96"/>
    <n v="480"/>
    <x v="1"/>
    <n v="2"/>
    <n v="2"/>
    <b v="1"/>
    <n v="994"/>
    <n v="78"/>
    <s v="Germany"/>
    <s v="Credit Card"/>
    <s v="Mandarin"/>
    <n v="39"/>
    <x v="5"/>
    <b v="1"/>
    <s v="Active"/>
    <n v="1734"/>
    <s v="Tablet"/>
    <s v="25-34"/>
    <s v="Morning"/>
  </r>
  <r>
    <n v="8901"/>
    <s v="Jimmy"/>
    <x v="205"/>
    <d v="2024-11-29T00:00:00"/>
    <n v="10"/>
    <x v="1"/>
    <n v="119.9"/>
    <n v="417"/>
    <x v="0"/>
    <n v="5"/>
    <n v="6"/>
    <b v="0"/>
    <n v="476"/>
    <n v="37"/>
    <s v="USA"/>
    <s v="Cryptocurrency"/>
    <s v="Hindi"/>
    <n v="12"/>
    <x v="13"/>
    <b v="1"/>
    <s v="Active"/>
    <n v="2444"/>
    <s v="Tablet"/>
    <s v="55+"/>
    <s v="Morning"/>
  </r>
  <r>
    <n v="5147"/>
    <s v="Ashley"/>
    <x v="409"/>
    <d v="2024-12-14T00:00:00"/>
    <n v="18"/>
    <x v="0"/>
    <n v="143.82"/>
    <n v="215"/>
    <x v="5"/>
    <n v="5"/>
    <n v="4"/>
    <b v="1"/>
    <n v="150"/>
    <n v="57"/>
    <s v="UK"/>
    <s v="PayPal"/>
    <s v="Hindi"/>
    <n v="76"/>
    <x v="6"/>
    <b v="0"/>
    <s v="Active"/>
    <n v="1529"/>
    <s v="Smartphone"/>
    <s v="35-44"/>
    <s v="Late Night"/>
  </r>
  <r>
    <n v="8646"/>
    <s v="Steven"/>
    <x v="410"/>
    <d v="2024-12-06T00:00:00"/>
    <n v="11"/>
    <x v="0"/>
    <n v="87.89"/>
    <n v="234"/>
    <x v="0"/>
    <n v="2"/>
    <n v="6"/>
    <b v="1"/>
    <n v="580"/>
    <n v="149"/>
    <s v="UK"/>
    <s v="PayPal"/>
    <s v="French"/>
    <n v="31"/>
    <x v="20"/>
    <b v="1"/>
    <s v="Active"/>
    <n v="1976"/>
    <s v="Laptop"/>
    <s v="55+"/>
    <s v="Late Night"/>
  </r>
  <r>
    <n v="8343"/>
    <s v="Ashley"/>
    <x v="411"/>
    <d v="2024-12-17T00:00:00"/>
    <n v="1"/>
    <x v="0"/>
    <n v="7.99"/>
    <n v="103"/>
    <x v="0"/>
    <n v="2"/>
    <n v="6"/>
    <b v="0"/>
    <n v="284"/>
    <n v="84"/>
    <s v="France"/>
    <s v="PayPal"/>
    <s v="English"/>
    <n v="30"/>
    <x v="1"/>
    <b v="0"/>
    <s v="Active"/>
    <n v="3452"/>
    <s v="Smartphone"/>
    <s v="55+"/>
    <s v="Afternoon"/>
  </r>
  <r>
    <n v="9332"/>
    <s v="Robert"/>
    <x v="233"/>
    <d v="2024-12-18T00:00:00"/>
    <n v="18"/>
    <x v="2"/>
    <n v="287.82"/>
    <n v="191"/>
    <x v="3"/>
    <n v="5"/>
    <n v="1"/>
    <b v="0"/>
    <n v="688"/>
    <n v="192"/>
    <s v="USA"/>
    <s v="PayPal"/>
    <s v="Hindi"/>
    <n v="71"/>
    <x v="1"/>
    <b v="0"/>
    <s v="Active"/>
    <n v="2610"/>
    <s v="Smart TV"/>
    <s v="18-24"/>
    <s v="Morning"/>
  </r>
  <r>
    <n v="7398"/>
    <s v="Valerie"/>
    <x v="381"/>
    <d v="2024-12-15T00:00:00"/>
    <n v="12"/>
    <x v="1"/>
    <n v="143.88"/>
    <n v="82"/>
    <x v="1"/>
    <n v="5"/>
    <n v="1"/>
    <b v="1"/>
    <n v="93"/>
    <n v="46"/>
    <s v="Canada"/>
    <s v="PayPal"/>
    <s v="German"/>
    <n v="41"/>
    <x v="9"/>
    <b v="1"/>
    <s v="Active"/>
    <n v="3152"/>
    <s v="Smartphone"/>
    <s v="25-34"/>
    <s v="Evening"/>
  </r>
  <r>
    <n v="3572"/>
    <s v="Adam"/>
    <x v="138"/>
    <d v="2024-12-15T00:00:00"/>
    <n v="8"/>
    <x v="1"/>
    <n v="95.92"/>
    <n v="468"/>
    <x v="3"/>
    <n v="5"/>
    <n v="6"/>
    <b v="1"/>
    <n v="799"/>
    <n v="44"/>
    <s v="India"/>
    <s v="PayPal"/>
    <s v="Spanish"/>
    <n v="98"/>
    <x v="11"/>
    <b v="0"/>
    <s v="Active"/>
    <n v="4963"/>
    <s v="Tablet"/>
    <s v="18-24"/>
    <s v="Evening"/>
  </r>
  <r>
    <n v="4590"/>
    <s v="Tracy"/>
    <x v="98"/>
    <d v="2024-12-03T00:00:00"/>
    <n v="17"/>
    <x v="1"/>
    <n v="203.83"/>
    <n v="366"/>
    <x v="6"/>
    <n v="4"/>
    <n v="3"/>
    <b v="0"/>
    <n v="327"/>
    <n v="1"/>
    <s v="UK"/>
    <s v="Debit Card"/>
    <s v="Hindi"/>
    <n v="56"/>
    <x v="10"/>
    <b v="1"/>
    <s v="Active"/>
    <n v="3290"/>
    <s v="Desktop"/>
    <s v="55+"/>
    <s v="Late Night"/>
  </r>
  <r>
    <n v="1831"/>
    <s v="Jennifer"/>
    <x v="193"/>
    <d v="2024-12-11T00:00:00"/>
    <n v="1"/>
    <x v="0"/>
    <n v="7.99"/>
    <n v="53"/>
    <x v="2"/>
    <n v="1"/>
    <n v="4"/>
    <b v="0"/>
    <n v="685"/>
    <n v="127"/>
    <s v="Germany"/>
    <s v="Credit Card"/>
    <s v="English"/>
    <n v="26"/>
    <x v="13"/>
    <b v="1"/>
    <s v="Active"/>
    <n v="2596"/>
    <s v="Smart TV"/>
    <s v="45-54"/>
    <s v="Late Night"/>
  </r>
  <r>
    <n v="6899"/>
    <s v="Paul"/>
    <x v="412"/>
    <d v="2024-12-05T00:00:00"/>
    <n v="20"/>
    <x v="2"/>
    <n v="319.8"/>
    <n v="102"/>
    <x v="4"/>
    <n v="1"/>
    <n v="1"/>
    <b v="1"/>
    <n v="604"/>
    <n v="107"/>
    <s v="France"/>
    <s v="Cryptocurrency"/>
    <s v="French"/>
    <n v="9"/>
    <x v="5"/>
    <b v="0"/>
    <s v="Active"/>
    <n v="745"/>
    <s v="Tablet"/>
    <s v="25-34"/>
    <s v="Late Night"/>
  </r>
  <r>
    <n v="1148"/>
    <s v="Jennifer"/>
    <x v="118"/>
    <d v="2024-11-28T00:00:00"/>
    <n v="5"/>
    <x v="2"/>
    <n v="79.95"/>
    <n v="259"/>
    <x v="0"/>
    <n v="1"/>
    <n v="5"/>
    <b v="1"/>
    <n v="597"/>
    <n v="165"/>
    <s v="Germany"/>
    <s v="Cryptocurrency"/>
    <s v="German"/>
    <n v="33"/>
    <x v="18"/>
    <b v="1"/>
    <s v="Active"/>
    <n v="668"/>
    <s v="Tablet"/>
    <s v="25-34"/>
    <s v="Morning"/>
  </r>
  <r>
    <n v="3745"/>
    <s v="Angela"/>
    <x v="194"/>
    <d v="2024-12-16T00:00:00"/>
    <n v="3"/>
    <x v="1"/>
    <n v="35.97"/>
    <n v="81"/>
    <x v="6"/>
    <n v="2"/>
    <n v="4"/>
    <b v="0"/>
    <n v="451"/>
    <n v="49"/>
    <s v="Canada"/>
    <s v="Debit Card"/>
    <s v="English"/>
    <n v="11"/>
    <x v="9"/>
    <b v="1"/>
    <s v="Active"/>
    <n v="3282"/>
    <s v="Tablet"/>
    <s v="35-44"/>
    <s v="Late Night"/>
  </r>
  <r>
    <n v="5084"/>
    <s v="Miranda"/>
    <x v="73"/>
    <d v="2024-11-22T00:00:00"/>
    <n v="12"/>
    <x v="1"/>
    <n v="143.88"/>
    <n v="135"/>
    <x v="0"/>
    <n v="4"/>
    <n v="6"/>
    <b v="0"/>
    <n v="50"/>
    <n v="15"/>
    <s v="Canada"/>
    <s v="Credit Card"/>
    <s v="French"/>
    <n v="91"/>
    <x v="16"/>
    <b v="0"/>
    <s v="Active"/>
    <n v="1510"/>
    <s v="Smart TV"/>
    <s v="55+"/>
    <s v="Late Night"/>
  </r>
  <r>
    <n v="7179"/>
    <s v="Michael"/>
    <x v="413"/>
    <d v="2024-11-29T00:00:00"/>
    <n v="14"/>
    <x v="1"/>
    <n v="167.86"/>
    <n v="465"/>
    <x v="5"/>
    <n v="2"/>
    <n v="3"/>
    <b v="1"/>
    <n v="987"/>
    <n v="91"/>
    <s v="France"/>
    <s v="Debit Card"/>
    <s v="Mandarin"/>
    <n v="8"/>
    <x v="3"/>
    <b v="1"/>
    <s v="Active"/>
    <n v="1206"/>
    <s v="Smartphone"/>
    <s v="35-44"/>
    <s v="Morning"/>
  </r>
  <r>
    <n v="1005"/>
    <s v="Joseph"/>
    <x v="236"/>
    <d v="2024-12-10T00:00:00"/>
    <n v="21"/>
    <x v="1"/>
    <n v="251.79"/>
    <n v="163"/>
    <x v="4"/>
    <n v="2"/>
    <n v="1"/>
    <b v="0"/>
    <n v="817"/>
    <n v="182"/>
    <s v="India"/>
    <s v="Credit Card"/>
    <s v="English"/>
    <n v="43"/>
    <x v="3"/>
    <b v="1"/>
    <s v="Active"/>
    <n v="168"/>
    <s v="Laptop"/>
    <s v="55+"/>
    <s v="Afternoon"/>
  </r>
  <r>
    <n v="6405"/>
    <s v="Adam"/>
    <x v="414"/>
    <d v="2024-12-11T00:00:00"/>
    <n v="19"/>
    <x v="1"/>
    <n v="227.81"/>
    <n v="321"/>
    <x v="5"/>
    <n v="1"/>
    <n v="6"/>
    <b v="1"/>
    <n v="361"/>
    <n v="12"/>
    <s v="India"/>
    <s v="Cryptocurrency"/>
    <s v="German"/>
    <n v="72"/>
    <x v="11"/>
    <b v="1"/>
    <s v="Active"/>
    <n v="1303"/>
    <s v="Tablet"/>
    <s v="18-24"/>
    <s v="Late Night"/>
  </r>
  <r>
    <n v="5215"/>
    <s v="Robert"/>
    <x v="244"/>
    <d v="2024-12-17T00:00:00"/>
    <n v="20"/>
    <x v="0"/>
    <n v="159.80000000000001"/>
    <n v="212"/>
    <x v="6"/>
    <n v="5"/>
    <n v="5"/>
    <b v="0"/>
    <n v="146"/>
    <n v="147"/>
    <s v="UK"/>
    <s v="Debit Card"/>
    <s v="French"/>
    <n v="23"/>
    <x v="15"/>
    <b v="0"/>
    <s v="Active"/>
    <n v="1365"/>
    <s v="Smart TV"/>
    <s v="18-24"/>
    <s v="Afternoon"/>
  </r>
  <r>
    <n v="7525"/>
    <s v="Michelle"/>
    <x v="415"/>
    <d v="2024-12-18T00:00:00"/>
    <n v="5"/>
    <x v="2"/>
    <n v="79.95"/>
    <n v="453"/>
    <x v="0"/>
    <n v="1"/>
    <n v="4"/>
    <b v="0"/>
    <n v="313"/>
    <n v="1"/>
    <s v="Germany"/>
    <s v="PayPal"/>
    <s v="English"/>
    <n v="7"/>
    <x v="4"/>
    <b v="1"/>
    <s v="Active"/>
    <n v="1563"/>
    <s v="Smart TV"/>
    <s v="25-34"/>
    <s v="Morning"/>
  </r>
  <r>
    <n v="9115"/>
    <s v="Jennifer"/>
    <x v="166"/>
    <d v="2024-12-17T00:00:00"/>
    <n v="5"/>
    <x v="1"/>
    <n v="59.95"/>
    <n v="34"/>
    <x v="5"/>
    <n v="1"/>
    <n v="1"/>
    <b v="0"/>
    <n v="80"/>
    <n v="71"/>
    <s v="Canada"/>
    <s v="Credit Card"/>
    <s v="German"/>
    <n v="55"/>
    <x v="10"/>
    <b v="0"/>
    <s v="Active"/>
    <n v="1172"/>
    <s v="Laptop"/>
    <s v="45-54"/>
    <s v="Late Night"/>
  </r>
  <r>
    <n v="6454"/>
    <s v="Nicholas"/>
    <x v="416"/>
    <d v="2024-12-15T00:00:00"/>
    <n v="8"/>
    <x v="2"/>
    <n v="127.92"/>
    <n v="197"/>
    <x v="5"/>
    <n v="1"/>
    <n v="4"/>
    <b v="1"/>
    <n v="860"/>
    <n v="42"/>
    <s v="USA"/>
    <s v="Credit Card"/>
    <s v="French"/>
    <n v="97"/>
    <x v="1"/>
    <b v="1"/>
    <s v="Active"/>
    <n v="1704"/>
    <s v="Tablet"/>
    <s v="35-44"/>
    <s v="Afternoon"/>
  </r>
  <r>
    <n v="4781"/>
    <s v="Sierra"/>
    <x v="212"/>
    <d v="2024-12-01T00:00:00"/>
    <n v="7"/>
    <x v="2"/>
    <n v="111.93"/>
    <n v="361"/>
    <x v="5"/>
    <n v="5"/>
    <n v="3"/>
    <b v="1"/>
    <n v="67"/>
    <n v="66"/>
    <s v="India"/>
    <s v="PayPal"/>
    <s v="German"/>
    <n v="3"/>
    <x v="4"/>
    <b v="1"/>
    <s v="Active"/>
    <n v="4421"/>
    <s v="Tablet"/>
    <s v="55+"/>
    <s v="Evening"/>
  </r>
  <r>
    <n v="5040"/>
    <s v="Andre"/>
    <x v="171"/>
    <d v="2024-12-02T00:00:00"/>
    <n v="11"/>
    <x v="1"/>
    <n v="131.89000000000001"/>
    <n v="166"/>
    <x v="2"/>
    <n v="5"/>
    <n v="2"/>
    <b v="1"/>
    <n v="178"/>
    <n v="61"/>
    <s v="France"/>
    <s v="Debit Card"/>
    <s v="French"/>
    <n v="30"/>
    <x v="2"/>
    <b v="0"/>
    <s v="Active"/>
    <n v="2964"/>
    <s v="Smartphone"/>
    <s v="18-24"/>
    <s v="Late Night"/>
  </r>
  <r>
    <n v="3209"/>
    <s v="Ann"/>
    <x v="392"/>
    <d v="2024-11-26T00:00:00"/>
    <n v="12"/>
    <x v="0"/>
    <n v="95.88"/>
    <n v="168"/>
    <x v="3"/>
    <n v="3"/>
    <n v="1"/>
    <b v="0"/>
    <n v="113"/>
    <n v="85"/>
    <s v="UK"/>
    <s v="Cryptocurrency"/>
    <s v="Spanish"/>
    <n v="52"/>
    <x v="9"/>
    <b v="0"/>
    <s v="Active"/>
    <n v="1094"/>
    <s v="Smartphone"/>
    <s v="18-24"/>
    <s v="Evening"/>
  </r>
  <r>
    <n v="8703"/>
    <s v="Ryan"/>
    <x v="97"/>
    <d v="2024-11-22T00:00:00"/>
    <n v="4"/>
    <x v="2"/>
    <n v="63.96"/>
    <n v="336"/>
    <x v="1"/>
    <n v="1"/>
    <n v="4"/>
    <b v="1"/>
    <n v="855"/>
    <n v="186"/>
    <s v="Canada"/>
    <s v="PayPal"/>
    <s v="Mandarin"/>
    <n v="54"/>
    <x v="10"/>
    <b v="0"/>
    <s v="Active"/>
    <n v="3674"/>
    <s v="Tablet"/>
    <s v="25-34"/>
    <s v="Late Night"/>
  </r>
  <r>
    <n v="2536"/>
    <s v="Christopher"/>
    <x v="200"/>
    <d v="2024-12-14T00:00:00"/>
    <n v="9"/>
    <x v="2"/>
    <n v="143.91"/>
    <n v="212"/>
    <x v="4"/>
    <n v="2"/>
    <n v="4"/>
    <b v="0"/>
    <n v="608"/>
    <n v="96"/>
    <s v="France"/>
    <s v="Cryptocurrency"/>
    <s v="Mandarin"/>
    <n v="76"/>
    <x v="1"/>
    <b v="0"/>
    <s v="Active"/>
    <n v="296"/>
    <s v="Smart TV"/>
    <s v="55+"/>
    <s v="Afternoon"/>
  </r>
  <r>
    <n v="2057"/>
    <s v="Jocelyn"/>
    <x v="417"/>
    <d v="2024-11-23T00:00:00"/>
    <n v="18"/>
    <x v="0"/>
    <n v="143.82"/>
    <n v="185"/>
    <x v="4"/>
    <n v="3"/>
    <n v="6"/>
    <b v="1"/>
    <n v="804"/>
    <n v="49"/>
    <s v="USA"/>
    <s v="Credit Card"/>
    <s v="Mandarin"/>
    <n v="32"/>
    <x v="13"/>
    <b v="0"/>
    <s v="Active"/>
    <n v="4164"/>
    <s v="Smartphone"/>
    <s v="35-44"/>
    <s v="Morning"/>
  </r>
  <r>
    <n v="5627"/>
    <s v="Kara"/>
    <x v="418"/>
    <d v="2024-12-05T00:00:00"/>
    <n v="10"/>
    <x v="1"/>
    <n v="119.9"/>
    <n v="124"/>
    <x v="2"/>
    <n v="4"/>
    <n v="2"/>
    <b v="1"/>
    <n v="207"/>
    <n v="140"/>
    <s v="USA"/>
    <s v="Cryptocurrency"/>
    <s v="Hindi"/>
    <n v="44"/>
    <x v="14"/>
    <b v="1"/>
    <s v="Active"/>
    <n v="3349"/>
    <s v="Laptop"/>
    <s v="45-54"/>
    <s v="Evening"/>
  </r>
  <r>
    <n v="4763"/>
    <s v="Dustin"/>
    <x v="419"/>
    <d v="2024-12-05T00:00:00"/>
    <n v="9"/>
    <x v="2"/>
    <n v="143.91"/>
    <n v="256"/>
    <x v="0"/>
    <n v="1"/>
    <n v="1"/>
    <b v="0"/>
    <n v="118"/>
    <n v="104"/>
    <s v="Australia"/>
    <s v="Debit Card"/>
    <s v="Mandarin"/>
    <n v="8"/>
    <x v="17"/>
    <b v="0"/>
    <s v="Active"/>
    <n v="2830"/>
    <s v="Desktop"/>
    <s v="45-54"/>
    <s v="Evening"/>
  </r>
  <r>
    <n v="4577"/>
    <s v="Kevin"/>
    <x v="340"/>
    <d v="2024-12-11T00:00:00"/>
    <n v="5"/>
    <x v="1"/>
    <n v="59.95"/>
    <n v="58"/>
    <x v="5"/>
    <n v="1"/>
    <n v="6"/>
    <b v="0"/>
    <n v="983"/>
    <n v="8"/>
    <s v="UK"/>
    <s v="Credit Card"/>
    <s v="English"/>
    <n v="75"/>
    <x v="5"/>
    <b v="1"/>
    <s v="Active"/>
    <n v="2409"/>
    <s v="Tablet"/>
    <s v="55+"/>
    <s v="Afternoon"/>
  </r>
  <r>
    <n v="5216"/>
    <s v="Tammy"/>
    <x v="420"/>
    <d v="2024-11-21T00:00:00"/>
    <n v="1"/>
    <x v="2"/>
    <n v="15.99"/>
    <n v="135"/>
    <x v="5"/>
    <n v="3"/>
    <n v="2"/>
    <b v="0"/>
    <n v="523"/>
    <n v="159"/>
    <s v="USA"/>
    <s v="Debit Card"/>
    <s v="Hindi"/>
    <n v="11"/>
    <x v="14"/>
    <b v="1"/>
    <s v="Active"/>
    <n v="2872"/>
    <s v="Laptop"/>
    <s v="25-34"/>
    <s v="Late Night"/>
  </r>
  <r>
    <n v="3941"/>
    <s v="Krista"/>
    <x v="282"/>
    <d v="2024-11-29T00:00:00"/>
    <n v="2"/>
    <x v="1"/>
    <n v="23.98"/>
    <n v="163"/>
    <x v="6"/>
    <n v="5"/>
    <n v="2"/>
    <b v="0"/>
    <n v="786"/>
    <n v="94"/>
    <s v="UK"/>
    <s v="Cryptocurrency"/>
    <s v="Mandarin"/>
    <n v="18"/>
    <x v="3"/>
    <b v="1"/>
    <s v="Active"/>
    <n v="1364"/>
    <s v="Laptop"/>
    <s v="25-34"/>
    <s v="Evening"/>
  </r>
  <r>
    <n v="4396"/>
    <s v="Jesse"/>
    <x v="421"/>
    <d v="2024-12-17T00:00:00"/>
    <n v="23"/>
    <x v="2"/>
    <n v="367.77"/>
    <n v="120"/>
    <x v="1"/>
    <n v="2"/>
    <n v="3"/>
    <b v="0"/>
    <n v="781"/>
    <n v="97"/>
    <s v="Canada"/>
    <s v="Credit Card"/>
    <s v="English"/>
    <n v="46"/>
    <x v="0"/>
    <b v="1"/>
    <s v="Active"/>
    <n v="473"/>
    <s v="Smart TV"/>
    <s v="18-24"/>
    <s v="Evening"/>
  </r>
  <r>
    <n v="4865"/>
    <s v="Charles"/>
    <x v="422"/>
    <d v="2024-11-28T00:00:00"/>
    <n v="11"/>
    <x v="0"/>
    <n v="87.89"/>
    <n v="439"/>
    <x v="2"/>
    <n v="1"/>
    <n v="5"/>
    <b v="1"/>
    <n v="434"/>
    <n v="104"/>
    <s v="France"/>
    <s v="PayPal"/>
    <s v="Hindi"/>
    <n v="36"/>
    <x v="6"/>
    <b v="1"/>
    <s v="Active"/>
    <n v="4883"/>
    <s v="Smartphone"/>
    <s v="55+"/>
    <s v="Morning"/>
  </r>
  <r>
    <n v="2497"/>
    <s v="Diana"/>
    <x v="242"/>
    <d v="2024-11-30T00:00:00"/>
    <n v="16"/>
    <x v="0"/>
    <n v="127.84"/>
    <n v="223"/>
    <x v="3"/>
    <n v="1"/>
    <n v="4"/>
    <b v="0"/>
    <n v="824"/>
    <n v="125"/>
    <s v="UK"/>
    <s v="Credit Card"/>
    <s v="Hindi"/>
    <n v="56"/>
    <x v="6"/>
    <b v="1"/>
    <s v="Active"/>
    <n v="99"/>
    <s v="Smart TV"/>
    <s v="18-24"/>
    <s v="Evening"/>
  </r>
  <r>
    <n v="4945"/>
    <s v="Alexander"/>
    <x v="352"/>
    <d v="2024-11-22T00:00:00"/>
    <n v="6"/>
    <x v="1"/>
    <n v="71.94"/>
    <n v="485"/>
    <x v="6"/>
    <n v="1"/>
    <n v="1"/>
    <b v="1"/>
    <n v="230"/>
    <n v="21"/>
    <s v="Canada"/>
    <s v="PayPal"/>
    <s v="Spanish"/>
    <n v="83"/>
    <x v="13"/>
    <b v="0"/>
    <s v="Active"/>
    <n v="2284"/>
    <s v="Smartphone"/>
    <s v="45-54"/>
    <s v="Afternoon"/>
  </r>
  <r>
    <n v="5227"/>
    <s v="Eugene"/>
    <x v="423"/>
    <d v="2024-12-06T00:00:00"/>
    <n v="9"/>
    <x v="0"/>
    <n v="71.91"/>
    <n v="474"/>
    <x v="1"/>
    <n v="3"/>
    <n v="6"/>
    <b v="1"/>
    <n v="358"/>
    <n v="147"/>
    <s v="USA"/>
    <s v="Cryptocurrency"/>
    <s v="Hindi"/>
    <n v="44"/>
    <x v="12"/>
    <b v="1"/>
    <s v="Active"/>
    <n v="3505"/>
    <s v="Tablet"/>
    <s v="25-34"/>
    <s v="Morning"/>
  </r>
  <r>
    <n v="2150"/>
    <s v="Danielle"/>
    <x v="424"/>
    <d v="2024-12-09T00:00:00"/>
    <n v="7"/>
    <x v="1"/>
    <n v="83.93"/>
    <n v="259"/>
    <x v="4"/>
    <n v="2"/>
    <n v="1"/>
    <b v="0"/>
    <n v="380"/>
    <n v="9"/>
    <s v="USA"/>
    <s v="Cryptocurrency"/>
    <s v="Mandarin"/>
    <n v="49"/>
    <x v="7"/>
    <b v="0"/>
    <s v="Active"/>
    <n v="412"/>
    <s v="Smartphone"/>
    <s v="55+"/>
    <s v="Evening"/>
  </r>
  <r>
    <n v="7145"/>
    <s v="Abigail"/>
    <x v="237"/>
    <d v="2024-11-22T00:00:00"/>
    <n v="0"/>
    <x v="0"/>
    <n v="0"/>
    <n v="53"/>
    <x v="1"/>
    <n v="2"/>
    <n v="1"/>
    <b v="0"/>
    <n v="647"/>
    <n v="165"/>
    <s v="USA"/>
    <s v="PayPal"/>
    <s v="Spanish"/>
    <n v="88"/>
    <x v="1"/>
    <b v="0"/>
    <s v="Active"/>
    <n v="4867"/>
    <s v="Tablet"/>
    <s v="45-54"/>
    <s v="Late Night"/>
  </r>
  <r>
    <n v="2040"/>
    <s v="Hayden"/>
    <x v="425"/>
    <d v="2024-11-30T00:00:00"/>
    <n v="1"/>
    <x v="0"/>
    <n v="7.99"/>
    <n v="221"/>
    <x v="4"/>
    <n v="1"/>
    <n v="3"/>
    <b v="1"/>
    <n v="518"/>
    <n v="157"/>
    <s v="Australia"/>
    <s v="Cryptocurrency"/>
    <s v="English"/>
    <n v="4"/>
    <x v="4"/>
    <b v="1"/>
    <s v="Active"/>
    <n v="2560"/>
    <s v="Laptop"/>
    <s v="18-24"/>
    <s v="Late Night"/>
  </r>
  <r>
    <n v="4191"/>
    <s v="Barbara"/>
    <x v="155"/>
    <d v="2024-12-03T00:00:00"/>
    <n v="19"/>
    <x v="0"/>
    <n v="151.81"/>
    <n v="46"/>
    <x v="4"/>
    <n v="2"/>
    <n v="4"/>
    <b v="0"/>
    <n v="33"/>
    <n v="120"/>
    <s v="Germany"/>
    <s v="Cryptocurrency"/>
    <s v="Hindi"/>
    <n v="77"/>
    <x v="12"/>
    <b v="1"/>
    <s v="Active"/>
    <n v="4269"/>
    <s v="Tablet"/>
    <s v="35-44"/>
    <s v="Evening"/>
  </r>
  <r>
    <n v="4336"/>
    <s v="Jennifer"/>
    <x v="2"/>
    <d v="2024-12-11T00:00:00"/>
    <n v="16"/>
    <x v="2"/>
    <n v="255.84"/>
    <n v="253"/>
    <x v="3"/>
    <n v="4"/>
    <n v="2"/>
    <b v="0"/>
    <n v="660"/>
    <n v="151"/>
    <s v="UK"/>
    <s v="Cryptocurrency"/>
    <s v="Hindi"/>
    <n v="43"/>
    <x v="15"/>
    <b v="1"/>
    <s v="Active"/>
    <n v="1317"/>
    <s v="Smartphone"/>
    <s v="18-24"/>
    <s v="Late Night"/>
  </r>
  <r>
    <n v="5438"/>
    <s v="Lindsey"/>
    <x v="426"/>
    <d v="2024-11-30T00:00:00"/>
    <n v="13"/>
    <x v="1"/>
    <n v="155.87"/>
    <n v="478"/>
    <x v="1"/>
    <n v="1"/>
    <n v="6"/>
    <b v="1"/>
    <n v="517"/>
    <n v="200"/>
    <s v="France"/>
    <s v="Debit Card"/>
    <s v="Hindi"/>
    <n v="41"/>
    <x v="14"/>
    <b v="0"/>
    <s v="Active"/>
    <n v="2936"/>
    <s v="Smart TV"/>
    <s v="45-54"/>
    <s v="Late Night"/>
  </r>
  <r>
    <n v="9857"/>
    <s v="April"/>
    <x v="427"/>
    <d v="2024-12-02T00:00:00"/>
    <n v="14"/>
    <x v="0"/>
    <n v="111.86"/>
    <n v="145"/>
    <x v="0"/>
    <n v="2"/>
    <n v="5"/>
    <b v="0"/>
    <n v="882"/>
    <n v="23"/>
    <s v="Germany"/>
    <s v="Cryptocurrency"/>
    <s v="French"/>
    <n v="79"/>
    <x v="19"/>
    <b v="1"/>
    <s v="Active"/>
    <n v="905"/>
    <s v="Smart TV"/>
    <s v="45-54"/>
    <s v="Morning"/>
  </r>
  <r>
    <n v="4767"/>
    <s v="Charles"/>
    <x v="56"/>
    <d v="2024-11-24T00:00:00"/>
    <n v="11"/>
    <x v="2"/>
    <n v="175.89000000000001"/>
    <n v="366"/>
    <x v="3"/>
    <n v="1"/>
    <n v="3"/>
    <b v="1"/>
    <n v="349"/>
    <n v="50"/>
    <s v="Australia"/>
    <s v="Cryptocurrency"/>
    <s v="French"/>
    <n v="21"/>
    <x v="19"/>
    <b v="1"/>
    <s v="Active"/>
    <n v="4513"/>
    <s v="Smartphone"/>
    <s v="25-34"/>
    <s v="Late Night"/>
  </r>
  <r>
    <n v="9374"/>
    <s v="John"/>
    <x v="107"/>
    <d v="2024-12-01T00:00:00"/>
    <n v="0"/>
    <x v="2"/>
    <n v="0"/>
    <n v="301"/>
    <x v="0"/>
    <n v="4"/>
    <n v="6"/>
    <b v="0"/>
    <n v="619"/>
    <n v="172"/>
    <s v="USA"/>
    <s v="Debit Card"/>
    <s v="English"/>
    <n v="37"/>
    <x v="18"/>
    <b v="1"/>
    <s v="Active"/>
    <n v="1153"/>
    <s v="Tablet"/>
    <s v="45-54"/>
    <s v="Evening"/>
  </r>
  <r>
    <n v="3918"/>
    <s v="Jennifer"/>
    <x v="154"/>
    <d v="2024-11-28T00:00:00"/>
    <n v="13"/>
    <x v="0"/>
    <n v="103.87"/>
    <n v="26"/>
    <x v="0"/>
    <n v="4"/>
    <n v="5"/>
    <b v="0"/>
    <n v="416"/>
    <n v="146"/>
    <s v="UK"/>
    <s v="Debit Card"/>
    <s v="Mandarin"/>
    <n v="41"/>
    <x v="17"/>
    <b v="1"/>
    <s v="Active"/>
    <n v="1506"/>
    <s v="Smart TV"/>
    <s v="35-44"/>
    <s v="Evening"/>
  </r>
  <r>
    <n v="9866"/>
    <s v="Matthew"/>
    <x v="384"/>
    <d v="2024-12-17T00:00:00"/>
    <n v="5"/>
    <x v="1"/>
    <n v="59.95"/>
    <n v="208"/>
    <x v="1"/>
    <n v="1"/>
    <n v="1"/>
    <b v="0"/>
    <n v="466"/>
    <n v="174"/>
    <s v="USA"/>
    <s v="Credit Card"/>
    <s v="English"/>
    <n v="51"/>
    <x v="1"/>
    <b v="1"/>
    <s v="Active"/>
    <n v="3817"/>
    <s v="Smartphone"/>
    <s v="35-44"/>
    <s v="Evening"/>
  </r>
  <r>
    <n v="6389"/>
    <s v="Brittney"/>
    <x v="428"/>
    <d v="2024-12-18T00:00:00"/>
    <n v="23"/>
    <x v="1"/>
    <n v="275.77"/>
    <n v="109"/>
    <x v="3"/>
    <n v="2"/>
    <n v="3"/>
    <b v="0"/>
    <n v="701"/>
    <n v="4"/>
    <s v="Canada"/>
    <s v="PayPal"/>
    <s v="Hindi"/>
    <n v="64"/>
    <x v="17"/>
    <b v="0"/>
    <s v="Active"/>
    <n v="4662"/>
    <s v="Laptop"/>
    <s v="35-44"/>
    <s v="Afternoon"/>
  </r>
  <r>
    <n v="8733"/>
    <s v="Steven"/>
    <x v="347"/>
    <d v="2024-12-16T00:00:00"/>
    <n v="6"/>
    <x v="2"/>
    <n v="95.94"/>
    <n v="451"/>
    <x v="4"/>
    <n v="4"/>
    <n v="4"/>
    <b v="1"/>
    <n v="742"/>
    <n v="140"/>
    <s v="Australia"/>
    <s v="Debit Card"/>
    <s v="English"/>
    <n v="37"/>
    <x v="13"/>
    <b v="1"/>
    <s v="Active"/>
    <n v="3708"/>
    <s v="Smart TV"/>
    <s v="35-44"/>
    <s v="Afternoon"/>
  </r>
  <r>
    <n v="8105"/>
    <s v="Mary"/>
    <x v="429"/>
    <d v="2024-11-26T00:00:00"/>
    <n v="14"/>
    <x v="2"/>
    <n v="223.86"/>
    <n v="33"/>
    <x v="1"/>
    <n v="4"/>
    <n v="5"/>
    <b v="1"/>
    <n v="228"/>
    <n v="42"/>
    <s v="India"/>
    <s v="Credit Card"/>
    <s v="Hindi"/>
    <n v="21"/>
    <x v="1"/>
    <b v="1"/>
    <s v="Active"/>
    <n v="1256"/>
    <s v="Smartphone"/>
    <s v="35-44"/>
    <s v="Late Night"/>
  </r>
  <r>
    <n v="3443"/>
    <s v="Kevin"/>
    <x v="430"/>
    <d v="2024-12-05T00:00:00"/>
    <n v="9"/>
    <x v="2"/>
    <n v="143.91"/>
    <n v="467"/>
    <x v="3"/>
    <n v="4"/>
    <n v="2"/>
    <b v="0"/>
    <n v="18"/>
    <n v="34"/>
    <s v="Australia"/>
    <s v="Cryptocurrency"/>
    <s v="French"/>
    <n v="100"/>
    <x v="13"/>
    <b v="1"/>
    <s v="Active"/>
    <n v="1792"/>
    <s v="Smartphone"/>
    <s v="18-24"/>
    <s v="Afternoon"/>
  </r>
  <r>
    <n v="2664"/>
    <s v="Charles"/>
    <x v="226"/>
    <d v="2024-11-27T00:00:00"/>
    <n v="13"/>
    <x v="0"/>
    <n v="103.87"/>
    <n v="123"/>
    <x v="5"/>
    <n v="2"/>
    <n v="3"/>
    <b v="1"/>
    <n v="826"/>
    <n v="79"/>
    <s v="Germany"/>
    <s v="Credit Card"/>
    <s v="German"/>
    <n v="34"/>
    <x v="17"/>
    <b v="0"/>
    <s v="Active"/>
    <n v="402"/>
    <s v="Desktop"/>
    <s v="18-24"/>
    <s v="Evening"/>
  </r>
  <r>
    <n v="1782"/>
    <s v="Carla"/>
    <x v="431"/>
    <d v="2024-11-29T00:00:00"/>
    <n v="18"/>
    <x v="2"/>
    <n v="287.82"/>
    <n v="139"/>
    <x v="6"/>
    <n v="1"/>
    <n v="4"/>
    <b v="1"/>
    <n v="357"/>
    <n v="44"/>
    <s v="India"/>
    <s v="Debit Card"/>
    <s v="Spanish"/>
    <n v="67"/>
    <x v="13"/>
    <b v="0"/>
    <s v="Active"/>
    <n v="1271"/>
    <s v="Desktop"/>
    <s v="45-54"/>
    <s v="Evening"/>
  </r>
  <r>
    <n v="1337"/>
    <s v="Shane"/>
    <x v="338"/>
    <d v="2024-12-16T00:00:00"/>
    <n v="19"/>
    <x v="0"/>
    <n v="151.81"/>
    <n v="103"/>
    <x v="6"/>
    <n v="2"/>
    <n v="1"/>
    <b v="0"/>
    <n v="474"/>
    <n v="2"/>
    <s v="Germany"/>
    <s v="PayPal"/>
    <s v="German"/>
    <n v="31"/>
    <x v="17"/>
    <b v="0"/>
    <s v="Active"/>
    <n v="4537"/>
    <s v="Smart TV"/>
    <s v="18-24"/>
    <s v="Afternoon"/>
  </r>
  <r>
    <n v="5901"/>
    <s v="Robert"/>
    <x v="432"/>
    <d v="2024-12-18T00:00:00"/>
    <n v="20"/>
    <x v="0"/>
    <n v="159.80000000000001"/>
    <n v="207"/>
    <x v="4"/>
    <n v="5"/>
    <n v="5"/>
    <b v="1"/>
    <n v="946"/>
    <n v="166"/>
    <s v="France"/>
    <s v="Cryptocurrency"/>
    <s v="Hindi"/>
    <n v="96"/>
    <x v="3"/>
    <b v="0"/>
    <s v="Active"/>
    <n v="4815"/>
    <s v="Tablet"/>
    <s v="55+"/>
    <s v="Evening"/>
  </r>
  <r>
    <n v="2731"/>
    <s v="Brooke"/>
    <x v="433"/>
    <d v="2024-12-13T00:00:00"/>
    <n v="6"/>
    <x v="2"/>
    <n v="95.94"/>
    <n v="267"/>
    <x v="6"/>
    <n v="5"/>
    <n v="5"/>
    <b v="1"/>
    <n v="890"/>
    <n v="187"/>
    <s v="UK"/>
    <s v="PayPal"/>
    <s v="French"/>
    <n v="98"/>
    <x v="8"/>
    <b v="1"/>
    <s v="Active"/>
    <n v="3510"/>
    <s v="Laptop"/>
    <s v="45-54"/>
    <s v="Morning"/>
  </r>
  <r>
    <n v="8307"/>
    <s v="Carmen"/>
    <x v="207"/>
    <d v="2024-12-06T00:00:00"/>
    <n v="11"/>
    <x v="0"/>
    <n v="87.89"/>
    <n v="266"/>
    <x v="4"/>
    <n v="5"/>
    <n v="3"/>
    <b v="1"/>
    <n v="583"/>
    <n v="131"/>
    <s v="Canada"/>
    <s v="Debit Card"/>
    <s v="Mandarin"/>
    <n v="0"/>
    <x v="1"/>
    <b v="0"/>
    <s v="Active"/>
    <n v="4789"/>
    <s v="Tablet"/>
    <s v="35-44"/>
    <s v="Morning"/>
  </r>
  <r>
    <n v="8019"/>
    <s v="Stefanie"/>
    <x v="65"/>
    <d v="2024-11-19T00:00:00"/>
    <n v="21"/>
    <x v="1"/>
    <n v="251.79"/>
    <n v="240"/>
    <x v="5"/>
    <n v="4"/>
    <n v="1"/>
    <b v="0"/>
    <n v="304"/>
    <n v="25"/>
    <s v="Canada"/>
    <s v="PayPal"/>
    <s v="German"/>
    <n v="66"/>
    <x v="3"/>
    <b v="0"/>
    <s v="Active"/>
    <n v="863"/>
    <s v="Smart TV"/>
    <s v="18-24"/>
    <s v="Evening"/>
  </r>
  <r>
    <n v="4847"/>
    <s v="Melissa"/>
    <x v="129"/>
    <d v="2024-11-30T00:00:00"/>
    <n v="0"/>
    <x v="2"/>
    <n v="0"/>
    <n v="315"/>
    <x v="4"/>
    <n v="1"/>
    <n v="6"/>
    <b v="0"/>
    <n v="205"/>
    <n v="92"/>
    <s v="India"/>
    <s v="PayPal"/>
    <s v="English"/>
    <n v="67"/>
    <x v="17"/>
    <b v="0"/>
    <s v="Active"/>
    <n v="1584"/>
    <s v="Tablet"/>
    <s v="55+"/>
    <s v="Late Night"/>
  </r>
  <r>
    <n v="9822"/>
    <s v="Justin"/>
    <x v="395"/>
    <d v="2024-12-13T00:00:00"/>
    <n v="17"/>
    <x v="0"/>
    <n v="135.83000000000001"/>
    <n v="276"/>
    <x v="5"/>
    <n v="4"/>
    <n v="1"/>
    <b v="1"/>
    <n v="348"/>
    <n v="13"/>
    <s v="India"/>
    <s v="Cryptocurrency"/>
    <s v="German"/>
    <n v="34"/>
    <x v="9"/>
    <b v="0"/>
    <s v="Active"/>
    <n v="3178"/>
    <s v="Smart TV"/>
    <s v="55+"/>
    <s v="Afternoon"/>
  </r>
  <r>
    <n v="9141"/>
    <s v="Jeffery"/>
    <x v="434"/>
    <d v="2024-11-25T00:00:00"/>
    <n v="12"/>
    <x v="0"/>
    <n v="95.88"/>
    <n v="308"/>
    <x v="1"/>
    <n v="1"/>
    <n v="5"/>
    <b v="0"/>
    <n v="107"/>
    <n v="87"/>
    <s v="Canada"/>
    <s v="Cryptocurrency"/>
    <s v="French"/>
    <n v="17"/>
    <x v="15"/>
    <b v="0"/>
    <s v="Active"/>
    <n v="4108"/>
    <s v="Desktop"/>
    <s v="18-24"/>
    <s v="Late Night"/>
  </r>
  <r>
    <n v="7539"/>
    <s v="Kara"/>
    <x v="46"/>
    <d v="2024-12-08T00:00:00"/>
    <n v="15"/>
    <x v="0"/>
    <n v="119.85000000000001"/>
    <n v="297"/>
    <x v="4"/>
    <n v="1"/>
    <n v="6"/>
    <b v="1"/>
    <n v="959"/>
    <n v="71"/>
    <s v="Germany"/>
    <s v="Cryptocurrency"/>
    <s v="French"/>
    <n v="82"/>
    <x v="0"/>
    <b v="1"/>
    <s v="Active"/>
    <n v="2562"/>
    <s v="Tablet"/>
    <s v="25-34"/>
    <s v="Afternoon"/>
  </r>
  <r>
    <n v="1390"/>
    <s v="Xavier"/>
    <x v="240"/>
    <d v="2024-11-29T00:00:00"/>
    <n v="4"/>
    <x v="1"/>
    <n v="47.96"/>
    <n v="326"/>
    <x v="4"/>
    <n v="4"/>
    <n v="1"/>
    <b v="0"/>
    <n v="439"/>
    <n v="88"/>
    <s v="France"/>
    <s v="Debit Card"/>
    <s v="English"/>
    <n v="3"/>
    <x v="0"/>
    <b v="1"/>
    <s v="Active"/>
    <n v="3499"/>
    <s v="Smart TV"/>
    <s v="25-34"/>
    <s v="Afternoon"/>
  </r>
  <r>
    <n v="9505"/>
    <s v="Paul"/>
    <x v="415"/>
    <d v="2024-12-04T00:00:00"/>
    <n v="5"/>
    <x v="2"/>
    <n v="79.95"/>
    <n v="352"/>
    <x v="5"/>
    <n v="4"/>
    <n v="6"/>
    <b v="0"/>
    <n v="757"/>
    <n v="13"/>
    <s v="France"/>
    <s v="Debit Card"/>
    <s v="Hindi"/>
    <n v="67"/>
    <x v="5"/>
    <b v="1"/>
    <s v="Active"/>
    <n v="3645"/>
    <s v="Tablet"/>
    <s v="35-44"/>
    <s v="Afternoon"/>
  </r>
  <r>
    <n v="6741"/>
    <s v="Jacob"/>
    <x v="89"/>
    <d v="2024-11-20T00:00:00"/>
    <n v="12"/>
    <x v="0"/>
    <n v="95.88"/>
    <n v="180"/>
    <x v="2"/>
    <n v="5"/>
    <n v="2"/>
    <b v="1"/>
    <n v="647"/>
    <n v="2"/>
    <s v="Canada"/>
    <s v="Cryptocurrency"/>
    <s v="French"/>
    <n v="9"/>
    <x v="17"/>
    <b v="0"/>
    <s v="Active"/>
    <n v="2989"/>
    <s v="Smartphone"/>
    <s v="55+"/>
    <s v="Afternoon"/>
  </r>
  <r>
    <n v="1790"/>
    <s v="Kelly"/>
    <x v="435"/>
    <d v="2024-12-01T00:00:00"/>
    <n v="8"/>
    <x v="1"/>
    <n v="95.92"/>
    <n v="362"/>
    <x v="2"/>
    <n v="2"/>
    <n v="2"/>
    <b v="0"/>
    <n v="535"/>
    <n v="200"/>
    <s v="Germany"/>
    <s v="Debit Card"/>
    <s v="Hindi"/>
    <n v="60"/>
    <x v="11"/>
    <b v="1"/>
    <s v="Active"/>
    <n v="55"/>
    <s v="Tablet"/>
    <s v="18-24"/>
    <s v="Late Night"/>
  </r>
  <r>
    <n v="6491"/>
    <s v="Anita"/>
    <x v="335"/>
    <d v="2024-11-28T00:00:00"/>
    <n v="22"/>
    <x v="0"/>
    <n v="175.78"/>
    <n v="154"/>
    <x v="0"/>
    <n v="5"/>
    <n v="4"/>
    <b v="1"/>
    <n v="340"/>
    <n v="53"/>
    <s v="Germany"/>
    <s v="Credit Card"/>
    <s v="English"/>
    <n v="31"/>
    <x v="16"/>
    <b v="0"/>
    <s v="Active"/>
    <n v="1850"/>
    <s v="Desktop"/>
    <s v="55+"/>
    <s v="Late Night"/>
  </r>
  <r>
    <n v="3102"/>
    <s v="Carolyn"/>
    <x v="436"/>
    <d v="2024-11-27T00:00:00"/>
    <n v="2"/>
    <x v="0"/>
    <n v="15.98"/>
    <n v="287"/>
    <x v="1"/>
    <n v="1"/>
    <n v="2"/>
    <b v="0"/>
    <n v="670"/>
    <n v="147"/>
    <s v="USA"/>
    <s v="Debit Card"/>
    <s v="Hindi"/>
    <n v="42"/>
    <x v="5"/>
    <b v="1"/>
    <s v="Active"/>
    <n v="4672"/>
    <s v="Smartphone"/>
    <s v="18-24"/>
    <s v="Evening"/>
  </r>
  <r>
    <n v="1300"/>
    <s v="Nicolas"/>
    <x v="437"/>
    <d v="2024-12-16T00:00:00"/>
    <n v="17"/>
    <x v="1"/>
    <n v="203.83"/>
    <n v="303"/>
    <x v="6"/>
    <n v="3"/>
    <n v="6"/>
    <b v="1"/>
    <n v="780"/>
    <n v="128"/>
    <s v="France"/>
    <s v="Debit Card"/>
    <s v="English"/>
    <n v="12"/>
    <x v="3"/>
    <b v="1"/>
    <s v="Active"/>
    <n v="2615"/>
    <s v="Desktop"/>
    <s v="35-44"/>
    <s v="Morning"/>
  </r>
  <r>
    <n v="5410"/>
    <s v="Hector"/>
    <x v="165"/>
    <d v="2024-12-01T00:00:00"/>
    <n v="16"/>
    <x v="2"/>
    <n v="255.84"/>
    <n v="447"/>
    <x v="4"/>
    <n v="1"/>
    <n v="5"/>
    <b v="0"/>
    <n v="615"/>
    <n v="132"/>
    <s v="Australia"/>
    <s v="Cryptocurrency"/>
    <s v="Mandarin"/>
    <n v="88"/>
    <x v="12"/>
    <b v="0"/>
    <s v="Active"/>
    <n v="4927"/>
    <s v="Laptop"/>
    <s v="45-54"/>
    <s v="Morning"/>
  </r>
  <r>
    <n v="2714"/>
    <s v="Jack"/>
    <x v="438"/>
    <d v="2024-11-28T00:00:00"/>
    <n v="0"/>
    <x v="1"/>
    <n v="0"/>
    <n v="480"/>
    <x v="2"/>
    <n v="4"/>
    <n v="6"/>
    <b v="1"/>
    <n v="277"/>
    <n v="25"/>
    <s v="Germany"/>
    <s v="Credit Card"/>
    <s v="French"/>
    <n v="41"/>
    <x v="14"/>
    <b v="0"/>
    <s v="Active"/>
    <n v="3069"/>
    <s v="Tablet"/>
    <s v="35-44"/>
    <s v="Afternoon"/>
  </r>
  <r>
    <n v="4700"/>
    <s v="David"/>
    <x v="160"/>
    <d v="2024-12-04T00:00:00"/>
    <n v="0"/>
    <x v="0"/>
    <n v="0"/>
    <n v="438"/>
    <x v="0"/>
    <n v="4"/>
    <n v="4"/>
    <b v="1"/>
    <n v="546"/>
    <n v="88"/>
    <s v="UK"/>
    <s v="Cryptocurrency"/>
    <s v="French"/>
    <n v="36"/>
    <x v="17"/>
    <b v="0"/>
    <s v="Active"/>
    <n v="1906"/>
    <s v="Laptop"/>
    <s v="55+"/>
    <s v="Afternoon"/>
  </r>
  <r>
    <n v="7589"/>
    <s v="Amanda"/>
    <x v="439"/>
    <d v="2024-12-02T00:00:00"/>
    <n v="15"/>
    <x v="2"/>
    <n v="239.85"/>
    <n v="295"/>
    <x v="4"/>
    <n v="2"/>
    <n v="5"/>
    <b v="0"/>
    <n v="514"/>
    <n v="102"/>
    <s v="Germany"/>
    <s v="PayPal"/>
    <s v="German"/>
    <n v="3"/>
    <x v="14"/>
    <b v="0"/>
    <s v="Active"/>
    <n v="105"/>
    <s v="Smartphone"/>
    <s v="45-54"/>
    <s v="Afternoon"/>
  </r>
  <r>
    <n v="6866"/>
    <s v="Kim"/>
    <x v="15"/>
    <d v="2024-11-24T00:00:00"/>
    <n v="6"/>
    <x v="1"/>
    <n v="71.94"/>
    <n v="479"/>
    <x v="4"/>
    <n v="1"/>
    <n v="3"/>
    <b v="1"/>
    <n v="952"/>
    <n v="48"/>
    <s v="USA"/>
    <s v="Credit Card"/>
    <s v="English"/>
    <n v="54"/>
    <x v="3"/>
    <b v="1"/>
    <s v="Active"/>
    <n v="4"/>
    <s v="Desktop"/>
    <s v="55+"/>
    <s v="Evening"/>
  </r>
  <r>
    <n v="6960"/>
    <s v="Julian"/>
    <x v="196"/>
    <d v="2024-11-26T00:00:00"/>
    <n v="12"/>
    <x v="2"/>
    <n v="191.88"/>
    <n v="214"/>
    <x v="3"/>
    <n v="5"/>
    <n v="6"/>
    <b v="1"/>
    <n v="780"/>
    <n v="16"/>
    <s v="France"/>
    <s v="PayPal"/>
    <s v="French"/>
    <n v="1"/>
    <x v="0"/>
    <b v="1"/>
    <s v="Active"/>
    <n v="1651"/>
    <s v="Smart TV"/>
    <s v="55+"/>
    <s v="Evening"/>
  </r>
  <r>
    <n v="5808"/>
    <s v="Jasmine"/>
    <x v="360"/>
    <d v="2024-11-19T00:00:00"/>
    <n v="7"/>
    <x v="2"/>
    <n v="111.93"/>
    <n v="69"/>
    <x v="0"/>
    <n v="4"/>
    <n v="5"/>
    <b v="0"/>
    <n v="976"/>
    <n v="105"/>
    <s v="USA"/>
    <s v="Cryptocurrency"/>
    <s v="Mandarin"/>
    <n v="50"/>
    <x v="9"/>
    <b v="1"/>
    <s v="Active"/>
    <n v="1828"/>
    <s v="Tablet"/>
    <s v="45-54"/>
    <s v="Evening"/>
  </r>
  <r>
    <n v="5525"/>
    <s v="John"/>
    <x v="440"/>
    <d v="2024-12-06T00:00:00"/>
    <n v="14"/>
    <x v="2"/>
    <n v="223.86"/>
    <n v="344"/>
    <x v="0"/>
    <n v="5"/>
    <n v="2"/>
    <b v="0"/>
    <n v="91"/>
    <n v="137"/>
    <s v="Germany"/>
    <s v="Cryptocurrency"/>
    <s v="German"/>
    <n v="37"/>
    <x v="15"/>
    <b v="1"/>
    <s v="Active"/>
    <n v="396"/>
    <s v="Smart TV"/>
    <s v="35-44"/>
    <s v="Late Night"/>
  </r>
  <r>
    <n v="1272"/>
    <s v="Christopher"/>
    <x v="166"/>
    <d v="2024-11-20T00:00:00"/>
    <n v="4"/>
    <x v="2"/>
    <n v="63.96"/>
    <n v="163"/>
    <x v="5"/>
    <n v="5"/>
    <n v="1"/>
    <b v="0"/>
    <n v="683"/>
    <n v="108"/>
    <s v="UK"/>
    <s v="Cryptocurrency"/>
    <s v="Mandarin"/>
    <n v="10"/>
    <x v="18"/>
    <b v="0"/>
    <s v="Active"/>
    <n v="809"/>
    <s v="Smartphone"/>
    <s v="55+"/>
    <s v="Evening"/>
  </r>
  <r>
    <n v="8063"/>
    <s v="Joseph"/>
    <x v="437"/>
    <d v="2024-12-12T00:00:00"/>
    <n v="17"/>
    <x v="0"/>
    <n v="135.83000000000001"/>
    <n v="217"/>
    <x v="5"/>
    <n v="1"/>
    <n v="6"/>
    <b v="0"/>
    <n v="53"/>
    <n v="153"/>
    <s v="Canada"/>
    <s v="PayPal"/>
    <s v="Spanish"/>
    <n v="2"/>
    <x v="2"/>
    <b v="1"/>
    <s v="Active"/>
    <n v="1431"/>
    <s v="Laptop"/>
    <s v="55+"/>
    <s v="Evening"/>
  </r>
  <r>
    <n v="1856"/>
    <s v="Jason"/>
    <x v="429"/>
    <d v="2024-12-11T00:00:00"/>
    <n v="14"/>
    <x v="2"/>
    <n v="223.86"/>
    <n v="177"/>
    <x v="4"/>
    <n v="3"/>
    <n v="2"/>
    <b v="1"/>
    <n v="246"/>
    <n v="182"/>
    <s v="Germany"/>
    <s v="Debit Card"/>
    <s v="Spanish"/>
    <n v="89"/>
    <x v="2"/>
    <b v="0"/>
    <s v="Active"/>
    <n v="2394"/>
    <s v="Tablet"/>
    <s v="18-24"/>
    <s v="Afternoon"/>
  </r>
  <r>
    <n v="2830"/>
    <s v="Erica"/>
    <x v="124"/>
    <d v="2024-12-08T00:00:00"/>
    <n v="19"/>
    <x v="1"/>
    <n v="227.81"/>
    <n v="304"/>
    <x v="5"/>
    <n v="1"/>
    <n v="1"/>
    <b v="1"/>
    <n v="389"/>
    <n v="137"/>
    <s v="India"/>
    <s v="Cryptocurrency"/>
    <s v="French"/>
    <n v="2"/>
    <x v="14"/>
    <b v="1"/>
    <s v="Active"/>
    <n v="4685"/>
    <s v="Desktop"/>
    <s v="55+"/>
    <s v="Morning"/>
  </r>
  <r>
    <n v="3287"/>
    <s v="Travis"/>
    <x v="422"/>
    <d v="2024-11-21T00:00:00"/>
    <n v="11"/>
    <x v="2"/>
    <n v="175.89000000000001"/>
    <n v="90"/>
    <x v="4"/>
    <n v="3"/>
    <n v="2"/>
    <b v="0"/>
    <n v="399"/>
    <n v="9"/>
    <s v="France"/>
    <s v="PayPal"/>
    <s v="Mandarin"/>
    <n v="73"/>
    <x v="16"/>
    <b v="1"/>
    <s v="Active"/>
    <n v="4332"/>
    <s v="Smartphone"/>
    <s v="55+"/>
    <s v="Afternoon"/>
  </r>
  <r>
    <n v="5679"/>
    <s v="Karen"/>
    <x v="342"/>
    <d v="2024-12-06T00:00:00"/>
    <n v="13"/>
    <x v="2"/>
    <n v="207.87"/>
    <n v="108"/>
    <x v="0"/>
    <n v="4"/>
    <n v="2"/>
    <b v="0"/>
    <n v="694"/>
    <n v="199"/>
    <s v="UK"/>
    <s v="Cryptocurrency"/>
    <s v="Mandarin"/>
    <n v="81"/>
    <x v="19"/>
    <b v="0"/>
    <s v="Active"/>
    <n v="851"/>
    <s v="Laptop"/>
    <s v="45-54"/>
    <s v="Afternoon"/>
  </r>
  <r>
    <n v="6399"/>
    <s v="Michael"/>
    <x v="203"/>
    <d v="2024-12-05T00:00:00"/>
    <n v="23"/>
    <x v="1"/>
    <n v="275.77"/>
    <n v="96"/>
    <x v="3"/>
    <n v="3"/>
    <n v="2"/>
    <b v="0"/>
    <n v="434"/>
    <n v="11"/>
    <s v="USA"/>
    <s v="Credit Card"/>
    <s v="French"/>
    <n v="80"/>
    <x v="3"/>
    <b v="0"/>
    <s v="Active"/>
    <n v="2261"/>
    <s v="Laptop"/>
    <s v="18-24"/>
    <s v="Afternoon"/>
  </r>
  <r>
    <n v="8753"/>
    <s v="Daniel"/>
    <x v="441"/>
    <d v="2024-11-30T00:00:00"/>
    <n v="9"/>
    <x v="1"/>
    <n v="107.91"/>
    <n v="247"/>
    <x v="0"/>
    <n v="2"/>
    <n v="3"/>
    <b v="0"/>
    <n v="696"/>
    <n v="28"/>
    <s v="Germany"/>
    <s v="Debit Card"/>
    <s v="French"/>
    <n v="79"/>
    <x v="14"/>
    <b v="0"/>
    <s v="Active"/>
    <n v="1500"/>
    <s v="Smartphone"/>
    <s v="55+"/>
    <s v="Late Night"/>
  </r>
  <r>
    <n v="9267"/>
    <s v="Paul"/>
    <x v="442"/>
    <d v="2024-11-24T00:00:00"/>
    <n v="6"/>
    <x v="2"/>
    <n v="95.94"/>
    <n v="245"/>
    <x v="6"/>
    <n v="3"/>
    <n v="5"/>
    <b v="1"/>
    <n v="862"/>
    <n v="129"/>
    <s v="India"/>
    <s v="Debit Card"/>
    <s v="Mandarin"/>
    <n v="6"/>
    <x v="4"/>
    <b v="1"/>
    <s v="Active"/>
    <n v="2130"/>
    <s v="Tablet"/>
    <s v="25-34"/>
    <s v="Evening"/>
  </r>
  <r>
    <n v="9846"/>
    <s v="Megan"/>
    <x v="443"/>
    <d v="2024-12-13T00:00:00"/>
    <n v="22"/>
    <x v="0"/>
    <n v="175.78"/>
    <n v="366"/>
    <x v="1"/>
    <n v="4"/>
    <n v="5"/>
    <b v="0"/>
    <n v="631"/>
    <n v="56"/>
    <s v="France"/>
    <s v="PayPal"/>
    <s v="Spanish"/>
    <n v="35"/>
    <x v="13"/>
    <b v="0"/>
    <s v="Active"/>
    <n v="4308"/>
    <s v="Desktop"/>
    <s v="35-44"/>
    <s v="Late Night"/>
  </r>
  <r>
    <n v="2382"/>
    <s v="Todd"/>
    <x v="444"/>
    <d v="2024-12-09T00:00:00"/>
    <n v="5"/>
    <x v="2"/>
    <n v="79.95"/>
    <n v="170"/>
    <x v="2"/>
    <n v="1"/>
    <n v="3"/>
    <b v="0"/>
    <n v="144"/>
    <n v="142"/>
    <s v="India"/>
    <s v="Cryptocurrency"/>
    <s v="Hindi"/>
    <n v="81"/>
    <x v="9"/>
    <b v="1"/>
    <s v="Active"/>
    <n v="421"/>
    <s v="Laptop"/>
    <s v="25-34"/>
    <s v="Afternoon"/>
  </r>
  <r>
    <n v="3593"/>
    <s v="Emma"/>
    <x v="445"/>
    <d v="2024-11-24T00:00:00"/>
    <n v="14"/>
    <x v="0"/>
    <n v="111.86"/>
    <n v="447"/>
    <x v="3"/>
    <n v="3"/>
    <n v="1"/>
    <b v="1"/>
    <n v="466"/>
    <n v="198"/>
    <s v="India"/>
    <s v="Cryptocurrency"/>
    <s v="Hindi"/>
    <n v="3"/>
    <x v="6"/>
    <b v="0"/>
    <s v="Active"/>
    <n v="2163"/>
    <s v="Laptop"/>
    <s v="35-44"/>
    <s v="Late Night"/>
  </r>
  <r>
    <n v="4097"/>
    <s v="Amanda"/>
    <x v="244"/>
    <d v="2024-12-16T00:00:00"/>
    <n v="19"/>
    <x v="0"/>
    <n v="151.81"/>
    <n v="369"/>
    <x v="4"/>
    <n v="3"/>
    <n v="1"/>
    <b v="0"/>
    <n v="759"/>
    <n v="56"/>
    <s v="Australia"/>
    <s v="PayPal"/>
    <s v="Hindi"/>
    <n v="30"/>
    <x v="1"/>
    <b v="0"/>
    <s v="Active"/>
    <n v="3354"/>
    <s v="Tablet"/>
    <s v="18-24"/>
    <s v="Late Night"/>
  </r>
  <r>
    <n v="2886"/>
    <s v="Mark"/>
    <x v="60"/>
    <d v="2024-11-26T00:00:00"/>
    <n v="17"/>
    <x v="2"/>
    <n v="271.83"/>
    <n v="62"/>
    <x v="5"/>
    <n v="5"/>
    <n v="1"/>
    <b v="0"/>
    <n v="811"/>
    <n v="109"/>
    <s v="Germany"/>
    <s v="Cryptocurrency"/>
    <s v="German"/>
    <n v="14"/>
    <x v="2"/>
    <b v="0"/>
    <s v="Active"/>
    <n v="3702"/>
    <s v="Laptop"/>
    <s v="55+"/>
    <s v="Morning"/>
  </r>
  <r>
    <n v="3255"/>
    <s v="Dylan"/>
    <x v="446"/>
    <d v="2024-11-27T00:00:00"/>
    <n v="10"/>
    <x v="0"/>
    <n v="79.900000000000006"/>
    <n v="294"/>
    <x v="4"/>
    <n v="1"/>
    <n v="3"/>
    <b v="1"/>
    <n v="936"/>
    <n v="120"/>
    <s v="France"/>
    <s v="Debit Card"/>
    <s v="Spanish"/>
    <n v="49"/>
    <x v="7"/>
    <b v="1"/>
    <s v="Active"/>
    <n v="3758"/>
    <s v="Tablet"/>
    <s v="35-44"/>
    <s v="Afternoon"/>
  </r>
  <r>
    <n v="6752"/>
    <s v="Garrett"/>
    <x v="388"/>
    <d v="2024-12-09T00:00:00"/>
    <n v="7"/>
    <x v="1"/>
    <n v="83.93"/>
    <n v="10"/>
    <x v="3"/>
    <n v="2"/>
    <n v="4"/>
    <b v="0"/>
    <n v="146"/>
    <n v="95"/>
    <s v="Australia"/>
    <s v="Credit Card"/>
    <s v="Spanish"/>
    <n v="99"/>
    <x v="20"/>
    <b v="1"/>
    <s v="Active"/>
    <n v="3942"/>
    <s v="Tablet"/>
    <s v="35-44"/>
    <s v="Afternoon"/>
  </r>
  <r>
    <n v="7945"/>
    <s v="Jason"/>
    <x v="90"/>
    <d v="2024-11-29T00:00:00"/>
    <n v="19"/>
    <x v="1"/>
    <n v="227.81"/>
    <n v="389"/>
    <x v="4"/>
    <n v="2"/>
    <n v="2"/>
    <b v="1"/>
    <n v="631"/>
    <n v="85"/>
    <s v="Australia"/>
    <s v="Debit Card"/>
    <s v="Spanish"/>
    <n v="53"/>
    <x v="0"/>
    <b v="1"/>
    <s v="Active"/>
    <n v="2242"/>
    <s v="Desktop"/>
    <s v="55+"/>
    <s v="Afternoon"/>
  </r>
  <r>
    <n v="6658"/>
    <s v="Michael"/>
    <x v="447"/>
    <d v="2024-12-05T00:00:00"/>
    <n v="8"/>
    <x v="0"/>
    <n v="63.92"/>
    <n v="55"/>
    <x v="2"/>
    <n v="5"/>
    <n v="6"/>
    <b v="0"/>
    <n v="682"/>
    <n v="141"/>
    <s v="USA"/>
    <s v="Debit Card"/>
    <s v="Hindi"/>
    <n v="42"/>
    <x v="10"/>
    <b v="1"/>
    <s v="Active"/>
    <n v="2561"/>
    <s v="Desktop"/>
    <s v="45-54"/>
    <s v="Late Night"/>
  </r>
  <r>
    <n v="5468"/>
    <s v="Jonathon"/>
    <x v="448"/>
    <d v="2024-11-20T00:00:00"/>
    <n v="7"/>
    <x v="1"/>
    <n v="83.93"/>
    <n v="208"/>
    <x v="6"/>
    <n v="4"/>
    <n v="6"/>
    <b v="1"/>
    <n v="135"/>
    <n v="9"/>
    <s v="USA"/>
    <s v="PayPal"/>
    <s v="Hindi"/>
    <n v="41"/>
    <x v="8"/>
    <b v="1"/>
    <s v="Active"/>
    <n v="2465"/>
    <s v="Tablet"/>
    <s v="35-44"/>
    <s v="Late Night"/>
  </r>
  <r>
    <n v="7451"/>
    <s v="Sarah"/>
    <x v="449"/>
    <d v="2024-12-09T00:00:00"/>
    <n v="4"/>
    <x v="2"/>
    <n v="63.96"/>
    <n v="198"/>
    <x v="2"/>
    <n v="5"/>
    <n v="5"/>
    <b v="1"/>
    <n v="255"/>
    <n v="183"/>
    <s v="Canada"/>
    <s v="Debit Card"/>
    <s v="French"/>
    <n v="92"/>
    <x v="11"/>
    <b v="0"/>
    <s v="Active"/>
    <n v="4435"/>
    <s v="Tablet"/>
    <s v="18-24"/>
    <s v="Morning"/>
  </r>
  <r>
    <n v="1253"/>
    <s v="Michael"/>
    <x v="450"/>
    <d v="2024-12-05T00:00:00"/>
    <n v="4"/>
    <x v="1"/>
    <n v="47.96"/>
    <n v="280"/>
    <x v="4"/>
    <n v="1"/>
    <n v="1"/>
    <b v="1"/>
    <n v="702"/>
    <n v="58"/>
    <s v="France"/>
    <s v="PayPal"/>
    <s v="French"/>
    <n v="13"/>
    <x v="7"/>
    <b v="0"/>
    <s v="Active"/>
    <n v="4116"/>
    <s v="Smartphone"/>
    <s v="45-54"/>
    <s v="Afternoon"/>
  </r>
  <r>
    <n v="6746"/>
    <s v="Caitlin"/>
    <x v="411"/>
    <d v="2024-11-28T00:00:00"/>
    <n v="0"/>
    <x v="0"/>
    <n v="0"/>
    <n v="161"/>
    <x v="5"/>
    <n v="2"/>
    <n v="5"/>
    <b v="0"/>
    <n v="151"/>
    <n v="109"/>
    <s v="UK"/>
    <s v="Cryptocurrency"/>
    <s v="English"/>
    <n v="27"/>
    <x v="0"/>
    <b v="0"/>
    <s v="Active"/>
    <n v="944"/>
    <s v="Smart TV"/>
    <s v="35-44"/>
    <s v="Afternoon"/>
  </r>
  <r>
    <n v="8089"/>
    <s v="Samantha"/>
    <x v="451"/>
    <d v="2024-11-27T00:00:00"/>
    <n v="5"/>
    <x v="0"/>
    <n v="39.950000000000003"/>
    <n v="439"/>
    <x v="0"/>
    <n v="2"/>
    <n v="2"/>
    <b v="1"/>
    <n v="421"/>
    <n v="138"/>
    <s v="India"/>
    <s v="Debit Card"/>
    <s v="Spanish"/>
    <n v="14"/>
    <x v="13"/>
    <b v="0"/>
    <s v="Active"/>
    <n v="4219"/>
    <s v="Smart TV"/>
    <s v="35-44"/>
    <s v="Morning"/>
  </r>
  <r>
    <n v="8045"/>
    <s v="Joseph"/>
    <x v="144"/>
    <d v="2024-12-02T00:00:00"/>
    <n v="12"/>
    <x v="0"/>
    <n v="95.88"/>
    <n v="339"/>
    <x v="6"/>
    <n v="5"/>
    <n v="5"/>
    <b v="1"/>
    <n v="354"/>
    <n v="129"/>
    <s v="France"/>
    <s v="Cryptocurrency"/>
    <s v="French"/>
    <n v="14"/>
    <x v="12"/>
    <b v="0"/>
    <s v="Active"/>
    <n v="4311"/>
    <s v="Desktop"/>
    <s v="45-54"/>
    <s v="Late Night"/>
  </r>
  <r>
    <n v="9417"/>
    <s v="Joshua"/>
    <x v="117"/>
    <d v="2024-11-28T00:00:00"/>
    <n v="1"/>
    <x v="1"/>
    <n v="11.99"/>
    <n v="52"/>
    <x v="0"/>
    <n v="4"/>
    <n v="4"/>
    <b v="0"/>
    <n v="377"/>
    <n v="135"/>
    <s v="UK"/>
    <s v="Credit Card"/>
    <s v="Spanish"/>
    <n v="90"/>
    <x v="13"/>
    <b v="1"/>
    <s v="Active"/>
    <n v="1972"/>
    <s v="Smart TV"/>
    <s v="25-34"/>
    <s v="Evening"/>
  </r>
  <r>
    <n v="3217"/>
    <s v="Ashley"/>
    <x v="313"/>
    <d v="2024-12-16T00:00:00"/>
    <n v="7"/>
    <x v="2"/>
    <n v="111.93"/>
    <n v="297"/>
    <x v="5"/>
    <n v="5"/>
    <n v="3"/>
    <b v="0"/>
    <n v="796"/>
    <n v="200"/>
    <s v="France"/>
    <s v="Cryptocurrency"/>
    <s v="French"/>
    <n v="36"/>
    <x v="2"/>
    <b v="1"/>
    <s v="Active"/>
    <n v="2132"/>
    <s v="Smartphone"/>
    <s v="55+"/>
    <s v="Evening"/>
  </r>
  <r>
    <n v="4234"/>
    <s v="Michael"/>
    <x v="378"/>
    <d v="2024-11-19T00:00:00"/>
    <n v="22"/>
    <x v="2"/>
    <n v="351.78000000000003"/>
    <n v="40"/>
    <x v="3"/>
    <n v="5"/>
    <n v="1"/>
    <b v="1"/>
    <n v="841"/>
    <n v="179"/>
    <s v="Australia"/>
    <s v="PayPal"/>
    <s v="German"/>
    <n v="59"/>
    <x v="17"/>
    <b v="1"/>
    <s v="Active"/>
    <n v="2370"/>
    <s v="Smart TV"/>
    <s v="55+"/>
    <s v="Afternoon"/>
  </r>
  <r>
    <n v="1118"/>
    <s v="Erin"/>
    <x v="164"/>
    <d v="2024-12-11T00:00:00"/>
    <n v="10"/>
    <x v="2"/>
    <n v="159.9"/>
    <n v="379"/>
    <x v="0"/>
    <n v="2"/>
    <n v="1"/>
    <b v="1"/>
    <n v="885"/>
    <n v="110"/>
    <s v="UK"/>
    <s v="Debit Card"/>
    <s v="Spanish"/>
    <n v="43"/>
    <x v="18"/>
    <b v="1"/>
    <s v="Active"/>
    <n v="1312"/>
    <s v="Smart TV"/>
    <s v="55+"/>
    <s v="Evening"/>
  </r>
  <r>
    <n v="4027"/>
    <s v="Jason"/>
    <x v="275"/>
    <d v="2024-11-24T00:00:00"/>
    <n v="7"/>
    <x v="2"/>
    <n v="111.93"/>
    <n v="82"/>
    <x v="4"/>
    <n v="2"/>
    <n v="3"/>
    <b v="0"/>
    <n v="999"/>
    <n v="190"/>
    <s v="France"/>
    <s v="PayPal"/>
    <s v="Spanish"/>
    <n v="57"/>
    <x v="2"/>
    <b v="1"/>
    <s v="Active"/>
    <n v="4920"/>
    <s v="Tablet"/>
    <s v="35-44"/>
    <s v="Afternoon"/>
  </r>
  <r>
    <n v="8451"/>
    <s v="Grace"/>
    <x v="401"/>
    <d v="2024-11-23T00:00:00"/>
    <n v="20"/>
    <x v="1"/>
    <n v="239.8"/>
    <n v="192"/>
    <x v="0"/>
    <n v="3"/>
    <n v="3"/>
    <b v="0"/>
    <n v="585"/>
    <n v="82"/>
    <s v="Germany"/>
    <s v="Cryptocurrency"/>
    <s v="Hindi"/>
    <n v="59"/>
    <x v="13"/>
    <b v="1"/>
    <s v="Active"/>
    <n v="2897"/>
    <s v="Smart TV"/>
    <s v="45-54"/>
    <s v="Morning"/>
  </r>
  <r>
    <n v="6647"/>
    <s v="Jennifer"/>
    <x v="452"/>
    <d v="2024-11-29T00:00:00"/>
    <n v="1"/>
    <x v="2"/>
    <n v="15.99"/>
    <n v="286"/>
    <x v="1"/>
    <n v="5"/>
    <n v="2"/>
    <b v="0"/>
    <n v="617"/>
    <n v="89"/>
    <s v="Canada"/>
    <s v="PayPal"/>
    <s v="German"/>
    <n v="64"/>
    <x v="7"/>
    <b v="1"/>
    <s v="Active"/>
    <n v="1275"/>
    <s v="Smartphone"/>
    <s v="45-54"/>
    <s v="Afternoon"/>
  </r>
  <r>
    <n v="4002"/>
    <s v="Timothy"/>
    <x v="453"/>
    <d v="2024-12-11T00:00:00"/>
    <n v="8"/>
    <x v="1"/>
    <n v="95.92"/>
    <n v="452"/>
    <x v="4"/>
    <n v="2"/>
    <n v="6"/>
    <b v="0"/>
    <n v="196"/>
    <n v="132"/>
    <s v="France"/>
    <s v="Cryptocurrency"/>
    <s v="Spanish"/>
    <n v="84"/>
    <x v="4"/>
    <b v="1"/>
    <s v="Active"/>
    <n v="340"/>
    <s v="Tablet"/>
    <s v="18-24"/>
    <s v="Evening"/>
  </r>
  <r>
    <n v="6910"/>
    <s v="Ann"/>
    <x v="397"/>
    <d v="2024-11-27T00:00:00"/>
    <n v="20"/>
    <x v="0"/>
    <n v="159.80000000000001"/>
    <n v="417"/>
    <x v="4"/>
    <n v="4"/>
    <n v="5"/>
    <b v="0"/>
    <n v="792"/>
    <n v="187"/>
    <s v="France"/>
    <s v="Cryptocurrency"/>
    <s v="English"/>
    <n v="5"/>
    <x v="3"/>
    <b v="1"/>
    <s v="Active"/>
    <n v="444"/>
    <s v="Smart TV"/>
    <s v="25-34"/>
    <s v="Afternoon"/>
  </r>
  <r>
    <n v="3164"/>
    <s v="Angela"/>
    <x v="23"/>
    <d v="2024-12-13T00:00:00"/>
    <n v="14"/>
    <x v="2"/>
    <n v="223.86"/>
    <n v="371"/>
    <x v="5"/>
    <n v="1"/>
    <n v="5"/>
    <b v="1"/>
    <n v="466"/>
    <n v="176"/>
    <s v="Canada"/>
    <s v="Cryptocurrency"/>
    <s v="Hindi"/>
    <n v="73"/>
    <x v="11"/>
    <b v="0"/>
    <s v="Active"/>
    <n v="292"/>
    <s v="Desktop"/>
    <s v="25-34"/>
    <s v="Morning"/>
  </r>
  <r>
    <n v="2400"/>
    <s v="Matthew"/>
    <x v="328"/>
    <d v="2024-12-12T00:00:00"/>
    <n v="13"/>
    <x v="2"/>
    <n v="207.87"/>
    <n v="110"/>
    <x v="4"/>
    <n v="2"/>
    <n v="5"/>
    <b v="1"/>
    <n v="684"/>
    <n v="32"/>
    <s v="UK"/>
    <s v="PayPal"/>
    <s v="French"/>
    <n v="68"/>
    <x v="1"/>
    <b v="0"/>
    <s v="Active"/>
    <n v="53"/>
    <s v="Laptop"/>
    <s v="25-34"/>
    <s v="Late Night"/>
  </r>
  <r>
    <n v="5499"/>
    <s v="Rachel"/>
    <x v="60"/>
    <d v="2024-12-02T00:00:00"/>
    <n v="17"/>
    <x v="2"/>
    <n v="271.83"/>
    <n v="274"/>
    <x v="4"/>
    <n v="2"/>
    <n v="1"/>
    <b v="1"/>
    <n v="155"/>
    <n v="94"/>
    <s v="UK"/>
    <s v="Debit Card"/>
    <s v="German"/>
    <n v="96"/>
    <x v="17"/>
    <b v="0"/>
    <s v="Active"/>
    <n v="1638"/>
    <s v="Desktop"/>
    <s v="35-44"/>
    <s v="Evening"/>
  </r>
  <r>
    <n v="7221"/>
    <s v="Tammy"/>
    <x v="63"/>
    <d v="2024-11-25T00:00:00"/>
    <n v="8"/>
    <x v="2"/>
    <n v="127.92"/>
    <n v="412"/>
    <x v="2"/>
    <n v="2"/>
    <n v="5"/>
    <b v="1"/>
    <n v="450"/>
    <n v="147"/>
    <s v="Australia"/>
    <s v="Debit Card"/>
    <s v="Hindi"/>
    <n v="11"/>
    <x v="16"/>
    <b v="1"/>
    <s v="Active"/>
    <n v="3542"/>
    <s v="Tablet"/>
    <s v="25-34"/>
    <s v="Late Night"/>
  </r>
  <r>
    <n v="4556"/>
    <s v="Amy"/>
    <x v="361"/>
    <d v="2024-11-29T00:00:00"/>
    <n v="21"/>
    <x v="1"/>
    <n v="251.79"/>
    <n v="341"/>
    <x v="6"/>
    <n v="4"/>
    <n v="1"/>
    <b v="1"/>
    <n v="744"/>
    <n v="146"/>
    <s v="Australia"/>
    <s v="PayPal"/>
    <s v="English"/>
    <n v="75"/>
    <x v="16"/>
    <b v="0"/>
    <s v="Active"/>
    <n v="4935"/>
    <s v="Smart TV"/>
    <s v="35-44"/>
    <s v="Morning"/>
  </r>
  <r>
    <n v="7175"/>
    <s v="Desiree"/>
    <x v="454"/>
    <d v="2024-12-15T00:00:00"/>
    <n v="1"/>
    <x v="1"/>
    <n v="11.99"/>
    <n v="388"/>
    <x v="6"/>
    <n v="3"/>
    <n v="6"/>
    <b v="0"/>
    <n v="51"/>
    <n v="27"/>
    <s v="Canada"/>
    <s v="Debit Card"/>
    <s v="German"/>
    <n v="66"/>
    <x v="7"/>
    <b v="1"/>
    <s v="Active"/>
    <n v="1216"/>
    <s v="Laptop"/>
    <s v="55+"/>
    <s v="Afternoon"/>
  </r>
  <r>
    <n v="7072"/>
    <s v="Erika"/>
    <x v="148"/>
    <d v="2024-11-19T00:00:00"/>
    <n v="21"/>
    <x v="2"/>
    <n v="335.79"/>
    <n v="446"/>
    <x v="2"/>
    <n v="1"/>
    <n v="4"/>
    <b v="1"/>
    <n v="897"/>
    <n v="19"/>
    <s v="Germany"/>
    <s v="PayPal"/>
    <s v="English"/>
    <n v="14"/>
    <x v="17"/>
    <b v="1"/>
    <s v="Active"/>
    <n v="4409"/>
    <s v="Desktop"/>
    <s v="25-34"/>
    <s v="Late Night"/>
  </r>
  <r>
    <n v="4320"/>
    <s v="Laurie"/>
    <x v="359"/>
    <d v="2024-12-17T00:00:00"/>
    <n v="11"/>
    <x v="2"/>
    <n v="175.89000000000001"/>
    <n v="223"/>
    <x v="0"/>
    <n v="5"/>
    <n v="3"/>
    <b v="1"/>
    <n v="499"/>
    <n v="124"/>
    <s v="Canada"/>
    <s v="PayPal"/>
    <s v="German"/>
    <n v="78"/>
    <x v="9"/>
    <b v="1"/>
    <s v="Active"/>
    <n v="2853"/>
    <s v="Laptop"/>
    <s v="45-54"/>
    <s v="Morning"/>
  </r>
  <r>
    <n v="3558"/>
    <s v="Melvin"/>
    <x v="359"/>
    <d v="2024-12-16T00:00:00"/>
    <n v="11"/>
    <x v="2"/>
    <n v="175.89000000000001"/>
    <n v="417"/>
    <x v="2"/>
    <n v="5"/>
    <n v="4"/>
    <b v="0"/>
    <n v="179"/>
    <n v="29"/>
    <s v="Canada"/>
    <s v="Credit Card"/>
    <s v="Mandarin"/>
    <n v="84"/>
    <x v="6"/>
    <b v="0"/>
    <s v="Active"/>
    <n v="1252"/>
    <s v="Smart TV"/>
    <s v="35-44"/>
    <s v="Evening"/>
  </r>
  <r>
    <n v="8581"/>
    <s v="Jose"/>
    <x v="455"/>
    <d v="2024-11-20T00:00:00"/>
    <n v="11"/>
    <x v="1"/>
    <n v="131.89000000000001"/>
    <n v="390"/>
    <x v="6"/>
    <n v="5"/>
    <n v="1"/>
    <b v="1"/>
    <n v="889"/>
    <n v="145"/>
    <s v="USA"/>
    <s v="PayPal"/>
    <s v="Hindi"/>
    <n v="60"/>
    <x v="6"/>
    <b v="1"/>
    <s v="Active"/>
    <n v="3027"/>
    <s v="Smart TV"/>
    <s v="55+"/>
    <s v="Late Night"/>
  </r>
  <r>
    <n v="5827"/>
    <s v="John"/>
    <x v="456"/>
    <d v="2024-12-02T00:00:00"/>
    <n v="20"/>
    <x v="2"/>
    <n v="319.8"/>
    <n v="33"/>
    <x v="5"/>
    <n v="4"/>
    <n v="2"/>
    <b v="0"/>
    <n v="191"/>
    <n v="25"/>
    <s v="UK"/>
    <s v="Credit Card"/>
    <s v="German"/>
    <n v="44"/>
    <x v="6"/>
    <b v="1"/>
    <s v="Active"/>
    <n v="1228"/>
    <s v="Laptop"/>
    <s v="45-54"/>
    <s v="Evening"/>
  </r>
  <r>
    <n v="6929"/>
    <s v="Cynthia"/>
    <x v="248"/>
    <d v="2024-12-05T00:00:00"/>
    <n v="1"/>
    <x v="1"/>
    <n v="11.99"/>
    <n v="302"/>
    <x v="0"/>
    <n v="5"/>
    <n v="5"/>
    <b v="1"/>
    <n v="42"/>
    <n v="196"/>
    <s v="India"/>
    <s v="Credit Card"/>
    <s v="Hindi"/>
    <n v="74"/>
    <x v="3"/>
    <b v="0"/>
    <s v="Active"/>
    <n v="3616"/>
    <s v="Desktop"/>
    <s v="18-24"/>
    <s v="Evening"/>
  </r>
  <r>
    <n v="9179"/>
    <s v="Kurt"/>
    <x v="375"/>
    <d v="2024-11-27T00:00:00"/>
    <n v="0"/>
    <x v="2"/>
    <n v="0"/>
    <n v="121"/>
    <x v="4"/>
    <n v="4"/>
    <n v="5"/>
    <b v="1"/>
    <n v="53"/>
    <n v="77"/>
    <s v="Australia"/>
    <s v="PayPal"/>
    <s v="Hindi"/>
    <n v="54"/>
    <x v="2"/>
    <b v="1"/>
    <s v="Active"/>
    <n v="3913"/>
    <s v="Laptop"/>
    <s v="35-44"/>
    <s v="Morning"/>
  </r>
  <r>
    <n v="7580"/>
    <s v="Mary"/>
    <x v="116"/>
    <d v="2024-11-21T00:00:00"/>
    <n v="21"/>
    <x v="0"/>
    <n v="167.79"/>
    <n v="112"/>
    <x v="4"/>
    <n v="5"/>
    <n v="6"/>
    <b v="0"/>
    <n v="535"/>
    <n v="43"/>
    <s v="UK"/>
    <s v="Cryptocurrency"/>
    <s v="English"/>
    <n v="89"/>
    <x v="2"/>
    <b v="1"/>
    <s v="Active"/>
    <n v="775"/>
    <s v="Desktop"/>
    <s v="18-24"/>
    <s v="Evening"/>
  </r>
  <r>
    <n v="3858"/>
    <s v="David"/>
    <x v="457"/>
    <d v="2024-12-05T00:00:00"/>
    <n v="17"/>
    <x v="2"/>
    <n v="271.83"/>
    <n v="375"/>
    <x v="6"/>
    <n v="3"/>
    <n v="6"/>
    <b v="0"/>
    <n v="416"/>
    <n v="79"/>
    <s v="France"/>
    <s v="PayPal"/>
    <s v="Hindi"/>
    <n v="33"/>
    <x v="7"/>
    <b v="1"/>
    <s v="Active"/>
    <n v="2536"/>
    <s v="Desktop"/>
    <s v="55+"/>
    <s v="Evening"/>
  </r>
  <r>
    <n v="8627"/>
    <s v="Melissa"/>
    <x v="40"/>
    <d v="2024-12-01T00:00:00"/>
    <n v="2"/>
    <x v="1"/>
    <n v="23.98"/>
    <n v="97"/>
    <x v="5"/>
    <n v="3"/>
    <n v="2"/>
    <b v="0"/>
    <n v="287"/>
    <n v="39"/>
    <s v="France"/>
    <s v="PayPal"/>
    <s v="English"/>
    <n v="9"/>
    <x v="11"/>
    <b v="0"/>
    <s v="Active"/>
    <n v="2331"/>
    <s v="Laptop"/>
    <s v="25-34"/>
    <s v="Evening"/>
  </r>
  <r>
    <n v="7552"/>
    <s v="Glenda"/>
    <x v="451"/>
    <d v="2024-12-04T00:00:00"/>
    <n v="5"/>
    <x v="2"/>
    <n v="79.95"/>
    <n v="306"/>
    <x v="3"/>
    <n v="4"/>
    <n v="5"/>
    <b v="0"/>
    <n v="651"/>
    <n v="60"/>
    <s v="Germany"/>
    <s v="Cryptocurrency"/>
    <s v="Mandarin"/>
    <n v="86"/>
    <x v="2"/>
    <b v="0"/>
    <s v="Active"/>
    <n v="2953"/>
    <s v="Desktop"/>
    <s v="55+"/>
    <s v="Afternoon"/>
  </r>
  <r>
    <n v="6020"/>
    <s v="Melvin"/>
    <x v="458"/>
    <d v="2024-11-21T00:00:00"/>
    <n v="3"/>
    <x v="1"/>
    <n v="35.97"/>
    <n v="136"/>
    <x v="4"/>
    <n v="5"/>
    <n v="2"/>
    <b v="1"/>
    <n v="821"/>
    <n v="174"/>
    <s v="France"/>
    <s v="Credit Card"/>
    <s v="German"/>
    <n v="92"/>
    <x v="10"/>
    <b v="1"/>
    <s v="Active"/>
    <n v="868"/>
    <s v="Desktop"/>
    <s v="45-54"/>
    <s v="Afternoon"/>
  </r>
  <r>
    <n v="9408"/>
    <s v="Brandon"/>
    <x v="130"/>
    <d v="2024-11-26T00:00:00"/>
    <n v="18"/>
    <x v="0"/>
    <n v="143.82"/>
    <n v="12"/>
    <x v="5"/>
    <n v="2"/>
    <n v="3"/>
    <b v="1"/>
    <n v="396"/>
    <n v="22"/>
    <s v="Australia"/>
    <s v="Cryptocurrency"/>
    <s v="Hindi"/>
    <n v="70"/>
    <x v="17"/>
    <b v="1"/>
    <s v="Active"/>
    <n v="4808"/>
    <s v="Tablet"/>
    <s v="45-54"/>
    <s v="Late Night"/>
  </r>
  <r>
    <n v="9990"/>
    <s v="Duane"/>
    <x v="306"/>
    <d v="2024-12-05T00:00:00"/>
    <n v="10"/>
    <x v="2"/>
    <n v="159.9"/>
    <n v="379"/>
    <x v="3"/>
    <n v="4"/>
    <n v="5"/>
    <b v="1"/>
    <n v="726"/>
    <n v="103"/>
    <s v="Germany"/>
    <s v="PayPal"/>
    <s v="Mandarin"/>
    <n v="39"/>
    <x v="17"/>
    <b v="1"/>
    <s v="Active"/>
    <n v="4177"/>
    <s v="Desktop"/>
    <s v="18-24"/>
    <s v="Late Night"/>
  </r>
  <r>
    <n v="3687"/>
    <s v="Laurie"/>
    <x v="459"/>
    <d v="2024-12-18T00:00:00"/>
    <n v="13"/>
    <x v="2"/>
    <n v="207.87"/>
    <n v="205"/>
    <x v="4"/>
    <n v="3"/>
    <n v="2"/>
    <b v="1"/>
    <n v="420"/>
    <n v="24"/>
    <s v="France"/>
    <s v="Debit Card"/>
    <s v="Spanish"/>
    <n v="61"/>
    <x v="14"/>
    <b v="0"/>
    <s v="Active"/>
    <n v="564"/>
    <s v="Desktop"/>
    <s v="45-54"/>
    <s v="Afternoon"/>
  </r>
  <r>
    <n v="4540"/>
    <s v="Cody"/>
    <x v="460"/>
    <d v="2024-11-25T00:00:00"/>
    <n v="14"/>
    <x v="2"/>
    <n v="223.86"/>
    <n v="335"/>
    <x v="0"/>
    <n v="3"/>
    <n v="6"/>
    <b v="1"/>
    <n v="75"/>
    <n v="177"/>
    <s v="UK"/>
    <s v="PayPal"/>
    <s v="Hindi"/>
    <n v="73"/>
    <x v="12"/>
    <b v="1"/>
    <s v="Active"/>
    <n v="1702"/>
    <s v="Desktop"/>
    <s v="18-24"/>
    <s v="Evening"/>
  </r>
  <r>
    <n v="8264"/>
    <s v="Valerie"/>
    <x v="461"/>
    <d v="2024-11-22T00:00:00"/>
    <n v="5"/>
    <x v="2"/>
    <n v="79.95"/>
    <n v="449"/>
    <x v="4"/>
    <n v="5"/>
    <n v="6"/>
    <b v="0"/>
    <n v="683"/>
    <n v="85"/>
    <s v="Germany"/>
    <s v="Debit Card"/>
    <s v="Mandarin"/>
    <n v="25"/>
    <x v="18"/>
    <b v="1"/>
    <s v="Active"/>
    <n v="249"/>
    <s v="Laptop"/>
    <s v="25-34"/>
    <s v="Afternoon"/>
  </r>
  <r>
    <n v="7448"/>
    <s v="Jennifer"/>
    <x v="462"/>
    <d v="2024-12-07T00:00:00"/>
    <n v="19"/>
    <x v="0"/>
    <n v="151.81"/>
    <n v="453"/>
    <x v="3"/>
    <n v="1"/>
    <n v="5"/>
    <b v="1"/>
    <n v="487"/>
    <n v="128"/>
    <s v="India"/>
    <s v="Cryptocurrency"/>
    <s v="Mandarin"/>
    <n v="41"/>
    <x v="6"/>
    <b v="1"/>
    <s v="Active"/>
    <n v="30"/>
    <s v="Smartphone"/>
    <s v="18-24"/>
    <s v="Evening"/>
  </r>
  <r>
    <n v="1123"/>
    <s v="Tanya"/>
    <x v="463"/>
    <d v="2024-11-21T00:00:00"/>
    <n v="0"/>
    <x v="0"/>
    <n v="0"/>
    <n v="252"/>
    <x v="0"/>
    <n v="1"/>
    <n v="1"/>
    <b v="1"/>
    <n v="968"/>
    <n v="197"/>
    <s v="India"/>
    <s v="Debit Card"/>
    <s v="Hindi"/>
    <n v="46"/>
    <x v="1"/>
    <b v="0"/>
    <s v="Active"/>
    <n v="3842"/>
    <s v="Tablet"/>
    <s v="18-24"/>
    <s v="Afternoon"/>
  </r>
  <r>
    <n v="4103"/>
    <s v="Daniel"/>
    <x v="95"/>
    <d v="2024-11-25T00:00:00"/>
    <n v="0"/>
    <x v="1"/>
    <n v="0"/>
    <n v="379"/>
    <x v="4"/>
    <n v="2"/>
    <n v="1"/>
    <b v="1"/>
    <n v="632"/>
    <n v="82"/>
    <s v="USA"/>
    <s v="Credit Card"/>
    <s v="Spanish"/>
    <n v="29"/>
    <x v="7"/>
    <b v="1"/>
    <s v="Active"/>
    <n v="1299"/>
    <s v="Desktop"/>
    <s v="25-34"/>
    <s v="Afternoon"/>
  </r>
  <r>
    <n v="2904"/>
    <s v="Troy"/>
    <x v="441"/>
    <d v="2024-12-01T00:00:00"/>
    <n v="9"/>
    <x v="0"/>
    <n v="71.91"/>
    <n v="280"/>
    <x v="6"/>
    <n v="3"/>
    <n v="1"/>
    <b v="0"/>
    <n v="188"/>
    <n v="103"/>
    <s v="Germany"/>
    <s v="Cryptocurrency"/>
    <s v="English"/>
    <n v="80"/>
    <x v="14"/>
    <b v="0"/>
    <s v="Active"/>
    <n v="2346"/>
    <s v="Smart TV"/>
    <s v="55+"/>
    <s v="Morning"/>
  </r>
  <r>
    <n v="5634"/>
    <s v="Emily"/>
    <x v="52"/>
    <d v="2024-11-24T00:00:00"/>
    <n v="7"/>
    <x v="0"/>
    <n v="55.93"/>
    <n v="187"/>
    <x v="4"/>
    <n v="3"/>
    <n v="3"/>
    <b v="0"/>
    <n v="987"/>
    <n v="166"/>
    <s v="Australia"/>
    <s v="PayPal"/>
    <s v="Spanish"/>
    <n v="24"/>
    <x v="9"/>
    <b v="0"/>
    <s v="Active"/>
    <n v="215"/>
    <s v="Desktop"/>
    <s v="55+"/>
    <s v="Evening"/>
  </r>
  <r>
    <n v="5360"/>
    <s v="Elizabeth"/>
    <x v="429"/>
    <d v="2024-12-02T00:00:00"/>
    <n v="14"/>
    <x v="0"/>
    <n v="111.86"/>
    <n v="373"/>
    <x v="0"/>
    <n v="2"/>
    <n v="1"/>
    <b v="1"/>
    <n v="925"/>
    <n v="12"/>
    <s v="UK"/>
    <s v="PayPal"/>
    <s v="Hindi"/>
    <n v="22"/>
    <x v="18"/>
    <b v="1"/>
    <s v="Active"/>
    <n v="3062"/>
    <s v="Laptop"/>
    <s v="35-44"/>
    <s v="Morning"/>
  </r>
  <r>
    <n v="8571"/>
    <s v="Brian"/>
    <x v="464"/>
    <d v="2024-12-15T00:00:00"/>
    <n v="18"/>
    <x v="2"/>
    <n v="287.82"/>
    <n v="482"/>
    <x v="0"/>
    <n v="2"/>
    <n v="5"/>
    <b v="1"/>
    <n v="838"/>
    <n v="159"/>
    <s v="Canada"/>
    <s v="Debit Card"/>
    <s v="French"/>
    <n v="39"/>
    <x v="14"/>
    <b v="0"/>
    <s v="Active"/>
    <n v="2978"/>
    <s v="Tablet"/>
    <s v="45-54"/>
    <s v="Morning"/>
  </r>
  <r>
    <n v="9439"/>
    <s v="Claire"/>
    <x v="465"/>
    <d v="2024-12-11T00:00:00"/>
    <n v="12"/>
    <x v="1"/>
    <n v="143.88"/>
    <n v="360"/>
    <x v="2"/>
    <n v="3"/>
    <n v="4"/>
    <b v="0"/>
    <n v="295"/>
    <n v="55"/>
    <s v="Canada"/>
    <s v="Credit Card"/>
    <s v="Mandarin"/>
    <n v="31"/>
    <x v="4"/>
    <b v="0"/>
    <s v="Active"/>
    <n v="1984"/>
    <s v="Tablet"/>
    <s v="25-34"/>
    <s v="Evening"/>
  </r>
  <r>
    <n v="8356"/>
    <s v="Samuel"/>
    <x v="466"/>
    <d v="2024-12-14T00:00:00"/>
    <n v="22"/>
    <x v="2"/>
    <n v="351.78000000000003"/>
    <n v="463"/>
    <x v="5"/>
    <n v="2"/>
    <n v="1"/>
    <b v="0"/>
    <n v="844"/>
    <n v="98"/>
    <s v="UK"/>
    <s v="Cryptocurrency"/>
    <s v="English"/>
    <n v="15"/>
    <x v="10"/>
    <b v="1"/>
    <s v="Active"/>
    <n v="945"/>
    <s v="Smartphone"/>
    <s v="55+"/>
    <s v="Afternoon"/>
  </r>
  <r>
    <n v="2039"/>
    <s v="Caroline"/>
    <x v="421"/>
    <d v="2024-12-02T00:00:00"/>
    <n v="23"/>
    <x v="2"/>
    <n v="367.77"/>
    <n v="13"/>
    <x v="6"/>
    <n v="3"/>
    <n v="5"/>
    <b v="0"/>
    <n v="378"/>
    <n v="123"/>
    <s v="India"/>
    <s v="Credit Card"/>
    <s v="German"/>
    <n v="3"/>
    <x v="18"/>
    <b v="0"/>
    <s v="Active"/>
    <n v="4134"/>
    <s v="Desktop"/>
    <s v="25-34"/>
    <s v="Late Night"/>
  </r>
  <r>
    <n v="2613"/>
    <s v="Benjamin"/>
    <x v="148"/>
    <d v="2024-12-16T00:00:00"/>
    <n v="22"/>
    <x v="0"/>
    <n v="175.78"/>
    <n v="129"/>
    <x v="3"/>
    <n v="4"/>
    <n v="5"/>
    <b v="0"/>
    <n v="439"/>
    <n v="10"/>
    <s v="UK"/>
    <s v="Credit Card"/>
    <s v="French"/>
    <n v="11"/>
    <x v="4"/>
    <b v="0"/>
    <s v="Active"/>
    <n v="3741"/>
    <s v="Tablet"/>
    <s v="35-44"/>
    <s v="Morning"/>
  </r>
  <r>
    <n v="8226"/>
    <s v="Matthew"/>
    <x v="407"/>
    <d v="2024-11-23T00:00:00"/>
    <n v="6"/>
    <x v="0"/>
    <n v="47.94"/>
    <n v="290"/>
    <x v="1"/>
    <n v="5"/>
    <n v="5"/>
    <b v="0"/>
    <n v="84"/>
    <n v="52"/>
    <s v="Canada"/>
    <s v="Debit Card"/>
    <s v="Hindi"/>
    <n v="91"/>
    <x v="2"/>
    <b v="1"/>
    <s v="Active"/>
    <n v="1408"/>
    <s v="Desktop"/>
    <s v="45-54"/>
    <s v="Afternoon"/>
  </r>
  <r>
    <n v="1425"/>
    <s v="Yolanda"/>
    <x v="279"/>
    <d v="2024-11-25T00:00:00"/>
    <n v="2"/>
    <x v="0"/>
    <n v="15.98"/>
    <n v="50"/>
    <x v="0"/>
    <n v="2"/>
    <n v="3"/>
    <b v="1"/>
    <n v="502"/>
    <n v="5"/>
    <s v="India"/>
    <s v="Debit Card"/>
    <s v="Hindi"/>
    <n v="96"/>
    <x v="16"/>
    <b v="1"/>
    <s v="Active"/>
    <n v="1917"/>
    <s v="Tablet"/>
    <s v="55+"/>
    <s v="Afternoon"/>
  </r>
  <r>
    <n v="4479"/>
    <s v="Amber"/>
    <x v="467"/>
    <d v="2024-12-06T00:00:00"/>
    <n v="1"/>
    <x v="2"/>
    <n v="15.99"/>
    <n v="241"/>
    <x v="6"/>
    <n v="3"/>
    <n v="2"/>
    <b v="1"/>
    <n v="549"/>
    <n v="158"/>
    <s v="India"/>
    <s v="Debit Card"/>
    <s v="Mandarin"/>
    <n v="96"/>
    <x v="2"/>
    <b v="1"/>
    <s v="Active"/>
    <n v="1986"/>
    <s v="Smartphone"/>
    <s v="25-34"/>
    <s v="Morning"/>
  </r>
  <r>
    <n v="3393"/>
    <s v="William"/>
    <x v="162"/>
    <d v="2024-11-28T00:00:00"/>
    <n v="10"/>
    <x v="0"/>
    <n v="79.900000000000006"/>
    <n v="383"/>
    <x v="4"/>
    <n v="3"/>
    <n v="2"/>
    <b v="1"/>
    <n v="699"/>
    <n v="174"/>
    <s v="France"/>
    <s v="Credit Card"/>
    <s v="French"/>
    <n v="13"/>
    <x v="20"/>
    <b v="1"/>
    <s v="Active"/>
    <n v="3254"/>
    <s v="Smartphone"/>
    <s v="18-24"/>
    <s v="Afternoon"/>
  </r>
  <r>
    <n v="8528"/>
    <s v="Dawn"/>
    <x v="160"/>
    <d v="2024-11-29T00:00:00"/>
    <n v="0"/>
    <x v="0"/>
    <n v="0"/>
    <n v="384"/>
    <x v="2"/>
    <n v="5"/>
    <n v="1"/>
    <b v="0"/>
    <n v="423"/>
    <n v="110"/>
    <s v="France"/>
    <s v="Credit Card"/>
    <s v="Mandarin"/>
    <n v="61"/>
    <x v="9"/>
    <b v="1"/>
    <s v="Active"/>
    <n v="3648"/>
    <s v="Smartphone"/>
    <s v="45-54"/>
    <s v="Morning"/>
  </r>
  <r>
    <n v="9372"/>
    <s v="Matthew"/>
    <x v="100"/>
    <d v="2024-12-04T00:00:00"/>
    <n v="21"/>
    <x v="0"/>
    <n v="167.79"/>
    <n v="302"/>
    <x v="4"/>
    <n v="1"/>
    <n v="1"/>
    <b v="1"/>
    <n v="964"/>
    <n v="165"/>
    <s v="France"/>
    <s v="Cryptocurrency"/>
    <s v="English"/>
    <n v="47"/>
    <x v="16"/>
    <b v="0"/>
    <s v="Active"/>
    <n v="3552"/>
    <s v="Smart TV"/>
    <s v="55+"/>
    <s v="Evening"/>
  </r>
  <r>
    <n v="5469"/>
    <s v="Jose"/>
    <x v="312"/>
    <d v="2024-12-05T00:00:00"/>
    <n v="9"/>
    <x v="2"/>
    <n v="143.91"/>
    <n v="24"/>
    <x v="2"/>
    <n v="2"/>
    <n v="1"/>
    <b v="0"/>
    <n v="742"/>
    <n v="150"/>
    <s v="USA"/>
    <s v="Credit Card"/>
    <s v="French"/>
    <n v="57"/>
    <x v="8"/>
    <b v="0"/>
    <s v="Active"/>
    <n v="150"/>
    <s v="Smart TV"/>
    <s v="18-24"/>
    <s v="Morning"/>
  </r>
  <r>
    <n v="2603"/>
    <s v="Peter"/>
    <x v="15"/>
    <d v="2024-11-20T00:00:00"/>
    <n v="6"/>
    <x v="1"/>
    <n v="71.94"/>
    <n v="416"/>
    <x v="6"/>
    <n v="3"/>
    <n v="5"/>
    <b v="0"/>
    <n v="97"/>
    <n v="172"/>
    <s v="USA"/>
    <s v="Credit Card"/>
    <s v="Spanish"/>
    <n v="89"/>
    <x v="5"/>
    <b v="1"/>
    <s v="Active"/>
    <n v="786"/>
    <s v="Smart TV"/>
    <s v="18-24"/>
    <s v="Afternoon"/>
  </r>
  <r>
    <n v="5306"/>
    <s v="Sandra"/>
    <x v="339"/>
    <d v="2024-12-09T00:00:00"/>
    <n v="14"/>
    <x v="2"/>
    <n v="223.86"/>
    <n v="272"/>
    <x v="5"/>
    <n v="5"/>
    <n v="1"/>
    <b v="1"/>
    <n v="735"/>
    <n v="74"/>
    <s v="Germany"/>
    <s v="Credit Card"/>
    <s v="English"/>
    <n v="90"/>
    <x v="20"/>
    <b v="1"/>
    <s v="Active"/>
    <n v="1808"/>
    <s v="Tablet"/>
    <s v="25-34"/>
    <s v="Late Night"/>
  </r>
  <r>
    <n v="7869"/>
    <s v="Dawn"/>
    <x v="468"/>
    <d v="2024-12-01T00:00:00"/>
    <n v="6"/>
    <x v="2"/>
    <n v="95.94"/>
    <n v="294"/>
    <x v="1"/>
    <n v="3"/>
    <n v="6"/>
    <b v="0"/>
    <n v="709"/>
    <n v="181"/>
    <s v="Germany"/>
    <s v="Cryptocurrency"/>
    <s v="Spanish"/>
    <n v="39"/>
    <x v="7"/>
    <b v="1"/>
    <s v="Active"/>
    <n v="3091"/>
    <s v="Laptop"/>
    <s v="45-54"/>
    <s v="Evening"/>
  </r>
  <r>
    <n v="1699"/>
    <s v="John"/>
    <x v="387"/>
    <d v="2024-12-11T00:00:00"/>
    <n v="14"/>
    <x v="2"/>
    <n v="223.86"/>
    <n v="18"/>
    <x v="3"/>
    <n v="4"/>
    <n v="2"/>
    <b v="0"/>
    <n v="882"/>
    <n v="1"/>
    <s v="France"/>
    <s v="Credit Card"/>
    <s v="Spanish"/>
    <n v="100"/>
    <x v="9"/>
    <b v="1"/>
    <s v="Active"/>
    <n v="3697"/>
    <s v="Desktop"/>
    <s v="25-34"/>
    <s v="Evening"/>
  </r>
  <r>
    <n v="3214"/>
    <s v="Cynthia"/>
    <x v="469"/>
    <d v="2024-12-12T00:00:00"/>
    <n v="4"/>
    <x v="2"/>
    <n v="63.96"/>
    <n v="409"/>
    <x v="0"/>
    <n v="1"/>
    <n v="2"/>
    <b v="1"/>
    <n v="131"/>
    <n v="85"/>
    <s v="Germany"/>
    <s v="Cryptocurrency"/>
    <s v="French"/>
    <n v="95"/>
    <x v="5"/>
    <b v="1"/>
    <s v="Active"/>
    <n v="4835"/>
    <s v="Laptop"/>
    <s v="18-24"/>
    <s v="Afternoon"/>
  </r>
  <r>
    <n v="1050"/>
    <s v="Mary"/>
    <x v="275"/>
    <d v="2024-11-29T00:00:00"/>
    <n v="7"/>
    <x v="1"/>
    <n v="83.93"/>
    <n v="290"/>
    <x v="6"/>
    <n v="4"/>
    <n v="4"/>
    <b v="0"/>
    <n v="305"/>
    <n v="112"/>
    <s v="USA"/>
    <s v="PayPal"/>
    <s v="Spanish"/>
    <n v="57"/>
    <x v="6"/>
    <b v="0"/>
    <s v="Active"/>
    <n v="2023"/>
    <s v="Desktop"/>
    <s v="45-54"/>
    <s v="Morning"/>
  </r>
  <r>
    <n v="3325"/>
    <s v="Tiffany"/>
    <x v="243"/>
    <d v="2024-11-30T00:00:00"/>
    <n v="1"/>
    <x v="2"/>
    <n v="15.99"/>
    <n v="102"/>
    <x v="1"/>
    <n v="5"/>
    <n v="3"/>
    <b v="0"/>
    <n v="456"/>
    <n v="52"/>
    <s v="Germany"/>
    <s v="Debit Card"/>
    <s v="French"/>
    <n v="32"/>
    <x v="11"/>
    <b v="1"/>
    <s v="Active"/>
    <n v="1005"/>
    <s v="Tablet"/>
    <s v="25-34"/>
    <s v="Evening"/>
  </r>
  <r>
    <n v="1970"/>
    <s v="Michael"/>
    <x v="470"/>
    <d v="2024-12-02T00:00:00"/>
    <n v="14"/>
    <x v="2"/>
    <n v="223.86"/>
    <n v="119"/>
    <x v="2"/>
    <n v="2"/>
    <n v="1"/>
    <b v="1"/>
    <n v="385"/>
    <n v="82"/>
    <s v="Australia"/>
    <s v="Cryptocurrency"/>
    <s v="English"/>
    <n v="87"/>
    <x v="0"/>
    <b v="0"/>
    <s v="Active"/>
    <n v="876"/>
    <s v="Tablet"/>
    <s v="35-44"/>
    <s v="Afternoon"/>
  </r>
  <r>
    <n v="6272"/>
    <s v="Caitlin"/>
    <x v="471"/>
    <d v="2024-12-18T00:00:00"/>
    <n v="16"/>
    <x v="1"/>
    <n v="191.84"/>
    <n v="87"/>
    <x v="0"/>
    <n v="3"/>
    <n v="6"/>
    <b v="1"/>
    <n v="213"/>
    <n v="98"/>
    <s v="Canada"/>
    <s v="Debit Card"/>
    <s v="Mandarin"/>
    <n v="84"/>
    <x v="9"/>
    <b v="0"/>
    <s v="Active"/>
    <n v="2089"/>
    <s v="Tablet"/>
    <s v="25-34"/>
    <s v="Afternoon"/>
  </r>
  <r>
    <n v="4745"/>
    <s v="Charles"/>
    <x v="19"/>
    <d v="2024-11-30T00:00:00"/>
    <n v="16"/>
    <x v="0"/>
    <n v="127.84"/>
    <n v="273"/>
    <x v="1"/>
    <n v="5"/>
    <n v="1"/>
    <b v="1"/>
    <n v="830"/>
    <n v="178"/>
    <s v="USA"/>
    <s v="Cryptocurrency"/>
    <s v="French"/>
    <n v="37"/>
    <x v="4"/>
    <b v="1"/>
    <s v="Active"/>
    <n v="772"/>
    <s v="Smartphone"/>
    <s v="55+"/>
    <s v="Evening"/>
  </r>
  <r>
    <n v="8867"/>
    <s v="Derek"/>
    <x v="472"/>
    <d v="2024-11-21T00:00:00"/>
    <n v="17"/>
    <x v="2"/>
    <n v="271.83"/>
    <n v="281"/>
    <x v="5"/>
    <n v="1"/>
    <n v="2"/>
    <b v="1"/>
    <n v="601"/>
    <n v="75"/>
    <s v="France"/>
    <s v="Credit Card"/>
    <s v="German"/>
    <n v="92"/>
    <x v="6"/>
    <b v="0"/>
    <s v="Active"/>
    <n v="373"/>
    <s v="Smart TV"/>
    <s v="45-54"/>
    <s v="Morning"/>
  </r>
  <r>
    <n v="4901"/>
    <s v="Rebecca"/>
    <x v="473"/>
    <d v="2024-12-18T00:00:00"/>
    <n v="23"/>
    <x v="0"/>
    <n v="183.77"/>
    <n v="115"/>
    <x v="3"/>
    <n v="2"/>
    <n v="3"/>
    <b v="0"/>
    <n v="843"/>
    <n v="153"/>
    <s v="France"/>
    <s v="PayPal"/>
    <s v="Mandarin"/>
    <n v="6"/>
    <x v="0"/>
    <b v="1"/>
    <s v="Active"/>
    <n v="3425"/>
    <s v="Tablet"/>
    <s v="25-34"/>
    <s v="Morning"/>
  </r>
  <r>
    <n v="9575"/>
    <s v="John"/>
    <x v="153"/>
    <d v="2024-12-13T00:00:00"/>
    <n v="21"/>
    <x v="1"/>
    <n v="251.79"/>
    <n v="483"/>
    <x v="4"/>
    <n v="2"/>
    <n v="6"/>
    <b v="0"/>
    <n v="386"/>
    <n v="192"/>
    <s v="Australia"/>
    <s v="PayPal"/>
    <s v="French"/>
    <n v="95"/>
    <x v="3"/>
    <b v="1"/>
    <s v="Active"/>
    <n v="4422"/>
    <s v="Desktop"/>
    <s v="55+"/>
    <s v="Late Night"/>
  </r>
  <r>
    <n v="4471"/>
    <s v="Jordan"/>
    <x v="383"/>
    <d v="2024-12-11T00:00:00"/>
    <n v="8"/>
    <x v="1"/>
    <n v="95.92"/>
    <n v="129"/>
    <x v="1"/>
    <n v="5"/>
    <n v="3"/>
    <b v="0"/>
    <n v="291"/>
    <n v="37"/>
    <s v="India"/>
    <s v="Credit Card"/>
    <s v="Mandarin"/>
    <n v="51"/>
    <x v="20"/>
    <b v="0"/>
    <s v="Active"/>
    <n v="4980"/>
    <s v="Tablet"/>
    <s v="25-34"/>
    <s v="Morning"/>
  </r>
  <r>
    <n v="1385"/>
    <s v="Norman"/>
    <x v="34"/>
    <d v="2024-12-10T00:00:00"/>
    <n v="2"/>
    <x v="1"/>
    <n v="23.98"/>
    <n v="292"/>
    <x v="1"/>
    <n v="4"/>
    <n v="3"/>
    <b v="0"/>
    <n v="198"/>
    <n v="195"/>
    <s v="Canada"/>
    <s v="Credit Card"/>
    <s v="English"/>
    <n v="55"/>
    <x v="11"/>
    <b v="1"/>
    <s v="Active"/>
    <n v="1367"/>
    <s v="Tablet"/>
    <s v="35-44"/>
    <s v="Late Night"/>
  </r>
  <r>
    <n v="4302"/>
    <s v="Lori"/>
    <x v="474"/>
    <d v="2024-12-10T00:00:00"/>
    <n v="21"/>
    <x v="1"/>
    <n v="251.79"/>
    <n v="307"/>
    <x v="4"/>
    <n v="3"/>
    <n v="1"/>
    <b v="0"/>
    <n v="919"/>
    <n v="175"/>
    <s v="India"/>
    <s v="Debit Card"/>
    <s v="English"/>
    <n v="22"/>
    <x v="1"/>
    <b v="1"/>
    <s v="Active"/>
    <n v="2728"/>
    <s v="Desktop"/>
    <s v="35-44"/>
    <s v="Late Night"/>
  </r>
  <r>
    <n v="4738"/>
    <s v="Katrina"/>
    <x v="475"/>
    <d v="2024-12-04T00:00:00"/>
    <n v="12"/>
    <x v="2"/>
    <n v="191.88"/>
    <n v="306"/>
    <x v="1"/>
    <n v="5"/>
    <n v="6"/>
    <b v="1"/>
    <n v="483"/>
    <n v="5"/>
    <s v="UK"/>
    <s v="Debit Card"/>
    <s v="Hindi"/>
    <n v="56"/>
    <x v="9"/>
    <b v="0"/>
    <s v="Active"/>
    <n v="1556"/>
    <s v="Tablet"/>
    <s v="35-44"/>
    <s v="Evening"/>
  </r>
  <r>
    <n v="2441"/>
    <s v="Dawn"/>
    <x v="464"/>
    <d v="2024-12-14T00:00:00"/>
    <n v="18"/>
    <x v="1"/>
    <n v="215.82"/>
    <n v="71"/>
    <x v="2"/>
    <n v="3"/>
    <n v="2"/>
    <b v="1"/>
    <n v="645"/>
    <n v="5"/>
    <s v="Australia"/>
    <s v="PayPal"/>
    <s v="Mandarin"/>
    <n v="66"/>
    <x v="12"/>
    <b v="0"/>
    <s v="Active"/>
    <n v="4566"/>
    <s v="Tablet"/>
    <s v="25-34"/>
    <s v="Late Night"/>
  </r>
  <r>
    <n v="6546"/>
    <s v="Shannon"/>
    <x v="211"/>
    <d v="2024-12-08T00:00:00"/>
    <n v="11"/>
    <x v="2"/>
    <n v="175.89000000000001"/>
    <n v="253"/>
    <x v="2"/>
    <n v="1"/>
    <n v="2"/>
    <b v="1"/>
    <n v="653"/>
    <n v="53"/>
    <s v="USA"/>
    <s v="PayPal"/>
    <s v="Hindi"/>
    <n v="43"/>
    <x v="13"/>
    <b v="1"/>
    <s v="Active"/>
    <n v="2969"/>
    <s v="Laptop"/>
    <s v="35-44"/>
    <s v="Evening"/>
  </r>
  <r>
    <n v="5459"/>
    <s v="Eric"/>
    <x v="275"/>
    <d v="2024-12-13T00:00:00"/>
    <n v="8"/>
    <x v="2"/>
    <n v="127.92"/>
    <n v="68"/>
    <x v="4"/>
    <n v="5"/>
    <n v="2"/>
    <b v="0"/>
    <n v="727"/>
    <n v="5"/>
    <s v="Germany"/>
    <s v="Cryptocurrency"/>
    <s v="French"/>
    <n v="8"/>
    <x v="3"/>
    <b v="0"/>
    <s v="Active"/>
    <n v="3421"/>
    <s v="Smart TV"/>
    <s v="45-54"/>
    <s v="Late Night"/>
  </r>
  <r>
    <n v="7051"/>
    <s v="Amber"/>
    <x v="173"/>
    <d v="2024-12-16T00:00:00"/>
    <n v="19"/>
    <x v="0"/>
    <n v="151.81"/>
    <n v="366"/>
    <x v="1"/>
    <n v="1"/>
    <n v="1"/>
    <b v="1"/>
    <n v="257"/>
    <n v="46"/>
    <s v="Germany"/>
    <s v="Debit Card"/>
    <s v="French"/>
    <n v="7"/>
    <x v="6"/>
    <b v="1"/>
    <s v="Active"/>
    <n v="2535"/>
    <s v="Tablet"/>
    <s v="25-34"/>
    <s v="Evening"/>
  </r>
  <r>
    <n v="6671"/>
    <s v="Robert"/>
    <x v="476"/>
    <d v="2024-12-11T00:00:00"/>
    <n v="9"/>
    <x v="2"/>
    <n v="143.91"/>
    <n v="166"/>
    <x v="6"/>
    <n v="4"/>
    <n v="1"/>
    <b v="0"/>
    <n v="208"/>
    <n v="39"/>
    <s v="Germany"/>
    <s v="PayPal"/>
    <s v="Spanish"/>
    <n v="53"/>
    <x v="19"/>
    <b v="1"/>
    <s v="Active"/>
    <n v="290"/>
    <s v="Smartphone"/>
    <s v="35-44"/>
    <s v="Evening"/>
  </r>
  <r>
    <n v="6013"/>
    <s v="Destiny"/>
    <x v="477"/>
    <d v="2024-12-03T00:00:00"/>
    <n v="3"/>
    <x v="2"/>
    <n v="47.97"/>
    <n v="136"/>
    <x v="5"/>
    <n v="2"/>
    <n v="4"/>
    <b v="1"/>
    <n v="471"/>
    <n v="91"/>
    <s v="Canada"/>
    <s v="Debit Card"/>
    <s v="Mandarin"/>
    <n v="70"/>
    <x v="16"/>
    <b v="0"/>
    <s v="Active"/>
    <n v="756"/>
    <s v="Tablet"/>
    <s v="25-34"/>
    <s v="Afternoon"/>
  </r>
  <r>
    <n v="9996"/>
    <s v="Pamela"/>
    <x v="280"/>
    <d v="2024-12-09T00:00:00"/>
    <n v="4"/>
    <x v="0"/>
    <n v="31.96"/>
    <n v="358"/>
    <x v="5"/>
    <n v="3"/>
    <n v="2"/>
    <b v="1"/>
    <n v="512"/>
    <n v="153"/>
    <s v="UK"/>
    <s v="Credit Card"/>
    <s v="Hindi"/>
    <n v="70"/>
    <x v="0"/>
    <b v="1"/>
    <s v="Active"/>
    <n v="947"/>
    <s v="Smart TV"/>
    <s v="18-24"/>
    <s v="Late Night"/>
  </r>
  <r>
    <n v="4851"/>
    <s v="Nicole"/>
    <x v="478"/>
    <d v="2024-12-16T00:00:00"/>
    <n v="21"/>
    <x v="2"/>
    <n v="335.79"/>
    <n v="399"/>
    <x v="1"/>
    <n v="1"/>
    <n v="2"/>
    <b v="0"/>
    <n v="355"/>
    <n v="181"/>
    <s v="USA"/>
    <s v="Credit Card"/>
    <s v="Hindi"/>
    <n v="79"/>
    <x v="15"/>
    <b v="1"/>
    <s v="Active"/>
    <n v="2138"/>
    <s v="Desktop"/>
    <s v="45-54"/>
    <s v="Late Night"/>
  </r>
  <r>
    <n v="2498"/>
    <s v="Timothy"/>
    <x v="57"/>
    <d v="2024-12-07T00:00:00"/>
    <n v="13"/>
    <x v="1"/>
    <n v="155.87"/>
    <n v="285"/>
    <x v="6"/>
    <n v="1"/>
    <n v="5"/>
    <b v="0"/>
    <n v="634"/>
    <n v="168"/>
    <s v="USA"/>
    <s v="Cryptocurrency"/>
    <s v="German"/>
    <n v="76"/>
    <x v="0"/>
    <b v="1"/>
    <s v="Active"/>
    <n v="3151"/>
    <s v="Desktop"/>
    <s v="45-54"/>
    <s v="Afternoon"/>
  </r>
  <r>
    <n v="6208"/>
    <s v="Alexandra"/>
    <x v="479"/>
    <d v="2024-12-17T00:00:00"/>
    <n v="16"/>
    <x v="0"/>
    <n v="127.84"/>
    <n v="424"/>
    <x v="4"/>
    <n v="2"/>
    <n v="3"/>
    <b v="0"/>
    <n v="942"/>
    <n v="127"/>
    <s v="Germany"/>
    <s v="PayPal"/>
    <s v="English"/>
    <n v="95"/>
    <x v="14"/>
    <b v="1"/>
    <s v="Active"/>
    <n v="670"/>
    <s v="Smart TV"/>
    <s v="45-54"/>
    <s v="Afternoon"/>
  </r>
  <r>
    <n v="7171"/>
    <s v="Patricia"/>
    <x v="27"/>
    <d v="2024-11-26T00:00:00"/>
    <n v="9"/>
    <x v="1"/>
    <n v="107.91"/>
    <n v="467"/>
    <x v="0"/>
    <n v="1"/>
    <n v="3"/>
    <b v="1"/>
    <n v="350"/>
    <n v="134"/>
    <s v="Germany"/>
    <s v="Debit Card"/>
    <s v="English"/>
    <n v="1"/>
    <x v="12"/>
    <b v="0"/>
    <s v="Active"/>
    <n v="3037"/>
    <s v="Smartphone"/>
    <s v="25-34"/>
    <s v="Afternoon"/>
  </r>
  <r>
    <n v="7667"/>
    <s v="Katrina"/>
    <x v="231"/>
    <d v="2024-12-17T00:00:00"/>
    <n v="23"/>
    <x v="2"/>
    <n v="367.77"/>
    <n v="443"/>
    <x v="6"/>
    <n v="1"/>
    <n v="3"/>
    <b v="0"/>
    <n v="326"/>
    <n v="59"/>
    <s v="Germany"/>
    <s v="PayPal"/>
    <s v="Hindi"/>
    <n v="57"/>
    <x v="12"/>
    <b v="0"/>
    <s v="Active"/>
    <n v="3712"/>
    <s v="Desktop"/>
    <s v="35-44"/>
    <s v="Late Night"/>
  </r>
  <r>
    <n v="4912"/>
    <s v="Andrea"/>
    <x v="480"/>
    <d v="2024-12-01T00:00:00"/>
    <n v="13"/>
    <x v="2"/>
    <n v="207.87"/>
    <n v="214"/>
    <x v="2"/>
    <n v="1"/>
    <n v="3"/>
    <b v="0"/>
    <n v="61"/>
    <n v="148"/>
    <s v="UK"/>
    <s v="Cryptocurrency"/>
    <s v="German"/>
    <n v="95"/>
    <x v="13"/>
    <b v="1"/>
    <s v="Active"/>
    <n v="2029"/>
    <s v="Smartphone"/>
    <s v="45-54"/>
    <s v="Late Night"/>
  </r>
  <r>
    <n v="7975"/>
    <s v="Suzanne"/>
    <x v="113"/>
    <d v="2024-11-22T00:00:00"/>
    <n v="13"/>
    <x v="2"/>
    <n v="207.87"/>
    <n v="437"/>
    <x v="4"/>
    <n v="2"/>
    <n v="2"/>
    <b v="1"/>
    <n v="328"/>
    <n v="170"/>
    <s v="France"/>
    <s v="Debit Card"/>
    <s v="English"/>
    <n v="25"/>
    <x v="10"/>
    <b v="0"/>
    <s v="Active"/>
    <n v="2406"/>
    <s v="Smart TV"/>
    <s v="25-34"/>
    <s v="Late Night"/>
  </r>
  <r>
    <n v="6804"/>
    <s v="Benjamin"/>
    <x v="481"/>
    <d v="2024-12-10T00:00:00"/>
    <n v="21"/>
    <x v="2"/>
    <n v="335.79"/>
    <n v="419"/>
    <x v="1"/>
    <n v="2"/>
    <n v="1"/>
    <b v="0"/>
    <n v="591"/>
    <n v="166"/>
    <s v="Australia"/>
    <s v="PayPal"/>
    <s v="German"/>
    <n v="26"/>
    <x v="17"/>
    <b v="1"/>
    <s v="Active"/>
    <n v="3264"/>
    <s v="Desktop"/>
    <s v="55+"/>
    <s v="Late Night"/>
  </r>
  <r>
    <n v="3877"/>
    <s v="Shannon"/>
    <x v="393"/>
    <d v="2024-11-24T00:00:00"/>
    <n v="4"/>
    <x v="1"/>
    <n v="47.96"/>
    <n v="129"/>
    <x v="0"/>
    <n v="2"/>
    <n v="5"/>
    <b v="0"/>
    <n v="527"/>
    <n v="153"/>
    <s v="Australia"/>
    <s v="PayPal"/>
    <s v="German"/>
    <n v="0"/>
    <x v="3"/>
    <b v="0"/>
    <s v="Active"/>
    <n v="1135"/>
    <s v="Tablet"/>
    <s v="25-34"/>
    <s v="Late Night"/>
  </r>
  <r>
    <n v="8768"/>
    <s v="Stephen"/>
    <x v="482"/>
    <d v="2024-12-01T00:00:00"/>
    <n v="0"/>
    <x v="2"/>
    <n v="0"/>
    <n v="75"/>
    <x v="2"/>
    <n v="5"/>
    <n v="1"/>
    <b v="1"/>
    <n v="115"/>
    <n v="122"/>
    <s v="Australia"/>
    <s v="Debit Card"/>
    <s v="Hindi"/>
    <n v="86"/>
    <x v="17"/>
    <b v="0"/>
    <s v="Active"/>
    <n v="3761"/>
    <s v="Tablet"/>
    <s v="25-34"/>
    <s v="Evening"/>
  </r>
  <r>
    <n v="1420"/>
    <s v="Courtney"/>
    <x v="34"/>
    <d v="2024-12-05T00:00:00"/>
    <n v="2"/>
    <x v="0"/>
    <n v="15.98"/>
    <n v="346"/>
    <x v="3"/>
    <n v="5"/>
    <n v="5"/>
    <b v="1"/>
    <n v="732"/>
    <n v="144"/>
    <s v="France"/>
    <s v="PayPal"/>
    <s v="French"/>
    <n v="73"/>
    <x v="11"/>
    <b v="0"/>
    <s v="Active"/>
    <n v="3633"/>
    <s v="Tablet"/>
    <s v="55+"/>
    <s v="Late Night"/>
  </r>
  <r>
    <n v="2306"/>
    <s v="Daniel"/>
    <x v="483"/>
    <d v="2024-12-01T00:00:00"/>
    <n v="18"/>
    <x v="1"/>
    <n v="215.82"/>
    <n v="480"/>
    <x v="4"/>
    <n v="4"/>
    <n v="6"/>
    <b v="1"/>
    <n v="509"/>
    <n v="12"/>
    <s v="Canada"/>
    <s v="Credit Card"/>
    <s v="English"/>
    <n v="43"/>
    <x v="2"/>
    <b v="0"/>
    <s v="Active"/>
    <n v="3308"/>
    <s v="Smartphone"/>
    <s v="25-34"/>
    <s v="Evening"/>
  </r>
  <r>
    <n v="2079"/>
    <s v="Janet"/>
    <x v="484"/>
    <d v="2024-12-02T00:00:00"/>
    <n v="5"/>
    <x v="1"/>
    <n v="59.95"/>
    <n v="188"/>
    <x v="4"/>
    <n v="2"/>
    <n v="2"/>
    <b v="1"/>
    <n v="655"/>
    <n v="16"/>
    <s v="USA"/>
    <s v="PayPal"/>
    <s v="English"/>
    <n v="50"/>
    <x v="0"/>
    <b v="1"/>
    <s v="Active"/>
    <n v="1311"/>
    <s v="Laptop"/>
    <s v="35-44"/>
    <s v="Late Night"/>
  </r>
  <r>
    <n v="3554"/>
    <s v="Phyllis"/>
    <x v="391"/>
    <d v="2024-12-04T00:00:00"/>
    <n v="9"/>
    <x v="0"/>
    <n v="71.91"/>
    <n v="420"/>
    <x v="1"/>
    <n v="4"/>
    <n v="1"/>
    <b v="0"/>
    <n v="399"/>
    <n v="45"/>
    <s v="USA"/>
    <s v="Debit Card"/>
    <s v="French"/>
    <n v="52"/>
    <x v="1"/>
    <b v="0"/>
    <s v="Active"/>
    <n v="4333"/>
    <s v="Desktop"/>
    <s v="25-34"/>
    <s v="Morning"/>
  </r>
  <r>
    <n v="7616"/>
    <s v="Amanda"/>
    <x v="149"/>
    <d v="2024-12-11T00:00:00"/>
    <n v="18"/>
    <x v="2"/>
    <n v="287.82"/>
    <n v="204"/>
    <x v="4"/>
    <n v="3"/>
    <n v="5"/>
    <b v="0"/>
    <n v="597"/>
    <n v="118"/>
    <s v="Germany"/>
    <s v="Debit Card"/>
    <s v="English"/>
    <n v="60"/>
    <x v="2"/>
    <b v="1"/>
    <s v="Active"/>
    <n v="4575"/>
    <s v="Smartphone"/>
    <s v="35-44"/>
    <s v="Evening"/>
  </r>
  <r>
    <n v="5650"/>
    <s v="Timothy"/>
    <x v="485"/>
    <d v="2024-12-08T00:00:00"/>
    <n v="15"/>
    <x v="2"/>
    <n v="239.85"/>
    <n v="355"/>
    <x v="4"/>
    <n v="1"/>
    <n v="1"/>
    <b v="1"/>
    <n v="358"/>
    <n v="173"/>
    <s v="Canada"/>
    <s v="Cryptocurrency"/>
    <s v="Hindi"/>
    <n v="60"/>
    <x v="14"/>
    <b v="0"/>
    <s v="Active"/>
    <n v="2448"/>
    <s v="Desktop"/>
    <s v="18-24"/>
    <s v="Afternoon"/>
  </r>
  <r>
    <n v="9385"/>
    <s v="Lynn"/>
    <x v="486"/>
    <d v="2024-12-03T00:00:00"/>
    <n v="3"/>
    <x v="0"/>
    <n v="23.97"/>
    <n v="200"/>
    <x v="1"/>
    <n v="3"/>
    <n v="2"/>
    <b v="0"/>
    <n v="453"/>
    <n v="172"/>
    <s v="Canada"/>
    <s v="PayPal"/>
    <s v="English"/>
    <n v="1"/>
    <x v="16"/>
    <b v="1"/>
    <s v="Active"/>
    <n v="1072"/>
    <s v="Tablet"/>
    <s v="55+"/>
    <s v="Morning"/>
  </r>
  <r>
    <n v="2482"/>
    <s v="Courtney"/>
    <x v="47"/>
    <d v="2024-11-29T00:00:00"/>
    <n v="20"/>
    <x v="0"/>
    <n v="159.80000000000001"/>
    <n v="178"/>
    <x v="0"/>
    <n v="2"/>
    <n v="2"/>
    <b v="1"/>
    <n v="378"/>
    <n v="117"/>
    <s v="India"/>
    <s v="Credit Card"/>
    <s v="Hindi"/>
    <n v="63"/>
    <x v="14"/>
    <b v="1"/>
    <s v="Active"/>
    <n v="1784"/>
    <s v="Desktop"/>
    <s v="45-54"/>
    <s v="Evening"/>
  </r>
  <r>
    <n v="9017"/>
    <s v="Reginald"/>
    <x v="469"/>
    <d v="2024-12-11T00:00:00"/>
    <n v="4"/>
    <x v="1"/>
    <n v="47.96"/>
    <n v="337"/>
    <x v="3"/>
    <n v="2"/>
    <n v="2"/>
    <b v="1"/>
    <n v="750"/>
    <n v="146"/>
    <s v="India"/>
    <s v="Credit Card"/>
    <s v="English"/>
    <n v="100"/>
    <x v="13"/>
    <b v="1"/>
    <s v="Active"/>
    <n v="3787"/>
    <s v="Desktop"/>
    <s v="35-44"/>
    <s v="Late Night"/>
  </r>
  <r>
    <n v="7001"/>
    <s v="Lori"/>
    <x v="250"/>
    <d v="2024-11-30T00:00:00"/>
    <n v="15"/>
    <x v="1"/>
    <n v="179.85"/>
    <n v="24"/>
    <x v="1"/>
    <n v="4"/>
    <n v="4"/>
    <b v="0"/>
    <n v="30"/>
    <n v="20"/>
    <s v="UK"/>
    <s v="Cryptocurrency"/>
    <s v="Hindi"/>
    <n v="98"/>
    <x v="12"/>
    <b v="0"/>
    <s v="Active"/>
    <n v="4477"/>
    <s v="Laptop"/>
    <s v="18-24"/>
    <s v="Afternoon"/>
  </r>
  <r>
    <n v="2942"/>
    <s v="Jaclyn"/>
    <x v="227"/>
    <d v="2024-11-30T00:00:00"/>
    <n v="21"/>
    <x v="1"/>
    <n v="251.79"/>
    <n v="167"/>
    <x v="2"/>
    <n v="5"/>
    <n v="5"/>
    <b v="0"/>
    <n v="127"/>
    <n v="138"/>
    <s v="UK"/>
    <s v="Credit Card"/>
    <s v="Mandarin"/>
    <n v="66"/>
    <x v="9"/>
    <b v="1"/>
    <s v="Active"/>
    <n v="711"/>
    <s v="Smart TV"/>
    <s v="35-44"/>
    <s v="Evening"/>
  </r>
  <r>
    <n v="8833"/>
    <s v="Cheryl"/>
    <x v="390"/>
    <d v="2024-12-11T00:00:00"/>
    <n v="6"/>
    <x v="0"/>
    <n v="47.94"/>
    <n v="289"/>
    <x v="1"/>
    <n v="5"/>
    <n v="2"/>
    <b v="0"/>
    <n v="216"/>
    <n v="162"/>
    <s v="France"/>
    <s v="PayPal"/>
    <s v="Hindi"/>
    <n v="99"/>
    <x v="4"/>
    <b v="1"/>
    <s v="Active"/>
    <n v="3711"/>
    <s v="Smart TV"/>
    <s v="55+"/>
    <s v="Late Night"/>
  </r>
  <r>
    <n v="8079"/>
    <s v="Jennifer"/>
    <x v="406"/>
    <d v="2024-12-13T00:00:00"/>
    <n v="17"/>
    <x v="0"/>
    <n v="135.83000000000001"/>
    <n v="450"/>
    <x v="0"/>
    <n v="1"/>
    <n v="2"/>
    <b v="1"/>
    <n v="12"/>
    <n v="133"/>
    <s v="Canada"/>
    <s v="Debit Card"/>
    <s v="Hindi"/>
    <n v="100"/>
    <x v="15"/>
    <b v="0"/>
    <s v="Active"/>
    <n v="2534"/>
    <s v="Tablet"/>
    <s v="35-44"/>
    <s v="Afternoon"/>
  </r>
  <r>
    <n v="3797"/>
    <s v="Jennifer"/>
    <x v="358"/>
    <d v="2024-12-17T00:00:00"/>
    <n v="6"/>
    <x v="1"/>
    <n v="71.94"/>
    <n v="165"/>
    <x v="2"/>
    <n v="5"/>
    <n v="5"/>
    <b v="0"/>
    <n v="421"/>
    <n v="3"/>
    <s v="USA"/>
    <s v="Cryptocurrency"/>
    <s v="English"/>
    <n v="96"/>
    <x v="6"/>
    <b v="1"/>
    <s v="Active"/>
    <n v="2624"/>
    <s v="Desktop"/>
    <s v="55+"/>
    <s v="Evening"/>
  </r>
  <r>
    <n v="7268"/>
    <s v="Deborah"/>
    <x v="326"/>
    <d v="2024-12-17T00:00:00"/>
    <n v="19"/>
    <x v="2"/>
    <n v="303.81"/>
    <n v="391"/>
    <x v="0"/>
    <n v="2"/>
    <n v="2"/>
    <b v="0"/>
    <n v="988"/>
    <n v="82"/>
    <s v="USA"/>
    <s v="PayPal"/>
    <s v="German"/>
    <n v="73"/>
    <x v="8"/>
    <b v="1"/>
    <s v="Active"/>
    <n v="3617"/>
    <s v="Smart TV"/>
    <s v="18-24"/>
    <s v="Morning"/>
  </r>
  <r>
    <n v="9803"/>
    <s v="Tina"/>
    <x v="469"/>
    <d v="2024-11-23T00:00:00"/>
    <n v="4"/>
    <x v="1"/>
    <n v="47.96"/>
    <n v="318"/>
    <x v="1"/>
    <n v="2"/>
    <n v="1"/>
    <b v="0"/>
    <n v="376"/>
    <n v="44"/>
    <s v="USA"/>
    <s v="Cryptocurrency"/>
    <s v="Mandarin"/>
    <n v="42"/>
    <x v="12"/>
    <b v="0"/>
    <s v="Active"/>
    <n v="3078"/>
    <s v="Tablet"/>
    <s v="25-34"/>
    <s v="Morning"/>
  </r>
  <r>
    <n v="2165"/>
    <s v="Allison"/>
    <x v="340"/>
    <d v="2024-11-29T00:00:00"/>
    <n v="5"/>
    <x v="2"/>
    <n v="79.95"/>
    <n v="157"/>
    <x v="3"/>
    <n v="2"/>
    <n v="2"/>
    <b v="0"/>
    <n v="542"/>
    <n v="80"/>
    <s v="Australia"/>
    <s v="PayPal"/>
    <s v="English"/>
    <n v="53"/>
    <x v="18"/>
    <b v="0"/>
    <s v="Active"/>
    <n v="164"/>
    <s v="Smart TV"/>
    <s v="35-44"/>
    <s v="Evening"/>
  </r>
  <r>
    <n v="1528"/>
    <s v="Sara"/>
    <x v="487"/>
    <d v="2024-11-19T00:00:00"/>
    <n v="22"/>
    <x v="1"/>
    <n v="263.78000000000003"/>
    <n v="25"/>
    <x v="1"/>
    <n v="3"/>
    <n v="5"/>
    <b v="1"/>
    <n v="232"/>
    <n v="196"/>
    <s v="UK"/>
    <s v="Debit Card"/>
    <s v="Spanish"/>
    <n v="48"/>
    <x v="7"/>
    <b v="0"/>
    <s v="Active"/>
    <n v="2805"/>
    <s v="Smart TV"/>
    <s v="18-24"/>
    <s v="Morning"/>
  </r>
  <r>
    <n v="5978"/>
    <s v="Joel"/>
    <x v="278"/>
    <d v="2024-12-09T00:00:00"/>
    <n v="19"/>
    <x v="1"/>
    <n v="227.81"/>
    <n v="112"/>
    <x v="1"/>
    <n v="3"/>
    <n v="4"/>
    <b v="1"/>
    <n v="505"/>
    <n v="118"/>
    <s v="UK"/>
    <s v="PayPal"/>
    <s v="English"/>
    <n v="81"/>
    <x v="12"/>
    <b v="0"/>
    <s v="Active"/>
    <n v="3848"/>
    <s v="Desktop"/>
    <s v="25-34"/>
    <s v="Afternoon"/>
  </r>
  <r>
    <n v="5967"/>
    <s v="Diana"/>
    <x v="130"/>
    <d v="2024-12-14T00:00:00"/>
    <n v="19"/>
    <x v="1"/>
    <n v="227.81"/>
    <n v="479"/>
    <x v="0"/>
    <n v="2"/>
    <n v="5"/>
    <b v="0"/>
    <n v="394"/>
    <n v="35"/>
    <s v="Australia"/>
    <s v="Cryptocurrency"/>
    <s v="Mandarin"/>
    <n v="93"/>
    <x v="4"/>
    <b v="0"/>
    <s v="Active"/>
    <n v="836"/>
    <s v="Desktop"/>
    <s v="25-34"/>
    <s v="Late Night"/>
  </r>
  <r>
    <n v="4254"/>
    <s v="James"/>
    <x v="68"/>
    <d v="2024-12-18T00:00:00"/>
    <n v="16"/>
    <x v="1"/>
    <n v="191.84"/>
    <n v="233"/>
    <x v="6"/>
    <n v="1"/>
    <n v="2"/>
    <b v="1"/>
    <n v="769"/>
    <n v="132"/>
    <s v="India"/>
    <s v="PayPal"/>
    <s v="Hindi"/>
    <n v="82"/>
    <x v="5"/>
    <b v="1"/>
    <s v="Active"/>
    <n v="2761"/>
    <s v="Laptop"/>
    <s v="18-24"/>
    <s v="Morning"/>
  </r>
  <r>
    <n v="2186"/>
    <s v="Jeffrey"/>
    <x v="488"/>
    <d v="2024-12-18T00:00:00"/>
    <n v="0"/>
    <x v="0"/>
    <n v="0"/>
    <n v="44"/>
    <x v="1"/>
    <n v="4"/>
    <n v="4"/>
    <b v="0"/>
    <n v="89"/>
    <n v="90"/>
    <s v="India"/>
    <s v="Debit Card"/>
    <s v="French"/>
    <n v="48"/>
    <x v="19"/>
    <b v="1"/>
    <s v="Active"/>
    <n v="4633"/>
    <s v="Tablet"/>
    <s v="35-44"/>
    <s v="Late Night"/>
  </r>
  <r>
    <n v="7644"/>
    <s v="Christian"/>
    <x v="197"/>
    <d v="2024-12-15T00:00:00"/>
    <n v="0"/>
    <x v="2"/>
    <n v="0"/>
    <n v="456"/>
    <x v="0"/>
    <n v="2"/>
    <n v="3"/>
    <b v="1"/>
    <n v="240"/>
    <n v="83"/>
    <s v="Canada"/>
    <s v="Credit Card"/>
    <s v="Hindi"/>
    <n v="76"/>
    <x v="1"/>
    <b v="0"/>
    <s v="Active"/>
    <n v="4260"/>
    <s v="Smart TV"/>
    <s v="18-24"/>
    <s v="Late Night"/>
  </r>
  <r>
    <n v="5897"/>
    <s v="Hunter"/>
    <x v="489"/>
    <d v="2024-12-06T00:00:00"/>
    <n v="14"/>
    <x v="0"/>
    <n v="111.86"/>
    <n v="486"/>
    <x v="1"/>
    <n v="3"/>
    <n v="2"/>
    <b v="0"/>
    <n v="181"/>
    <n v="15"/>
    <s v="Germany"/>
    <s v="Credit Card"/>
    <s v="German"/>
    <n v="0"/>
    <x v="18"/>
    <b v="0"/>
    <s v="Active"/>
    <n v="447"/>
    <s v="Tablet"/>
    <s v="18-24"/>
    <s v="Morning"/>
  </r>
  <r>
    <n v="7465"/>
    <s v="Shane"/>
    <x v="490"/>
    <d v="2024-12-01T00:00:00"/>
    <n v="0"/>
    <x v="1"/>
    <n v="0"/>
    <n v="308"/>
    <x v="0"/>
    <n v="4"/>
    <n v="3"/>
    <b v="1"/>
    <n v="284"/>
    <n v="81"/>
    <s v="Australia"/>
    <s v="Credit Card"/>
    <s v="Spanish"/>
    <n v="92"/>
    <x v="4"/>
    <b v="1"/>
    <s v="Active"/>
    <n v="1298"/>
    <s v="Tablet"/>
    <s v="18-24"/>
    <s v="Afternoon"/>
  </r>
  <r>
    <n v="3724"/>
    <s v="Brittany"/>
    <x v="491"/>
    <d v="2024-12-02T00:00:00"/>
    <n v="5"/>
    <x v="0"/>
    <n v="39.950000000000003"/>
    <n v="161"/>
    <x v="6"/>
    <n v="3"/>
    <n v="5"/>
    <b v="0"/>
    <n v="698"/>
    <n v="77"/>
    <s v="Canada"/>
    <s v="PayPal"/>
    <s v="Spanish"/>
    <n v="32"/>
    <x v="4"/>
    <b v="0"/>
    <s v="Active"/>
    <n v="3445"/>
    <s v="Laptop"/>
    <s v="45-54"/>
    <s v="Afternoon"/>
  </r>
  <r>
    <n v="2914"/>
    <s v="Erica"/>
    <x v="406"/>
    <d v="2024-12-14T00:00:00"/>
    <n v="17"/>
    <x v="2"/>
    <n v="271.83"/>
    <n v="316"/>
    <x v="5"/>
    <n v="3"/>
    <n v="1"/>
    <b v="0"/>
    <n v="734"/>
    <n v="21"/>
    <s v="Canada"/>
    <s v="Credit Card"/>
    <s v="Hindi"/>
    <n v="65"/>
    <x v="3"/>
    <b v="0"/>
    <s v="Active"/>
    <n v="3039"/>
    <s v="Smart TV"/>
    <s v="55+"/>
    <s v="Late Night"/>
  </r>
  <r>
    <n v="4110"/>
    <s v="Justin"/>
    <x v="492"/>
    <d v="2024-11-26T00:00:00"/>
    <n v="9"/>
    <x v="1"/>
    <n v="107.91"/>
    <n v="133"/>
    <x v="1"/>
    <n v="5"/>
    <n v="4"/>
    <b v="0"/>
    <n v="951"/>
    <n v="86"/>
    <s v="UK"/>
    <s v="PayPal"/>
    <s v="German"/>
    <n v="88"/>
    <x v="16"/>
    <b v="0"/>
    <s v="Active"/>
    <n v="3815"/>
    <s v="Smart TV"/>
    <s v="45-54"/>
    <s v="Evening"/>
  </r>
  <r>
    <n v="6944"/>
    <s v="Sarah"/>
    <x v="493"/>
    <d v="2024-11-30T00:00:00"/>
    <n v="6"/>
    <x v="2"/>
    <n v="95.94"/>
    <n v="270"/>
    <x v="5"/>
    <n v="3"/>
    <n v="6"/>
    <b v="0"/>
    <n v="271"/>
    <n v="5"/>
    <s v="UK"/>
    <s v="Credit Card"/>
    <s v="Spanish"/>
    <n v="41"/>
    <x v="17"/>
    <b v="0"/>
    <s v="Active"/>
    <n v="1135"/>
    <s v="Laptop"/>
    <s v="18-24"/>
    <s v="Late Night"/>
  </r>
  <r>
    <n v="3639"/>
    <s v="Lindsay"/>
    <x v="247"/>
    <d v="2024-11-22T00:00:00"/>
    <n v="16"/>
    <x v="1"/>
    <n v="191.84"/>
    <n v="85"/>
    <x v="4"/>
    <n v="3"/>
    <n v="1"/>
    <b v="1"/>
    <n v="851"/>
    <n v="48"/>
    <s v="USA"/>
    <s v="Cryptocurrency"/>
    <s v="French"/>
    <n v="45"/>
    <x v="3"/>
    <b v="0"/>
    <s v="Active"/>
    <n v="2706"/>
    <s v="Tablet"/>
    <s v="35-44"/>
    <s v="Evening"/>
  </r>
  <r>
    <n v="8416"/>
    <s v="Rachel"/>
    <x v="494"/>
    <d v="2024-11-29T00:00:00"/>
    <n v="19"/>
    <x v="1"/>
    <n v="227.81"/>
    <n v="65"/>
    <x v="1"/>
    <n v="2"/>
    <n v="3"/>
    <b v="1"/>
    <n v="302"/>
    <n v="6"/>
    <s v="UK"/>
    <s v="PayPal"/>
    <s v="Hindi"/>
    <n v="81"/>
    <x v="17"/>
    <b v="1"/>
    <s v="Active"/>
    <n v="3828"/>
    <s v="Tablet"/>
    <s v="18-24"/>
    <s v="Evening"/>
  </r>
  <r>
    <n v="7753"/>
    <s v="David"/>
    <x v="438"/>
    <d v="2024-12-13T00:00:00"/>
    <n v="0"/>
    <x v="0"/>
    <n v="0"/>
    <n v="393"/>
    <x v="1"/>
    <n v="3"/>
    <n v="3"/>
    <b v="0"/>
    <n v="829"/>
    <n v="117"/>
    <s v="USA"/>
    <s v="Credit Card"/>
    <s v="Hindi"/>
    <n v="65"/>
    <x v="11"/>
    <b v="1"/>
    <s v="Active"/>
    <n v="4409"/>
    <s v="Smart TV"/>
    <s v="35-44"/>
    <s v="Afternoon"/>
  </r>
  <r>
    <n v="9528"/>
    <s v="Breanna"/>
    <x v="474"/>
    <d v="2024-12-12T00:00:00"/>
    <n v="21"/>
    <x v="1"/>
    <n v="251.79"/>
    <n v="181"/>
    <x v="0"/>
    <n v="5"/>
    <n v="5"/>
    <b v="0"/>
    <n v="860"/>
    <n v="148"/>
    <s v="USA"/>
    <s v="Debit Card"/>
    <s v="Mandarin"/>
    <n v="3"/>
    <x v="5"/>
    <b v="1"/>
    <s v="Active"/>
    <n v="433"/>
    <s v="Tablet"/>
    <s v="18-24"/>
    <s v="Afternoon"/>
  </r>
  <r>
    <n v="2960"/>
    <s v="James"/>
    <x v="495"/>
    <d v="2024-12-09T00:00:00"/>
    <n v="12"/>
    <x v="1"/>
    <n v="143.88"/>
    <n v="416"/>
    <x v="2"/>
    <n v="5"/>
    <n v="4"/>
    <b v="1"/>
    <n v="964"/>
    <n v="187"/>
    <s v="USA"/>
    <s v="Cryptocurrency"/>
    <s v="French"/>
    <n v="6"/>
    <x v="7"/>
    <b v="0"/>
    <s v="Active"/>
    <n v="2554"/>
    <s v="Smart TV"/>
    <s v="35-44"/>
    <s v="Late Night"/>
  </r>
  <r>
    <n v="1090"/>
    <s v="Hector"/>
    <x v="257"/>
    <d v="2024-11-29T00:00:00"/>
    <n v="6"/>
    <x v="2"/>
    <n v="95.94"/>
    <n v="243"/>
    <x v="2"/>
    <n v="3"/>
    <n v="2"/>
    <b v="0"/>
    <n v="40"/>
    <n v="52"/>
    <s v="Canada"/>
    <s v="Cryptocurrency"/>
    <s v="English"/>
    <n v="4"/>
    <x v="1"/>
    <b v="1"/>
    <s v="Active"/>
    <n v="1348"/>
    <s v="Desktop"/>
    <s v="25-34"/>
    <s v="Morning"/>
  </r>
  <r>
    <n v="2410"/>
    <s v="Jennifer"/>
    <x v="375"/>
    <d v="2024-12-08T00:00:00"/>
    <n v="0"/>
    <x v="1"/>
    <n v="0"/>
    <n v="381"/>
    <x v="6"/>
    <n v="2"/>
    <n v="3"/>
    <b v="1"/>
    <n v="568"/>
    <n v="62"/>
    <s v="Germany"/>
    <s v="Debit Card"/>
    <s v="Mandarin"/>
    <n v="50"/>
    <x v="14"/>
    <b v="0"/>
    <s v="Active"/>
    <n v="1375"/>
    <s v="Laptop"/>
    <s v="25-34"/>
    <s v="Late Night"/>
  </r>
  <r>
    <n v="1575"/>
    <s v="James"/>
    <x v="480"/>
    <d v="2024-12-11T00:00:00"/>
    <n v="14"/>
    <x v="1"/>
    <n v="167.86"/>
    <n v="71"/>
    <x v="5"/>
    <n v="5"/>
    <n v="4"/>
    <b v="1"/>
    <n v="666"/>
    <n v="100"/>
    <s v="Australia"/>
    <s v="Credit Card"/>
    <s v="Mandarin"/>
    <n v="97"/>
    <x v="2"/>
    <b v="0"/>
    <s v="Active"/>
    <n v="3630"/>
    <s v="Desktop"/>
    <s v="45-54"/>
    <s v="Late Night"/>
  </r>
  <r>
    <n v="9259"/>
    <s v="Dale"/>
    <x v="496"/>
    <d v="2024-12-07T00:00:00"/>
    <n v="3"/>
    <x v="1"/>
    <n v="35.97"/>
    <n v="219"/>
    <x v="4"/>
    <n v="4"/>
    <n v="1"/>
    <b v="1"/>
    <n v="318"/>
    <n v="37"/>
    <s v="France"/>
    <s v="Cryptocurrency"/>
    <s v="Spanish"/>
    <n v="69"/>
    <x v="12"/>
    <b v="1"/>
    <s v="Active"/>
    <n v="1457"/>
    <s v="Laptop"/>
    <s v="45-54"/>
    <s v="Late Night"/>
  </r>
  <r>
    <n v="2170"/>
    <s v="Lisa"/>
    <x v="301"/>
    <d v="2024-12-15T00:00:00"/>
    <n v="13"/>
    <x v="2"/>
    <n v="207.87"/>
    <n v="335"/>
    <x v="0"/>
    <n v="2"/>
    <n v="4"/>
    <b v="0"/>
    <n v="609"/>
    <n v="181"/>
    <s v="Canada"/>
    <s v="PayPal"/>
    <s v="Hindi"/>
    <n v="81"/>
    <x v="9"/>
    <b v="1"/>
    <s v="Active"/>
    <n v="3332"/>
    <s v="Laptop"/>
    <s v="18-24"/>
    <s v="Late Night"/>
  </r>
  <r>
    <n v="2237"/>
    <s v="Anthony"/>
    <x v="174"/>
    <d v="2024-12-18T00:00:00"/>
    <n v="18"/>
    <x v="0"/>
    <n v="143.82"/>
    <n v="435"/>
    <x v="5"/>
    <n v="2"/>
    <n v="1"/>
    <b v="0"/>
    <n v="163"/>
    <n v="69"/>
    <s v="India"/>
    <s v="PayPal"/>
    <s v="German"/>
    <n v="24"/>
    <x v="14"/>
    <b v="1"/>
    <s v="Active"/>
    <n v="3815"/>
    <s v="Laptop"/>
    <s v="35-44"/>
    <s v="Afternoon"/>
  </r>
  <r>
    <n v="2697"/>
    <s v="Christine"/>
    <x v="238"/>
    <d v="2024-12-09T00:00:00"/>
    <n v="6"/>
    <x v="2"/>
    <n v="95.94"/>
    <n v="423"/>
    <x v="1"/>
    <n v="4"/>
    <n v="3"/>
    <b v="0"/>
    <n v="648"/>
    <n v="46"/>
    <s v="USA"/>
    <s v="Debit Card"/>
    <s v="Spanish"/>
    <n v="0"/>
    <x v="6"/>
    <b v="0"/>
    <s v="Active"/>
    <n v="3859"/>
    <s v="Smartphone"/>
    <s v="55+"/>
    <s v="Late Night"/>
  </r>
  <r>
    <n v="4488"/>
    <s v="Stephen"/>
    <x v="464"/>
    <d v="2024-12-05T00:00:00"/>
    <n v="18"/>
    <x v="0"/>
    <n v="143.82"/>
    <n v="304"/>
    <x v="6"/>
    <n v="1"/>
    <n v="3"/>
    <b v="0"/>
    <n v="975"/>
    <n v="10"/>
    <s v="Canada"/>
    <s v="PayPal"/>
    <s v="English"/>
    <n v="48"/>
    <x v="7"/>
    <b v="0"/>
    <s v="Active"/>
    <n v="3923"/>
    <s v="Smart TV"/>
    <s v="25-34"/>
    <s v="Late Night"/>
  </r>
  <r>
    <n v="5291"/>
    <s v="Marvin"/>
    <x v="350"/>
    <d v="2024-12-17T00:00:00"/>
    <n v="9"/>
    <x v="1"/>
    <n v="107.91"/>
    <n v="455"/>
    <x v="1"/>
    <n v="3"/>
    <n v="6"/>
    <b v="1"/>
    <n v="15"/>
    <n v="36"/>
    <s v="Germany"/>
    <s v="Debit Card"/>
    <s v="English"/>
    <n v="37"/>
    <x v="18"/>
    <b v="0"/>
    <s v="Active"/>
    <n v="4486"/>
    <s v="Tablet"/>
    <s v="18-24"/>
    <s v="Afternoon"/>
  </r>
  <r>
    <n v="6287"/>
    <s v="Jasmine"/>
    <x v="497"/>
    <d v="2024-11-30T00:00:00"/>
    <n v="19"/>
    <x v="1"/>
    <n v="227.81"/>
    <n v="449"/>
    <x v="3"/>
    <n v="1"/>
    <n v="2"/>
    <b v="1"/>
    <n v="268"/>
    <n v="11"/>
    <s v="Canada"/>
    <s v="Debit Card"/>
    <s v="English"/>
    <n v="62"/>
    <x v="19"/>
    <b v="0"/>
    <s v="Active"/>
    <n v="993"/>
    <s v="Desktop"/>
    <s v="25-34"/>
    <s v="Evening"/>
  </r>
  <r>
    <n v="1953"/>
    <s v="Shannon"/>
    <x v="328"/>
    <d v="2024-11-23T00:00:00"/>
    <n v="12"/>
    <x v="2"/>
    <n v="191.88"/>
    <n v="39"/>
    <x v="1"/>
    <n v="3"/>
    <n v="1"/>
    <b v="1"/>
    <n v="791"/>
    <n v="3"/>
    <s v="Germany"/>
    <s v="Credit Card"/>
    <s v="Spanish"/>
    <n v="33"/>
    <x v="2"/>
    <b v="1"/>
    <s v="Active"/>
    <n v="631"/>
    <s v="Smart TV"/>
    <s v="25-34"/>
    <s v="Morning"/>
  </r>
  <r>
    <n v="3457"/>
    <s v="Kenneth"/>
    <x v="463"/>
    <d v="2024-11-19T00:00:00"/>
    <n v="0"/>
    <x v="2"/>
    <n v="0"/>
    <n v="139"/>
    <x v="5"/>
    <n v="2"/>
    <n v="1"/>
    <b v="0"/>
    <n v="257"/>
    <n v="173"/>
    <s v="Australia"/>
    <s v="Debit Card"/>
    <s v="English"/>
    <n v="16"/>
    <x v="4"/>
    <b v="1"/>
    <s v="Active"/>
    <n v="214"/>
    <s v="Smart TV"/>
    <s v="25-34"/>
    <s v="Late Night"/>
  </r>
  <r>
    <n v="6504"/>
    <s v="Michelle"/>
    <x v="22"/>
    <d v="2024-12-18T00:00:00"/>
    <n v="12"/>
    <x v="0"/>
    <n v="95.88"/>
    <n v="345"/>
    <x v="2"/>
    <n v="1"/>
    <n v="4"/>
    <b v="0"/>
    <n v="767"/>
    <n v="66"/>
    <s v="Canada"/>
    <s v="Debit Card"/>
    <s v="Mandarin"/>
    <n v="70"/>
    <x v="20"/>
    <b v="0"/>
    <s v="Active"/>
    <n v="2327"/>
    <s v="Desktop"/>
    <s v="18-24"/>
    <s v="Late Night"/>
  </r>
  <r>
    <n v="7463"/>
    <s v="Ethan"/>
    <x v="35"/>
    <d v="2024-12-06T00:00:00"/>
    <n v="14"/>
    <x v="1"/>
    <n v="167.86"/>
    <n v="500"/>
    <x v="3"/>
    <n v="3"/>
    <n v="5"/>
    <b v="1"/>
    <n v="362"/>
    <n v="38"/>
    <s v="France"/>
    <s v="Debit Card"/>
    <s v="Hindi"/>
    <n v="100"/>
    <x v="1"/>
    <b v="0"/>
    <s v="Active"/>
    <n v="3679"/>
    <s v="Smart TV"/>
    <s v="55+"/>
    <s v="Evening"/>
  </r>
  <r>
    <n v="3898"/>
    <s v="Charles"/>
    <x v="498"/>
    <d v="2024-11-28T00:00:00"/>
    <n v="8"/>
    <x v="1"/>
    <n v="95.92"/>
    <n v="365"/>
    <x v="5"/>
    <n v="5"/>
    <n v="5"/>
    <b v="1"/>
    <n v="779"/>
    <n v="113"/>
    <s v="UK"/>
    <s v="PayPal"/>
    <s v="German"/>
    <n v="65"/>
    <x v="18"/>
    <b v="0"/>
    <s v="Active"/>
    <n v="2238"/>
    <s v="Smartphone"/>
    <s v="55+"/>
    <s v="Afternoon"/>
  </r>
  <r>
    <n v="8481"/>
    <s v="Stephanie"/>
    <x v="499"/>
    <d v="2024-12-08T00:00:00"/>
    <n v="1"/>
    <x v="0"/>
    <n v="7.99"/>
    <n v="479"/>
    <x v="6"/>
    <n v="4"/>
    <n v="5"/>
    <b v="0"/>
    <n v="159"/>
    <n v="136"/>
    <s v="Canada"/>
    <s v="Cryptocurrency"/>
    <s v="German"/>
    <n v="7"/>
    <x v="18"/>
    <b v="1"/>
    <s v="Active"/>
    <n v="3655"/>
    <s v="Smart TV"/>
    <s v="18-24"/>
    <s v="Evening"/>
  </r>
  <r>
    <n v="7810"/>
    <s v="Robert"/>
    <x v="163"/>
    <d v="2024-12-07T00:00:00"/>
    <n v="14"/>
    <x v="0"/>
    <n v="111.86"/>
    <n v="63"/>
    <x v="4"/>
    <n v="4"/>
    <n v="2"/>
    <b v="1"/>
    <n v="104"/>
    <n v="72"/>
    <s v="France"/>
    <s v="Cryptocurrency"/>
    <s v="Mandarin"/>
    <n v="17"/>
    <x v="11"/>
    <b v="1"/>
    <s v="Active"/>
    <n v="1587"/>
    <s v="Laptop"/>
    <s v="18-24"/>
    <s v="Afternoon"/>
  </r>
  <r>
    <n v="6534"/>
    <s v="Larry"/>
    <x v="412"/>
    <d v="2024-12-11T00:00:00"/>
    <n v="20"/>
    <x v="1"/>
    <n v="239.8"/>
    <n v="104"/>
    <x v="3"/>
    <n v="2"/>
    <n v="6"/>
    <b v="0"/>
    <n v="570"/>
    <n v="29"/>
    <s v="UK"/>
    <s v="PayPal"/>
    <s v="German"/>
    <n v="56"/>
    <x v="12"/>
    <b v="1"/>
    <s v="Active"/>
    <n v="4501"/>
    <s v="Desktop"/>
    <s v="35-44"/>
    <s v="Late Night"/>
  </r>
  <r>
    <n v="6025"/>
    <s v="Andrew"/>
    <x v="381"/>
    <d v="2024-11-25T00:00:00"/>
    <n v="11"/>
    <x v="2"/>
    <n v="175.89000000000001"/>
    <n v="380"/>
    <x v="4"/>
    <n v="5"/>
    <n v="5"/>
    <b v="1"/>
    <n v="112"/>
    <n v="149"/>
    <s v="Australia"/>
    <s v="Cryptocurrency"/>
    <s v="Mandarin"/>
    <n v="74"/>
    <x v="15"/>
    <b v="1"/>
    <s v="Active"/>
    <n v="1910"/>
    <s v="Tablet"/>
    <s v="45-54"/>
    <s v="Morning"/>
  </r>
  <r>
    <n v="5825"/>
    <s v="Michele"/>
    <x v="419"/>
    <d v="2024-12-13T00:00:00"/>
    <n v="10"/>
    <x v="0"/>
    <n v="79.900000000000006"/>
    <n v="500"/>
    <x v="1"/>
    <n v="5"/>
    <n v="4"/>
    <b v="1"/>
    <n v="568"/>
    <n v="151"/>
    <s v="Germany"/>
    <s v="Cryptocurrency"/>
    <s v="French"/>
    <n v="11"/>
    <x v="10"/>
    <b v="0"/>
    <s v="Active"/>
    <n v="2731"/>
    <s v="Smartphone"/>
    <s v="45-54"/>
    <s v="Late Night"/>
  </r>
  <r>
    <n v="1185"/>
    <s v="Victor"/>
    <x v="500"/>
    <d v="2024-12-15T00:00:00"/>
    <n v="22"/>
    <x v="2"/>
    <n v="351.78000000000003"/>
    <n v="247"/>
    <x v="6"/>
    <n v="2"/>
    <n v="2"/>
    <b v="0"/>
    <n v="943"/>
    <n v="42"/>
    <s v="UK"/>
    <s v="PayPal"/>
    <s v="Spanish"/>
    <n v="85"/>
    <x v="17"/>
    <b v="1"/>
    <s v="Active"/>
    <n v="4517"/>
    <s v="Smartphone"/>
    <s v="35-44"/>
    <s v="Evening"/>
  </r>
  <r>
    <n v="4392"/>
    <s v="Craig"/>
    <x v="65"/>
    <d v="2024-12-05T00:00:00"/>
    <n v="21"/>
    <x v="1"/>
    <n v="251.79"/>
    <n v="486"/>
    <x v="2"/>
    <n v="2"/>
    <n v="6"/>
    <b v="0"/>
    <n v="887"/>
    <n v="128"/>
    <s v="USA"/>
    <s v="Credit Card"/>
    <s v="German"/>
    <n v="59"/>
    <x v="16"/>
    <b v="0"/>
    <s v="Active"/>
    <n v="1238"/>
    <s v="Laptop"/>
    <s v="35-44"/>
    <s v="Morning"/>
  </r>
  <r>
    <n v="5785"/>
    <s v="William"/>
    <x v="501"/>
    <d v="2024-11-19T00:00:00"/>
    <n v="8"/>
    <x v="0"/>
    <n v="63.92"/>
    <n v="220"/>
    <x v="0"/>
    <n v="2"/>
    <n v="1"/>
    <b v="0"/>
    <n v="998"/>
    <n v="187"/>
    <s v="India"/>
    <s v="Debit Card"/>
    <s v="English"/>
    <n v="17"/>
    <x v="16"/>
    <b v="0"/>
    <s v="Active"/>
    <n v="1786"/>
    <s v="Smart TV"/>
    <s v="55+"/>
    <s v="Morning"/>
  </r>
  <r>
    <n v="4718"/>
    <s v="Stephanie"/>
    <x v="470"/>
    <d v="2024-11-25T00:00:00"/>
    <n v="14"/>
    <x v="2"/>
    <n v="223.86"/>
    <n v="21"/>
    <x v="1"/>
    <n v="5"/>
    <n v="1"/>
    <b v="1"/>
    <n v="484"/>
    <n v="112"/>
    <s v="India"/>
    <s v="Credit Card"/>
    <s v="Hindi"/>
    <n v="88"/>
    <x v="17"/>
    <b v="1"/>
    <s v="Active"/>
    <n v="1683"/>
    <s v="Tablet"/>
    <s v="55+"/>
    <s v="Morning"/>
  </r>
  <r>
    <n v="3992"/>
    <s v="John"/>
    <x v="6"/>
    <d v="2024-11-25T00:00:00"/>
    <n v="3"/>
    <x v="1"/>
    <n v="35.97"/>
    <n v="417"/>
    <x v="0"/>
    <n v="2"/>
    <n v="5"/>
    <b v="1"/>
    <n v="458"/>
    <n v="145"/>
    <s v="Germany"/>
    <s v="Debit Card"/>
    <s v="Spanish"/>
    <n v="91"/>
    <x v="0"/>
    <b v="1"/>
    <s v="Active"/>
    <n v="996"/>
    <s v="Laptop"/>
    <s v="25-34"/>
    <s v="Evening"/>
  </r>
  <r>
    <n v="6100"/>
    <s v="Desiree"/>
    <x v="85"/>
    <d v="2024-11-20T00:00:00"/>
    <n v="4"/>
    <x v="1"/>
    <n v="47.96"/>
    <n v="191"/>
    <x v="5"/>
    <n v="1"/>
    <n v="4"/>
    <b v="0"/>
    <n v="925"/>
    <n v="124"/>
    <s v="Germany"/>
    <s v="Cryptocurrency"/>
    <s v="Hindi"/>
    <n v="37"/>
    <x v="13"/>
    <b v="0"/>
    <s v="Active"/>
    <n v="608"/>
    <s v="Smartphone"/>
    <s v="18-24"/>
    <s v="Evening"/>
  </r>
  <r>
    <n v="8495"/>
    <s v="Edward"/>
    <x v="205"/>
    <d v="2024-11-26T00:00:00"/>
    <n v="10"/>
    <x v="0"/>
    <n v="79.900000000000006"/>
    <n v="460"/>
    <x v="5"/>
    <n v="5"/>
    <n v="2"/>
    <b v="0"/>
    <n v="559"/>
    <n v="136"/>
    <s v="France"/>
    <s v="Credit Card"/>
    <s v="German"/>
    <n v="58"/>
    <x v="10"/>
    <b v="0"/>
    <s v="Active"/>
    <n v="4650"/>
    <s v="Desktop"/>
    <s v="55+"/>
    <s v="Morning"/>
  </r>
  <r>
    <n v="3083"/>
    <s v="Jason"/>
    <x v="133"/>
    <d v="2024-12-13T00:00:00"/>
    <n v="15"/>
    <x v="0"/>
    <n v="119.85000000000001"/>
    <n v="413"/>
    <x v="3"/>
    <n v="5"/>
    <n v="5"/>
    <b v="1"/>
    <n v="895"/>
    <n v="3"/>
    <s v="USA"/>
    <s v="Credit Card"/>
    <s v="German"/>
    <n v="87"/>
    <x v="7"/>
    <b v="1"/>
    <s v="Active"/>
    <n v="1340"/>
    <s v="Laptop"/>
    <s v="35-44"/>
    <s v="Late Night"/>
  </r>
  <r>
    <n v="9936"/>
    <s v="Elizabeth"/>
    <x v="483"/>
    <d v="2024-12-17T00:00:00"/>
    <n v="19"/>
    <x v="0"/>
    <n v="151.81"/>
    <n v="484"/>
    <x v="0"/>
    <n v="1"/>
    <n v="6"/>
    <b v="1"/>
    <n v="570"/>
    <n v="18"/>
    <s v="Germany"/>
    <s v="Credit Card"/>
    <s v="Hindi"/>
    <n v="5"/>
    <x v="3"/>
    <b v="1"/>
    <s v="Active"/>
    <n v="1821"/>
    <s v="Smartphone"/>
    <s v="25-34"/>
    <s v="Morning"/>
  </r>
  <r>
    <n v="2418"/>
    <s v="Nicole"/>
    <x v="502"/>
    <d v="2024-11-19T00:00:00"/>
    <n v="2"/>
    <x v="2"/>
    <n v="31.98"/>
    <n v="227"/>
    <x v="6"/>
    <n v="1"/>
    <n v="4"/>
    <b v="1"/>
    <n v="187"/>
    <n v="48"/>
    <s v="USA"/>
    <s v="Credit Card"/>
    <s v="French"/>
    <n v="6"/>
    <x v="15"/>
    <b v="1"/>
    <s v="Active"/>
    <n v="3020"/>
    <s v="Laptop"/>
    <s v="45-54"/>
    <s v="Evening"/>
  </r>
  <r>
    <n v="4089"/>
    <s v="Amy"/>
    <x v="197"/>
    <d v="2024-12-17T00:00:00"/>
    <n v="0"/>
    <x v="1"/>
    <n v="0"/>
    <n v="313"/>
    <x v="2"/>
    <n v="5"/>
    <n v="6"/>
    <b v="1"/>
    <n v="900"/>
    <n v="135"/>
    <s v="Canada"/>
    <s v="Debit Card"/>
    <s v="French"/>
    <n v="87"/>
    <x v="14"/>
    <b v="0"/>
    <s v="Active"/>
    <n v="1243"/>
    <s v="Smartphone"/>
    <s v="55+"/>
    <s v="Afternoon"/>
  </r>
  <r>
    <n v="8876"/>
    <s v="Leslie"/>
    <x v="244"/>
    <d v="2024-11-23T00:00:00"/>
    <n v="19"/>
    <x v="1"/>
    <n v="227.81"/>
    <n v="491"/>
    <x v="4"/>
    <n v="2"/>
    <n v="3"/>
    <b v="1"/>
    <n v="194"/>
    <n v="187"/>
    <s v="India"/>
    <s v="PayPal"/>
    <s v="French"/>
    <n v="44"/>
    <x v="16"/>
    <b v="1"/>
    <s v="Active"/>
    <n v="540"/>
    <s v="Smartphone"/>
    <s v="25-34"/>
    <s v="Afternoon"/>
  </r>
  <r>
    <n v="3959"/>
    <s v="Alicia"/>
    <x v="211"/>
    <d v="2024-12-16T00:00:00"/>
    <n v="11"/>
    <x v="2"/>
    <n v="175.89000000000001"/>
    <n v="50"/>
    <x v="2"/>
    <n v="4"/>
    <n v="2"/>
    <b v="1"/>
    <n v="155"/>
    <n v="115"/>
    <s v="USA"/>
    <s v="Debit Card"/>
    <s v="German"/>
    <n v="92"/>
    <x v="5"/>
    <b v="0"/>
    <s v="Active"/>
    <n v="2583"/>
    <s v="Desktop"/>
    <s v="45-54"/>
    <s v="Afternoon"/>
  </r>
  <r>
    <n v="2011"/>
    <s v="Donald"/>
    <x v="173"/>
    <d v="2024-12-04T00:00:00"/>
    <n v="18"/>
    <x v="0"/>
    <n v="143.82"/>
    <n v="73"/>
    <x v="6"/>
    <n v="2"/>
    <n v="1"/>
    <b v="1"/>
    <n v="184"/>
    <n v="172"/>
    <s v="India"/>
    <s v="Cryptocurrency"/>
    <s v="English"/>
    <n v="41"/>
    <x v="14"/>
    <b v="0"/>
    <s v="Active"/>
    <n v="3463"/>
    <s v="Smartphone"/>
    <s v="35-44"/>
    <s v="Morning"/>
  </r>
  <r>
    <n v="7896"/>
    <s v="Michael"/>
    <x v="503"/>
    <d v="2024-11-29T00:00:00"/>
    <n v="5"/>
    <x v="1"/>
    <n v="59.95"/>
    <n v="139"/>
    <x v="2"/>
    <n v="4"/>
    <n v="5"/>
    <b v="1"/>
    <n v="539"/>
    <n v="152"/>
    <s v="Canada"/>
    <s v="Debit Card"/>
    <s v="German"/>
    <n v="48"/>
    <x v="20"/>
    <b v="1"/>
    <s v="Active"/>
    <n v="4130"/>
    <s v="Desktop"/>
    <s v="35-44"/>
    <s v="Afternoon"/>
  </r>
  <r>
    <n v="5495"/>
    <s v="Grant"/>
    <x v="398"/>
    <d v="2024-11-29T00:00:00"/>
    <n v="10"/>
    <x v="1"/>
    <n v="119.9"/>
    <n v="327"/>
    <x v="3"/>
    <n v="2"/>
    <n v="6"/>
    <b v="1"/>
    <n v="182"/>
    <n v="14"/>
    <s v="USA"/>
    <s v="Debit Card"/>
    <s v="French"/>
    <n v="90"/>
    <x v="15"/>
    <b v="0"/>
    <s v="Active"/>
    <n v="3918"/>
    <s v="Laptop"/>
    <s v="18-24"/>
    <s v="Late Night"/>
  </r>
  <r>
    <n v="6219"/>
    <s v="Michelle"/>
    <x v="77"/>
    <d v="2024-12-16T00:00:00"/>
    <n v="4"/>
    <x v="1"/>
    <n v="47.96"/>
    <n v="206"/>
    <x v="1"/>
    <n v="4"/>
    <n v="1"/>
    <b v="0"/>
    <n v="981"/>
    <n v="60"/>
    <s v="UK"/>
    <s v="PayPal"/>
    <s v="English"/>
    <n v="41"/>
    <x v="16"/>
    <b v="1"/>
    <s v="Active"/>
    <n v="4264"/>
    <s v="Desktop"/>
    <s v="25-34"/>
    <s v="Late Night"/>
  </r>
  <r>
    <n v="4458"/>
    <s v="Sydney"/>
    <x v="504"/>
    <d v="2024-11-20T00:00:00"/>
    <n v="12"/>
    <x v="2"/>
    <n v="191.88"/>
    <n v="23"/>
    <x v="2"/>
    <n v="3"/>
    <n v="3"/>
    <b v="1"/>
    <n v="489"/>
    <n v="7"/>
    <s v="India"/>
    <s v="Debit Card"/>
    <s v="Mandarin"/>
    <n v="54"/>
    <x v="6"/>
    <b v="1"/>
    <s v="Active"/>
    <n v="1485"/>
    <s v="Tablet"/>
    <s v="18-24"/>
    <s v="Evening"/>
  </r>
  <r>
    <n v="4115"/>
    <s v="Shawna"/>
    <x v="59"/>
    <d v="2024-11-24T00:00:00"/>
    <n v="0"/>
    <x v="2"/>
    <n v="0"/>
    <n v="158"/>
    <x v="5"/>
    <n v="1"/>
    <n v="5"/>
    <b v="1"/>
    <n v="603"/>
    <n v="72"/>
    <s v="India"/>
    <s v="Credit Card"/>
    <s v="Hindi"/>
    <n v="88"/>
    <x v="0"/>
    <b v="0"/>
    <s v="Active"/>
    <n v="3508"/>
    <s v="Smart TV"/>
    <s v="55+"/>
    <s v="Afternoon"/>
  </r>
  <r>
    <n v="6586"/>
    <s v="Allison"/>
    <x v="284"/>
    <d v="2024-12-15T00:00:00"/>
    <n v="22"/>
    <x v="2"/>
    <n v="351.78000000000003"/>
    <n v="459"/>
    <x v="5"/>
    <n v="2"/>
    <n v="1"/>
    <b v="0"/>
    <n v="445"/>
    <n v="153"/>
    <s v="France"/>
    <s v="PayPal"/>
    <s v="Hindi"/>
    <n v="13"/>
    <x v="18"/>
    <b v="0"/>
    <s v="Active"/>
    <n v="3433"/>
    <s v="Desktop"/>
    <s v="45-54"/>
    <s v="Evening"/>
  </r>
  <r>
    <n v="3985"/>
    <s v="Andrew"/>
    <x v="505"/>
    <d v="2024-12-12T00:00:00"/>
    <n v="6"/>
    <x v="2"/>
    <n v="95.94"/>
    <n v="30"/>
    <x v="3"/>
    <n v="4"/>
    <n v="6"/>
    <b v="0"/>
    <n v="233"/>
    <n v="10"/>
    <s v="Germany"/>
    <s v="Cryptocurrency"/>
    <s v="Spanish"/>
    <n v="71"/>
    <x v="3"/>
    <b v="0"/>
    <s v="Active"/>
    <n v="3610"/>
    <s v="Smartphone"/>
    <s v="45-54"/>
    <s v="Late Night"/>
  </r>
  <r>
    <n v="8501"/>
    <s v="Mark"/>
    <x v="416"/>
    <d v="2024-11-19T00:00:00"/>
    <n v="7"/>
    <x v="1"/>
    <n v="83.93"/>
    <n v="42"/>
    <x v="3"/>
    <n v="5"/>
    <n v="2"/>
    <b v="1"/>
    <n v="464"/>
    <n v="171"/>
    <s v="USA"/>
    <s v="Cryptocurrency"/>
    <s v="English"/>
    <n v="88"/>
    <x v="3"/>
    <b v="1"/>
    <s v="Active"/>
    <n v="3307"/>
    <s v="Smart TV"/>
    <s v="18-24"/>
    <s v="Morning"/>
  </r>
  <r>
    <n v="4048"/>
    <s v="Nicole"/>
    <x v="224"/>
    <d v="2024-12-17T00:00:00"/>
    <n v="6"/>
    <x v="1"/>
    <n v="71.94"/>
    <n v="242"/>
    <x v="4"/>
    <n v="3"/>
    <n v="1"/>
    <b v="0"/>
    <n v="273"/>
    <n v="96"/>
    <s v="Germany"/>
    <s v="Credit Card"/>
    <s v="French"/>
    <n v="34"/>
    <x v="11"/>
    <b v="1"/>
    <s v="Active"/>
    <n v="868"/>
    <s v="Smart TV"/>
    <s v="18-24"/>
    <s v="Morning"/>
  </r>
  <r>
    <n v="4466"/>
    <s v="Matthew"/>
    <x v="506"/>
    <d v="2024-11-27T00:00:00"/>
    <n v="1"/>
    <x v="1"/>
    <n v="11.99"/>
    <n v="25"/>
    <x v="1"/>
    <n v="5"/>
    <n v="2"/>
    <b v="0"/>
    <n v="162"/>
    <n v="147"/>
    <s v="Germany"/>
    <s v="Debit Card"/>
    <s v="English"/>
    <n v="82"/>
    <x v="5"/>
    <b v="0"/>
    <s v="Active"/>
    <n v="4358"/>
    <s v="Smart TV"/>
    <s v="25-34"/>
    <s v="Late Night"/>
  </r>
  <r>
    <n v="5479"/>
    <s v="David"/>
    <x v="206"/>
    <d v="2024-12-08T00:00:00"/>
    <n v="21"/>
    <x v="0"/>
    <n v="167.79"/>
    <n v="140"/>
    <x v="6"/>
    <n v="4"/>
    <n v="4"/>
    <b v="0"/>
    <n v="218"/>
    <n v="5"/>
    <s v="India"/>
    <s v="PayPal"/>
    <s v="French"/>
    <n v="86"/>
    <x v="10"/>
    <b v="0"/>
    <s v="Active"/>
    <n v="4552"/>
    <s v="Desktop"/>
    <s v="55+"/>
    <s v="Late Night"/>
  </r>
  <r>
    <n v="2480"/>
    <s v="Shane"/>
    <x v="332"/>
    <d v="2024-12-17T00:00:00"/>
    <n v="15"/>
    <x v="2"/>
    <n v="239.85"/>
    <n v="192"/>
    <x v="5"/>
    <n v="5"/>
    <n v="3"/>
    <b v="0"/>
    <n v="39"/>
    <n v="18"/>
    <s v="UK"/>
    <s v="Cryptocurrency"/>
    <s v="German"/>
    <n v="75"/>
    <x v="0"/>
    <b v="1"/>
    <s v="Active"/>
    <n v="3003"/>
    <s v="Desktop"/>
    <s v="18-24"/>
    <s v="Morning"/>
  </r>
  <r>
    <n v="6288"/>
    <s v="Kathryn"/>
    <x v="448"/>
    <d v="2024-12-11T00:00:00"/>
    <n v="8"/>
    <x v="2"/>
    <n v="127.92"/>
    <n v="267"/>
    <x v="6"/>
    <n v="1"/>
    <n v="2"/>
    <b v="0"/>
    <n v="107"/>
    <n v="140"/>
    <s v="Australia"/>
    <s v="PayPal"/>
    <s v="French"/>
    <n v="7"/>
    <x v="14"/>
    <b v="0"/>
    <s v="Active"/>
    <n v="783"/>
    <s v="Smart TV"/>
    <s v="25-34"/>
    <s v="Evening"/>
  </r>
  <r>
    <n v="9973"/>
    <s v="John"/>
    <x v="414"/>
    <d v="2024-12-15T00:00:00"/>
    <n v="20"/>
    <x v="1"/>
    <n v="239.8"/>
    <n v="410"/>
    <x v="6"/>
    <n v="4"/>
    <n v="4"/>
    <b v="0"/>
    <n v="513"/>
    <n v="52"/>
    <s v="Canada"/>
    <s v="Debit Card"/>
    <s v="French"/>
    <n v="19"/>
    <x v="9"/>
    <b v="0"/>
    <s v="Active"/>
    <n v="3578"/>
    <s v="Smart TV"/>
    <s v="25-34"/>
    <s v="Late Night"/>
  </r>
  <r>
    <n v="6078"/>
    <s v="Kara"/>
    <x v="209"/>
    <d v="2024-12-15T00:00:00"/>
    <n v="2"/>
    <x v="0"/>
    <n v="15.98"/>
    <n v="281"/>
    <x v="5"/>
    <n v="4"/>
    <n v="5"/>
    <b v="0"/>
    <n v="905"/>
    <n v="128"/>
    <s v="Germany"/>
    <s v="Cryptocurrency"/>
    <s v="German"/>
    <n v="70"/>
    <x v="5"/>
    <b v="0"/>
    <s v="Active"/>
    <n v="1952"/>
    <s v="Laptop"/>
    <s v="18-24"/>
    <s v="Evening"/>
  </r>
  <r>
    <n v="5362"/>
    <s v="Julie"/>
    <x v="498"/>
    <d v="2024-11-27T00:00:00"/>
    <n v="8"/>
    <x v="2"/>
    <n v="127.92"/>
    <n v="478"/>
    <x v="5"/>
    <n v="4"/>
    <n v="3"/>
    <b v="1"/>
    <n v="551"/>
    <n v="96"/>
    <s v="UK"/>
    <s v="Cryptocurrency"/>
    <s v="Spanish"/>
    <n v="65"/>
    <x v="3"/>
    <b v="1"/>
    <s v="Active"/>
    <n v="860"/>
    <s v="Laptop"/>
    <s v="55+"/>
    <s v="Morning"/>
  </r>
  <r>
    <n v="1687"/>
    <s v="Joshua"/>
    <x v="295"/>
    <d v="2024-11-24T00:00:00"/>
    <n v="7"/>
    <x v="0"/>
    <n v="55.93"/>
    <n v="44"/>
    <x v="0"/>
    <n v="4"/>
    <n v="5"/>
    <b v="1"/>
    <n v="190"/>
    <n v="193"/>
    <s v="France"/>
    <s v="PayPal"/>
    <s v="Hindi"/>
    <n v="13"/>
    <x v="2"/>
    <b v="0"/>
    <s v="Active"/>
    <n v="3"/>
    <s v="Laptop"/>
    <s v="18-24"/>
    <s v="Late Night"/>
  </r>
  <r>
    <n v="8986"/>
    <s v="Gary"/>
    <x v="129"/>
    <d v="2024-12-16T00:00:00"/>
    <n v="0"/>
    <x v="2"/>
    <n v="0"/>
    <n v="250"/>
    <x v="0"/>
    <n v="1"/>
    <n v="2"/>
    <b v="1"/>
    <n v="69"/>
    <n v="35"/>
    <s v="Canada"/>
    <s v="Credit Card"/>
    <s v="German"/>
    <n v="13"/>
    <x v="0"/>
    <b v="1"/>
    <s v="Active"/>
    <n v="1836"/>
    <s v="Smart TV"/>
    <s v="25-34"/>
    <s v="Evening"/>
  </r>
  <r>
    <n v="5994"/>
    <s v="Chelsea"/>
    <x v="87"/>
    <d v="2024-12-04T00:00:00"/>
    <n v="13"/>
    <x v="0"/>
    <n v="103.87"/>
    <n v="225"/>
    <x v="1"/>
    <n v="5"/>
    <n v="5"/>
    <b v="0"/>
    <n v="274"/>
    <n v="83"/>
    <s v="UK"/>
    <s v="Credit Card"/>
    <s v="German"/>
    <n v="45"/>
    <x v="12"/>
    <b v="0"/>
    <s v="Active"/>
    <n v="808"/>
    <s v="Smartphone"/>
    <s v="35-44"/>
    <s v="Afternoon"/>
  </r>
  <r>
    <n v="6293"/>
    <s v="John"/>
    <x v="282"/>
    <d v="2024-11-21T00:00:00"/>
    <n v="2"/>
    <x v="2"/>
    <n v="31.98"/>
    <n v="473"/>
    <x v="2"/>
    <n v="4"/>
    <n v="4"/>
    <b v="0"/>
    <n v="605"/>
    <n v="93"/>
    <s v="Germany"/>
    <s v="Debit Card"/>
    <s v="Mandarin"/>
    <n v="13"/>
    <x v="14"/>
    <b v="0"/>
    <s v="Active"/>
    <n v="2141"/>
    <s v="Desktop"/>
    <s v="35-44"/>
    <s v="Late Night"/>
  </r>
  <r>
    <n v="7558"/>
    <s v="Sandra"/>
    <x v="454"/>
    <d v="2024-12-08T00:00:00"/>
    <n v="0"/>
    <x v="1"/>
    <n v="0"/>
    <n v="236"/>
    <x v="2"/>
    <n v="1"/>
    <n v="5"/>
    <b v="1"/>
    <n v="225"/>
    <n v="94"/>
    <s v="Germany"/>
    <s v="Debit Card"/>
    <s v="English"/>
    <n v="61"/>
    <x v="4"/>
    <b v="0"/>
    <s v="Active"/>
    <n v="1254"/>
    <s v="Laptop"/>
    <s v="35-44"/>
    <s v="Evening"/>
  </r>
  <r>
    <n v="1805"/>
    <s v="Jennifer"/>
    <x v="507"/>
    <d v="2024-11-30T00:00:00"/>
    <n v="21"/>
    <x v="1"/>
    <n v="251.79"/>
    <n v="349"/>
    <x v="5"/>
    <n v="4"/>
    <n v="4"/>
    <b v="1"/>
    <n v="386"/>
    <n v="195"/>
    <s v="USA"/>
    <s v="Cryptocurrency"/>
    <s v="German"/>
    <n v="59"/>
    <x v="3"/>
    <b v="0"/>
    <s v="Active"/>
    <n v="2864"/>
    <s v="Laptop"/>
    <s v="35-44"/>
    <s v="Late Night"/>
  </r>
  <r>
    <n v="1661"/>
    <s v="Margaret"/>
    <x v="508"/>
    <d v="2024-12-08T00:00:00"/>
    <n v="19"/>
    <x v="2"/>
    <n v="303.81"/>
    <n v="139"/>
    <x v="5"/>
    <n v="4"/>
    <n v="5"/>
    <b v="1"/>
    <n v="442"/>
    <n v="110"/>
    <s v="Canada"/>
    <s v="Credit Card"/>
    <s v="Hindi"/>
    <n v="91"/>
    <x v="9"/>
    <b v="1"/>
    <s v="Active"/>
    <n v="4589"/>
    <s v="Smartphone"/>
    <s v="55+"/>
    <s v="Evening"/>
  </r>
  <r>
    <n v="8960"/>
    <s v="Jason"/>
    <x v="283"/>
    <d v="2024-12-02T00:00:00"/>
    <n v="10"/>
    <x v="2"/>
    <n v="159.9"/>
    <n v="278"/>
    <x v="6"/>
    <n v="3"/>
    <n v="2"/>
    <b v="1"/>
    <n v="382"/>
    <n v="25"/>
    <s v="UK"/>
    <s v="PayPal"/>
    <s v="French"/>
    <n v="72"/>
    <x v="16"/>
    <b v="0"/>
    <s v="Active"/>
    <n v="2932"/>
    <s v="Smartphone"/>
    <s v="55+"/>
    <s v="Afternoon"/>
  </r>
  <r>
    <n v="6131"/>
    <s v="Nichole"/>
    <x v="298"/>
    <d v="2024-12-17T00:00:00"/>
    <n v="4"/>
    <x v="0"/>
    <n v="31.96"/>
    <n v="242"/>
    <x v="4"/>
    <n v="5"/>
    <n v="2"/>
    <b v="1"/>
    <n v="156"/>
    <n v="166"/>
    <s v="France"/>
    <s v="Cryptocurrency"/>
    <s v="Hindi"/>
    <n v="53"/>
    <x v="19"/>
    <b v="0"/>
    <s v="Active"/>
    <n v="1697"/>
    <s v="Tablet"/>
    <s v="18-24"/>
    <s v="Late Night"/>
  </r>
  <r>
    <n v="4114"/>
    <s v="Eric"/>
    <x v="288"/>
    <d v="2024-12-14T00:00:00"/>
    <n v="12"/>
    <x v="1"/>
    <n v="143.88"/>
    <n v="251"/>
    <x v="4"/>
    <n v="5"/>
    <n v="6"/>
    <b v="1"/>
    <n v="687"/>
    <n v="160"/>
    <s v="India"/>
    <s v="Debit Card"/>
    <s v="English"/>
    <n v="88"/>
    <x v="6"/>
    <b v="0"/>
    <s v="Active"/>
    <n v="1411"/>
    <s v="Tablet"/>
    <s v="18-24"/>
    <s v="Evening"/>
  </r>
  <r>
    <n v="4833"/>
    <s v="Nathan"/>
    <x v="275"/>
    <d v="2024-12-10T00:00:00"/>
    <n v="7"/>
    <x v="0"/>
    <n v="55.93"/>
    <n v="268"/>
    <x v="1"/>
    <n v="4"/>
    <n v="4"/>
    <b v="1"/>
    <n v="778"/>
    <n v="122"/>
    <s v="Canada"/>
    <s v="Credit Card"/>
    <s v="Hindi"/>
    <n v="12"/>
    <x v="20"/>
    <b v="1"/>
    <s v="Active"/>
    <n v="3437"/>
    <s v="Laptop"/>
    <s v="25-34"/>
    <s v="Evening"/>
  </r>
  <r>
    <n v="2401"/>
    <s v="Rachel"/>
    <x v="506"/>
    <d v="2024-12-02T00:00:00"/>
    <n v="1"/>
    <x v="0"/>
    <n v="7.99"/>
    <n v="322"/>
    <x v="5"/>
    <n v="4"/>
    <n v="6"/>
    <b v="0"/>
    <n v="616"/>
    <n v="45"/>
    <s v="Germany"/>
    <s v="PayPal"/>
    <s v="Spanish"/>
    <n v="22"/>
    <x v="11"/>
    <b v="1"/>
    <s v="Active"/>
    <n v="4509"/>
    <s v="Smart TV"/>
    <s v="35-44"/>
    <s v="Evening"/>
  </r>
  <r>
    <n v="1037"/>
    <s v="Natalie"/>
    <x v="509"/>
    <d v="2024-11-30T00:00:00"/>
    <n v="17"/>
    <x v="0"/>
    <n v="135.83000000000001"/>
    <n v="356"/>
    <x v="3"/>
    <n v="3"/>
    <n v="3"/>
    <b v="1"/>
    <n v="314"/>
    <n v="50"/>
    <s v="Canada"/>
    <s v="Credit Card"/>
    <s v="Mandarin"/>
    <n v="7"/>
    <x v="11"/>
    <b v="1"/>
    <s v="Active"/>
    <n v="3165"/>
    <s v="Smart TV"/>
    <s v="25-34"/>
    <s v="Morning"/>
  </r>
  <r>
    <n v="2675"/>
    <s v="Chad"/>
    <x v="510"/>
    <d v="2024-12-04T00:00:00"/>
    <n v="21"/>
    <x v="2"/>
    <n v="335.79"/>
    <n v="28"/>
    <x v="3"/>
    <n v="2"/>
    <n v="1"/>
    <b v="1"/>
    <n v="666"/>
    <n v="65"/>
    <s v="France"/>
    <s v="PayPal"/>
    <s v="German"/>
    <n v="21"/>
    <x v="5"/>
    <b v="0"/>
    <s v="Active"/>
    <n v="2538"/>
    <s v="Desktop"/>
    <s v="18-24"/>
    <s v="Late Night"/>
  </r>
  <r>
    <n v="1665"/>
    <s v="Megan"/>
    <x v="391"/>
    <d v="2024-12-17T00:00:00"/>
    <n v="9"/>
    <x v="1"/>
    <n v="107.91"/>
    <n v="43"/>
    <x v="5"/>
    <n v="5"/>
    <n v="2"/>
    <b v="0"/>
    <n v="767"/>
    <n v="83"/>
    <s v="Australia"/>
    <s v="Cryptocurrency"/>
    <s v="German"/>
    <n v="58"/>
    <x v="8"/>
    <b v="1"/>
    <s v="Active"/>
    <n v="245"/>
    <s v="Desktop"/>
    <s v="35-44"/>
    <s v="Afternoon"/>
  </r>
  <r>
    <n v="5671"/>
    <s v="Martin"/>
    <x v="372"/>
    <d v="2024-11-29T00:00:00"/>
    <n v="18"/>
    <x v="1"/>
    <n v="215.82"/>
    <n v="391"/>
    <x v="1"/>
    <n v="3"/>
    <n v="3"/>
    <b v="1"/>
    <n v="811"/>
    <n v="3"/>
    <s v="USA"/>
    <s v="PayPal"/>
    <s v="French"/>
    <n v="17"/>
    <x v="18"/>
    <b v="0"/>
    <s v="Active"/>
    <n v="1364"/>
    <s v="Smart TV"/>
    <s v="35-44"/>
    <s v="Morning"/>
  </r>
  <r>
    <n v="5153"/>
    <s v="Ryan"/>
    <x v="415"/>
    <d v="2024-12-18T00:00:00"/>
    <n v="5"/>
    <x v="0"/>
    <n v="39.950000000000003"/>
    <n v="300"/>
    <x v="2"/>
    <n v="1"/>
    <n v="4"/>
    <b v="1"/>
    <n v="413"/>
    <n v="154"/>
    <s v="Canada"/>
    <s v="PayPal"/>
    <s v="French"/>
    <n v="64"/>
    <x v="13"/>
    <b v="0"/>
    <s v="Active"/>
    <n v="732"/>
    <s v="Desktop"/>
    <s v="55+"/>
    <s v="Evening"/>
  </r>
  <r>
    <n v="1114"/>
    <s v="Angela"/>
    <x v="421"/>
    <d v="2024-12-15T00:00:00"/>
    <n v="23"/>
    <x v="1"/>
    <n v="275.77"/>
    <n v="75"/>
    <x v="4"/>
    <n v="3"/>
    <n v="3"/>
    <b v="0"/>
    <n v="324"/>
    <n v="175"/>
    <s v="USA"/>
    <s v="Debit Card"/>
    <s v="German"/>
    <n v="18"/>
    <x v="0"/>
    <b v="0"/>
    <s v="Active"/>
    <n v="4976"/>
    <s v="Tablet"/>
    <s v="45-54"/>
    <s v="Evening"/>
  </r>
  <r>
    <n v="6180"/>
    <s v="Chad"/>
    <x v="511"/>
    <d v="2024-12-02T00:00:00"/>
    <n v="3"/>
    <x v="1"/>
    <n v="35.97"/>
    <n v="154"/>
    <x v="6"/>
    <n v="1"/>
    <n v="5"/>
    <b v="1"/>
    <n v="52"/>
    <n v="108"/>
    <s v="Germany"/>
    <s v="Credit Card"/>
    <s v="German"/>
    <n v="94"/>
    <x v="13"/>
    <b v="0"/>
    <s v="Active"/>
    <n v="4176"/>
    <s v="Tablet"/>
    <s v="18-24"/>
    <s v="Late Night"/>
  </r>
  <r>
    <n v="8237"/>
    <s v="Mary"/>
    <x v="396"/>
    <d v="2024-12-07T00:00:00"/>
    <n v="18"/>
    <x v="0"/>
    <n v="143.82"/>
    <n v="179"/>
    <x v="5"/>
    <n v="2"/>
    <n v="6"/>
    <b v="0"/>
    <n v="680"/>
    <n v="50"/>
    <s v="USA"/>
    <s v="Credit Card"/>
    <s v="English"/>
    <n v="52"/>
    <x v="15"/>
    <b v="0"/>
    <s v="Active"/>
    <n v="2919"/>
    <s v="Smartphone"/>
    <s v="25-34"/>
    <s v="Late Night"/>
  </r>
  <r>
    <n v="9500"/>
    <s v="Marissa"/>
    <x v="387"/>
    <d v="2024-12-10T00:00:00"/>
    <n v="14"/>
    <x v="1"/>
    <n v="167.86"/>
    <n v="147"/>
    <x v="3"/>
    <n v="1"/>
    <n v="1"/>
    <b v="1"/>
    <n v="780"/>
    <n v="76"/>
    <s v="USA"/>
    <s v="Credit Card"/>
    <s v="Mandarin"/>
    <n v="21"/>
    <x v="16"/>
    <b v="1"/>
    <s v="Active"/>
    <n v="3081"/>
    <s v="Tablet"/>
    <s v="25-34"/>
    <s v="Late Night"/>
  </r>
  <r>
    <n v="7476"/>
    <s v="Patrick"/>
    <x v="512"/>
    <d v="2024-11-27T00:00:00"/>
    <n v="17"/>
    <x v="1"/>
    <n v="203.83"/>
    <n v="235"/>
    <x v="4"/>
    <n v="3"/>
    <n v="1"/>
    <b v="1"/>
    <n v="569"/>
    <n v="176"/>
    <s v="France"/>
    <s v="Debit Card"/>
    <s v="French"/>
    <n v="18"/>
    <x v="20"/>
    <b v="1"/>
    <s v="Active"/>
    <n v="3138"/>
    <s v="Desktop"/>
    <s v="35-44"/>
    <s v="Afternoon"/>
  </r>
  <r>
    <n v="9908"/>
    <s v="Kelly"/>
    <x v="221"/>
    <d v="2024-12-04T00:00:00"/>
    <n v="23"/>
    <x v="1"/>
    <n v="275.77"/>
    <n v="390"/>
    <x v="6"/>
    <n v="3"/>
    <n v="1"/>
    <b v="0"/>
    <n v="256"/>
    <n v="183"/>
    <s v="Germany"/>
    <s v="Credit Card"/>
    <s v="German"/>
    <n v="89"/>
    <x v="7"/>
    <b v="1"/>
    <s v="Active"/>
    <n v="1180"/>
    <s v="Smart TV"/>
    <s v="45-54"/>
    <s v="Evening"/>
  </r>
  <r>
    <n v="1534"/>
    <s v="Mary"/>
    <x v="77"/>
    <d v="2024-12-18T00:00:00"/>
    <n v="4"/>
    <x v="0"/>
    <n v="31.96"/>
    <n v="116"/>
    <x v="0"/>
    <n v="1"/>
    <n v="4"/>
    <b v="0"/>
    <n v="799"/>
    <n v="137"/>
    <s v="USA"/>
    <s v="Credit Card"/>
    <s v="Mandarin"/>
    <n v="78"/>
    <x v="3"/>
    <b v="1"/>
    <s v="Active"/>
    <n v="4518"/>
    <s v="Desktop"/>
    <s v="55+"/>
    <s v="Evening"/>
  </r>
  <r>
    <n v="4613"/>
    <s v="Cynthia"/>
    <x v="397"/>
    <d v="2024-12-04T00:00:00"/>
    <n v="21"/>
    <x v="2"/>
    <n v="335.79"/>
    <n v="492"/>
    <x v="0"/>
    <n v="1"/>
    <n v="2"/>
    <b v="0"/>
    <n v="237"/>
    <n v="55"/>
    <s v="Australia"/>
    <s v="Cryptocurrency"/>
    <s v="Mandarin"/>
    <n v="15"/>
    <x v="11"/>
    <b v="1"/>
    <s v="Active"/>
    <n v="3843"/>
    <s v="Smartphone"/>
    <s v="35-44"/>
    <s v="Evening"/>
  </r>
  <r>
    <n v="5063"/>
    <s v="Jasmine"/>
    <x v="358"/>
    <d v="2024-11-22T00:00:00"/>
    <n v="5"/>
    <x v="0"/>
    <n v="39.950000000000003"/>
    <n v="159"/>
    <x v="0"/>
    <n v="4"/>
    <n v="5"/>
    <b v="1"/>
    <n v="138"/>
    <n v="3"/>
    <s v="Germany"/>
    <s v="Debit Card"/>
    <s v="Hindi"/>
    <n v="12"/>
    <x v="12"/>
    <b v="1"/>
    <s v="Active"/>
    <n v="3604"/>
    <s v="Laptop"/>
    <s v="25-34"/>
    <s v="Morning"/>
  </r>
  <r>
    <n v="4548"/>
    <s v="Sarah"/>
    <x v="174"/>
    <d v="2024-11-20T00:00:00"/>
    <n v="17"/>
    <x v="0"/>
    <n v="135.83000000000001"/>
    <n v="279"/>
    <x v="6"/>
    <n v="4"/>
    <n v="6"/>
    <b v="0"/>
    <n v="636"/>
    <n v="176"/>
    <s v="France"/>
    <s v="Cryptocurrency"/>
    <s v="French"/>
    <n v="32"/>
    <x v="4"/>
    <b v="1"/>
    <s v="Active"/>
    <n v="4445"/>
    <s v="Smartphone"/>
    <s v="25-34"/>
    <s v="Afternoon"/>
  </r>
  <r>
    <n v="7556"/>
    <s v="Adam"/>
    <x v="166"/>
    <d v="2024-11-26T00:00:00"/>
    <n v="4"/>
    <x v="2"/>
    <n v="63.96"/>
    <n v="386"/>
    <x v="0"/>
    <n v="2"/>
    <n v="6"/>
    <b v="1"/>
    <n v="461"/>
    <n v="178"/>
    <s v="USA"/>
    <s v="Cryptocurrency"/>
    <s v="Hindi"/>
    <n v="79"/>
    <x v="4"/>
    <b v="0"/>
    <s v="Active"/>
    <n v="1587"/>
    <s v="Tablet"/>
    <s v="35-44"/>
    <s v="Afternoon"/>
  </r>
  <r>
    <n v="1846"/>
    <s v="Mason"/>
    <x v="229"/>
    <d v="2024-12-07T00:00:00"/>
    <n v="5"/>
    <x v="2"/>
    <n v="79.95"/>
    <n v="332"/>
    <x v="2"/>
    <n v="1"/>
    <n v="6"/>
    <b v="0"/>
    <n v="20"/>
    <n v="128"/>
    <s v="Australia"/>
    <s v="Credit Card"/>
    <s v="English"/>
    <n v="50"/>
    <x v="19"/>
    <b v="0"/>
    <s v="Active"/>
    <n v="4400"/>
    <s v="Smart TV"/>
    <s v="45-54"/>
    <s v="Late Night"/>
  </r>
  <r>
    <n v="7088"/>
    <s v="Amy"/>
    <x v="359"/>
    <d v="2024-11-21T00:00:00"/>
    <n v="10"/>
    <x v="1"/>
    <n v="119.9"/>
    <n v="176"/>
    <x v="3"/>
    <n v="5"/>
    <n v="5"/>
    <b v="1"/>
    <n v="276"/>
    <n v="138"/>
    <s v="Australia"/>
    <s v="PayPal"/>
    <s v="Spanish"/>
    <n v="56"/>
    <x v="9"/>
    <b v="0"/>
    <s v="Active"/>
    <n v="2891"/>
    <s v="Smartphone"/>
    <s v="18-24"/>
    <s v="Morning"/>
  </r>
  <r>
    <n v="1179"/>
    <s v="Craig"/>
    <x v="390"/>
    <d v="2024-12-18T00:00:00"/>
    <n v="6"/>
    <x v="1"/>
    <n v="71.94"/>
    <n v="221"/>
    <x v="6"/>
    <n v="4"/>
    <n v="1"/>
    <b v="1"/>
    <n v="603"/>
    <n v="141"/>
    <s v="Germany"/>
    <s v="Cryptocurrency"/>
    <s v="Hindi"/>
    <n v="44"/>
    <x v="0"/>
    <b v="1"/>
    <s v="Active"/>
    <n v="1363"/>
    <s v="Smartphone"/>
    <s v="35-44"/>
    <s v="Afternoon"/>
  </r>
  <r>
    <n v="2190"/>
    <s v="Lindsay"/>
    <x v="74"/>
    <d v="2024-12-05T00:00:00"/>
    <n v="11"/>
    <x v="0"/>
    <n v="87.89"/>
    <n v="263"/>
    <x v="4"/>
    <n v="4"/>
    <n v="1"/>
    <b v="1"/>
    <n v="799"/>
    <n v="14"/>
    <s v="USA"/>
    <s v="Credit Card"/>
    <s v="Mandarin"/>
    <n v="32"/>
    <x v="0"/>
    <b v="0"/>
    <s v="Active"/>
    <n v="2323"/>
    <s v="Smart TV"/>
    <s v="55+"/>
    <s v="Evening"/>
  </r>
  <r>
    <n v="2847"/>
    <s v="Charles"/>
    <x v="429"/>
    <d v="2024-11-27T00:00:00"/>
    <n v="14"/>
    <x v="2"/>
    <n v="223.86"/>
    <n v="222"/>
    <x v="3"/>
    <n v="1"/>
    <n v="3"/>
    <b v="0"/>
    <n v="785"/>
    <n v="147"/>
    <s v="France"/>
    <s v="Credit Card"/>
    <s v="Mandarin"/>
    <n v="21"/>
    <x v="14"/>
    <b v="1"/>
    <s v="Active"/>
    <n v="4291"/>
    <s v="Smart TV"/>
    <s v="45-54"/>
    <s v="Morning"/>
  </r>
  <r>
    <n v="6570"/>
    <s v="Joseph"/>
    <x v="197"/>
    <d v="2024-12-12T00:00:00"/>
    <n v="0"/>
    <x v="1"/>
    <n v="0"/>
    <n v="39"/>
    <x v="6"/>
    <n v="5"/>
    <n v="3"/>
    <b v="1"/>
    <n v="28"/>
    <n v="189"/>
    <s v="Canada"/>
    <s v="Credit Card"/>
    <s v="French"/>
    <n v="26"/>
    <x v="3"/>
    <b v="1"/>
    <s v="Active"/>
    <n v="4938"/>
    <s v="Smartphone"/>
    <s v="55+"/>
    <s v="Evening"/>
  </r>
  <r>
    <n v="1149"/>
    <s v="Michael"/>
    <x v="233"/>
    <d v="2024-11-28T00:00:00"/>
    <n v="17"/>
    <x v="1"/>
    <n v="203.83"/>
    <n v="445"/>
    <x v="0"/>
    <n v="3"/>
    <n v="2"/>
    <b v="1"/>
    <n v="637"/>
    <n v="14"/>
    <s v="USA"/>
    <s v="Debit Card"/>
    <s v="French"/>
    <n v="50"/>
    <x v="7"/>
    <b v="1"/>
    <s v="Active"/>
    <n v="913"/>
    <s v="Desktop"/>
    <s v="45-54"/>
    <s v="Late Night"/>
  </r>
  <r>
    <n v="1336"/>
    <s v="James"/>
    <x v="212"/>
    <d v="2024-12-10T00:00:00"/>
    <n v="7"/>
    <x v="1"/>
    <n v="83.93"/>
    <n v="164"/>
    <x v="2"/>
    <n v="3"/>
    <n v="3"/>
    <b v="1"/>
    <n v="79"/>
    <n v="130"/>
    <s v="Canada"/>
    <s v="PayPal"/>
    <s v="French"/>
    <n v="47"/>
    <x v="12"/>
    <b v="0"/>
    <s v="Active"/>
    <n v="3925"/>
    <s v="Laptop"/>
    <s v="55+"/>
    <s v="Morning"/>
  </r>
  <r>
    <n v="6956"/>
    <s v="Brandon"/>
    <x v="476"/>
    <d v="2024-11-24T00:00:00"/>
    <n v="9"/>
    <x v="2"/>
    <n v="143.91"/>
    <n v="101"/>
    <x v="2"/>
    <n v="5"/>
    <n v="1"/>
    <b v="1"/>
    <n v="175"/>
    <n v="125"/>
    <s v="India"/>
    <s v="Debit Card"/>
    <s v="Mandarin"/>
    <n v="44"/>
    <x v="10"/>
    <b v="1"/>
    <s v="Active"/>
    <n v="2517"/>
    <s v="Laptop"/>
    <s v="55+"/>
    <s v="Evening"/>
  </r>
  <r>
    <n v="7015"/>
    <s v="Jaclyn"/>
    <x v="315"/>
    <d v="2024-12-09T00:00:00"/>
    <n v="2"/>
    <x v="1"/>
    <n v="23.98"/>
    <n v="424"/>
    <x v="1"/>
    <n v="1"/>
    <n v="3"/>
    <b v="1"/>
    <n v="684"/>
    <n v="127"/>
    <s v="Germany"/>
    <s v="Cryptocurrency"/>
    <s v="Mandarin"/>
    <n v="97"/>
    <x v="3"/>
    <b v="0"/>
    <s v="Active"/>
    <n v="2070"/>
    <s v="Laptop"/>
    <s v="25-34"/>
    <s v="Late Night"/>
  </r>
  <r>
    <n v="4104"/>
    <s v="Alvin"/>
    <x v="513"/>
    <d v="2024-11-20T00:00:00"/>
    <n v="15"/>
    <x v="2"/>
    <n v="239.85"/>
    <n v="182"/>
    <x v="2"/>
    <n v="4"/>
    <n v="5"/>
    <b v="0"/>
    <n v="247"/>
    <n v="197"/>
    <s v="USA"/>
    <s v="Cryptocurrency"/>
    <s v="French"/>
    <n v="90"/>
    <x v="9"/>
    <b v="0"/>
    <s v="Active"/>
    <n v="4726"/>
    <s v="Laptop"/>
    <s v="35-44"/>
    <s v="Evening"/>
  </r>
  <r>
    <n v="9413"/>
    <s v="Megan"/>
    <x v="514"/>
    <d v="2024-12-03T00:00:00"/>
    <n v="15"/>
    <x v="2"/>
    <n v="239.85"/>
    <n v="115"/>
    <x v="2"/>
    <n v="2"/>
    <n v="3"/>
    <b v="1"/>
    <n v="741"/>
    <n v="68"/>
    <s v="USA"/>
    <s v="Cryptocurrency"/>
    <s v="Hindi"/>
    <n v="30"/>
    <x v="19"/>
    <b v="1"/>
    <s v="Active"/>
    <n v="1536"/>
    <s v="Smartphone"/>
    <s v="35-44"/>
    <s v="Morning"/>
  </r>
  <r>
    <n v="8300"/>
    <s v="Carolyn"/>
    <x v="388"/>
    <d v="2024-12-13T00:00:00"/>
    <n v="7"/>
    <x v="2"/>
    <n v="111.93"/>
    <n v="33"/>
    <x v="3"/>
    <n v="1"/>
    <n v="4"/>
    <b v="0"/>
    <n v="623"/>
    <n v="53"/>
    <s v="Canada"/>
    <s v="Credit Card"/>
    <s v="English"/>
    <n v="17"/>
    <x v="17"/>
    <b v="0"/>
    <s v="Active"/>
    <n v="2113"/>
    <s v="Desktop"/>
    <s v="55+"/>
    <s v="Afternoon"/>
  </r>
  <r>
    <n v="5126"/>
    <s v="Christopher"/>
    <x v="515"/>
    <d v="2024-12-03T00:00:00"/>
    <n v="6"/>
    <x v="0"/>
    <n v="47.94"/>
    <n v="259"/>
    <x v="1"/>
    <n v="1"/>
    <n v="1"/>
    <b v="1"/>
    <n v="327"/>
    <n v="76"/>
    <s v="UK"/>
    <s v="PayPal"/>
    <s v="French"/>
    <n v="9"/>
    <x v="5"/>
    <b v="1"/>
    <s v="Active"/>
    <n v="428"/>
    <s v="Tablet"/>
    <s v="25-34"/>
    <s v="Afternoon"/>
  </r>
  <r>
    <n v="1754"/>
    <s v="Patricia"/>
    <x v="21"/>
    <d v="2024-11-20T00:00:00"/>
    <n v="5"/>
    <x v="2"/>
    <n v="79.95"/>
    <n v="309"/>
    <x v="6"/>
    <n v="5"/>
    <n v="6"/>
    <b v="0"/>
    <n v="760"/>
    <n v="72"/>
    <s v="France"/>
    <s v="Credit Card"/>
    <s v="French"/>
    <n v="91"/>
    <x v="14"/>
    <b v="1"/>
    <s v="Active"/>
    <n v="2336"/>
    <s v="Smart TV"/>
    <s v="45-54"/>
    <s v="Afternoon"/>
  </r>
  <r>
    <n v="7089"/>
    <s v="Richard"/>
    <x v="397"/>
    <d v="2024-12-11T00:00:00"/>
    <n v="21"/>
    <x v="0"/>
    <n v="167.79"/>
    <n v="367"/>
    <x v="6"/>
    <n v="1"/>
    <n v="3"/>
    <b v="0"/>
    <n v="522"/>
    <n v="10"/>
    <s v="USA"/>
    <s v="PayPal"/>
    <s v="Mandarin"/>
    <n v="70"/>
    <x v="20"/>
    <b v="0"/>
    <s v="Active"/>
    <n v="2344"/>
    <s v="Desktop"/>
    <s v="25-34"/>
    <s v="Morning"/>
  </r>
  <r>
    <n v="1697"/>
    <s v="Tiffany"/>
    <x v="470"/>
    <d v="2024-11-27T00:00:00"/>
    <n v="14"/>
    <x v="0"/>
    <n v="111.86"/>
    <n v="472"/>
    <x v="0"/>
    <n v="5"/>
    <n v="2"/>
    <b v="1"/>
    <n v="76"/>
    <n v="157"/>
    <s v="USA"/>
    <s v="Debit Card"/>
    <s v="French"/>
    <n v="6"/>
    <x v="2"/>
    <b v="1"/>
    <s v="Active"/>
    <n v="1351"/>
    <s v="Laptop"/>
    <s v="55+"/>
    <s v="Afternoon"/>
  </r>
  <r>
    <n v="4768"/>
    <s v="Thomas"/>
    <x v="171"/>
    <d v="2024-11-23T00:00:00"/>
    <n v="11"/>
    <x v="2"/>
    <n v="175.89000000000001"/>
    <n v="449"/>
    <x v="3"/>
    <n v="5"/>
    <n v="4"/>
    <b v="0"/>
    <n v="61"/>
    <n v="61"/>
    <s v="Germany"/>
    <s v="Debit Card"/>
    <s v="French"/>
    <n v="88"/>
    <x v="4"/>
    <b v="1"/>
    <s v="Active"/>
    <n v="165"/>
    <s v="Tablet"/>
    <s v="45-54"/>
    <s v="Afternoon"/>
  </r>
  <r>
    <n v="4205"/>
    <s v="Daniel"/>
    <x v="344"/>
    <d v="2024-12-06T00:00:00"/>
    <n v="11"/>
    <x v="2"/>
    <n v="175.89000000000001"/>
    <n v="302"/>
    <x v="5"/>
    <n v="4"/>
    <n v="4"/>
    <b v="1"/>
    <n v="800"/>
    <n v="101"/>
    <s v="USA"/>
    <s v="Cryptocurrency"/>
    <s v="English"/>
    <n v="89"/>
    <x v="5"/>
    <b v="0"/>
    <s v="Active"/>
    <n v="3411"/>
    <s v="Desktop"/>
    <s v="55+"/>
    <s v="Evening"/>
  </r>
  <r>
    <n v="8844"/>
    <s v="Ashley"/>
    <x v="230"/>
    <d v="2024-12-18T00:00:00"/>
    <n v="2"/>
    <x v="0"/>
    <n v="15.98"/>
    <n v="70"/>
    <x v="2"/>
    <n v="3"/>
    <n v="6"/>
    <b v="1"/>
    <n v="226"/>
    <n v="104"/>
    <s v="USA"/>
    <s v="Debit Card"/>
    <s v="German"/>
    <n v="59"/>
    <x v="0"/>
    <b v="1"/>
    <s v="Active"/>
    <n v="615"/>
    <s v="Laptop"/>
    <s v="45-54"/>
    <s v="Late Night"/>
  </r>
  <r>
    <n v="1103"/>
    <s v="Lindsey"/>
    <x v="326"/>
    <d v="2024-12-02T00:00:00"/>
    <n v="18"/>
    <x v="0"/>
    <n v="143.82"/>
    <n v="157"/>
    <x v="2"/>
    <n v="2"/>
    <n v="1"/>
    <b v="0"/>
    <n v="792"/>
    <n v="141"/>
    <s v="Canada"/>
    <s v="Credit Card"/>
    <s v="Spanish"/>
    <n v="18"/>
    <x v="18"/>
    <b v="0"/>
    <s v="Active"/>
    <n v="1538"/>
    <s v="Smartphone"/>
    <s v="55+"/>
    <s v="Afternoon"/>
  </r>
  <r>
    <n v="2180"/>
    <s v="Yvonne"/>
    <x v="508"/>
    <d v="2024-11-24T00:00:00"/>
    <n v="19"/>
    <x v="0"/>
    <n v="151.81"/>
    <n v="17"/>
    <x v="4"/>
    <n v="5"/>
    <n v="5"/>
    <b v="0"/>
    <n v="498"/>
    <n v="67"/>
    <s v="UK"/>
    <s v="PayPal"/>
    <s v="Mandarin"/>
    <n v="67"/>
    <x v="8"/>
    <b v="1"/>
    <s v="Active"/>
    <n v="1835"/>
    <s v="Smart TV"/>
    <s v="35-44"/>
    <s v="Late Night"/>
  </r>
  <r>
    <n v="6607"/>
    <s v="Gene"/>
    <x v="516"/>
    <d v="2024-12-02T00:00:00"/>
    <n v="22"/>
    <x v="2"/>
    <n v="351.78000000000003"/>
    <n v="173"/>
    <x v="1"/>
    <n v="1"/>
    <n v="3"/>
    <b v="1"/>
    <n v="950"/>
    <n v="163"/>
    <s v="France"/>
    <s v="Debit Card"/>
    <s v="French"/>
    <n v="96"/>
    <x v="11"/>
    <b v="1"/>
    <s v="Active"/>
    <n v="3515"/>
    <s v="Smart TV"/>
    <s v="35-44"/>
    <s v="Late Night"/>
  </r>
  <r>
    <n v="7949"/>
    <s v="Phyllis"/>
    <x v="517"/>
    <d v="2024-11-21T00:00:00"/>
    <n v="22"/>
    <x v="1"/>
    <n v="263.78000000000003"/>
    <n v="301"/>
    <x v="5"/>
    <n v="5"/>
    <n v="4"/>
    <b v="0"/>
    <n v="906"/>
    <n v="141"/>
    <s v="Australia"/>
    <s v="Credit Card"/>
    <s v="Hindi"/>
    <n v="56"/>
    <x v="6"/>
    <b v="1"/>
    <s v="Active"/>
    <n v="1657"/>
    <s v="Desktop"/>
    <s v="35-44"/>
    <s v="Afternoon"/>
  </r>
  <r>
    <n v="5337"/>
    <s v="Travis"/>
    <x v="188"/>
    <d v="2024-11-28T00:00:00"/>
    <n v="3"/>
    <x v="0"/>
    <n v="23.97"/>
    <n v="357"/>
    <x v="4"/>
    <n v="2"/>
    <n v="4"/>
    <b v="1"/>
    <n v="245"/>
    <n v="116"/>
    <s v="France"/>
    <s v="Cryptocurrency"/>
    <s v="Mandarin"/>
    <n v="71"/>
    <x v="18"/>
    <b v="1"/>
    <s v="Active"/>
    <n v="2209"/>
    <s v="Smartphone"/>
    <s v="18-24"/>
    <s v="Late Night"/>
  </r>
  <r>
    <n v="8477"/>
    <s v="Aaron"/>
    <x v="41"/>
    <d v="2024-12-02T00:00:00"/>
    <n v="16"/>
    <x v="0"/>
    <n v="127.84"/>
    <n v="48"/>
    <x v="1"/>
    <n v="4"/>
    <n v="2"/>
    <b v="0"/>
    <n v="33"/>
    <n v="7"/>
    <s v="USA"/>
    <s v="PayPal"/>
    <s v="German"/>
    <n v="13"/>
    <x v="14"/>
    <b v="1"/>
    <s v="Active"/>
    <n v="1327"/>
    <s v="Smart TV"/>
    <s v="45-54"/>
    <s v="Morning"/>
  </r>
  <r>
    <n v="7673"/>
    <s v="Nina"/>
    <x v="37"/>
    <d v="2024-11-22T00:00:00"/>
    <n v="15"/>
    <x v="0"/>
    <n v="119.85000000000001"/>
    <n v="351"/>
    <x v="0"/>
    <n v="4"/>
    <n v="2"/>
    <b v="0"/>
    <n v="70"/>
    <n v="41"/>
    <s v="Germany"/>
    <s v="Cryptocurrency"/>
    <s v="Spanish"/>
    <n v="78"/>
    <x v="4"/>
    <b v="0"/>
    <s v="Active"/>
    <n v="4337"/>
    <s v="Smartphone"/>
    <s v="55+"/>
    <s v="Evening"/>
  </r>
  <r>
    <n v="6113"/>
    <s v="Stacy"/>
    <x v="343"/>
    <d v="2024-12-14T00:00:00"/>
    <n v="13"/>
    <x v="1"/>
    <n v="155.87"/>
    <n v="491"/>
    <x v="5"/>
    <n v="3"/>
    <n v="4"/>
    <b v="1"/>
    <n v="779"/>
    <n v="86"/>
    <s v="UK"/>
    <s v="Cryptocurrency"/>
    <s v="Hindi"/>
    <n v="85"/>
    <x v="9"/>
    <b v="1"/>
    <s v="Active"/>
    <n v="398"/>
    <s v="Laptop"/>
    <s v="55+"/>
    <s v="Evening"/>
  </r>
  <r>
    <n v="7457"/>
    <s v="Madison"/>
    <x v="278"/>
    <d v="2024-11-29T00:00:00"/>
    <n v="19"/>
    <x v="1"/>
    <n v="227.81"/>
    <n v="164"/>
    <x v="2"/>
    <n v="2"/>
    <n v="1"/>
    <b v="1"/>
    <n v="536"/>
    <n v="150"/>
    <s v="UK"/>
    <s v="Debit Card"/>
    <s v="Mandarin"/>
    <n v="7"/>
    <x v="7"/>
    <b v="1"/>
    <s v="Active"/>
    <n v="1508"/>
    <s v="Smartphone"/>
    <s v="45-54"/>
    <s v="Morning"/>
  </r>
  <r>
    <n v="6639"/>
    <s v="Victoria"/>
    <x v="81"/>
    <d v="2024-12-18T00:00:00"/>
    <n v="12"/>
    <x v="0"/>
    <n v="95.88"/>
    <n v="304"/>
    <x v="0"/>
    <n v="1"/>
    <n v="6"/>
    <b v="1"/>
    <n v="902"/>
    <n v="20"/>
    <s v="Germany"/>
    <s v="PayPal"/>
    <s v="Mandarin"/>
    <n v="62"/>
    <x v="12"/>
    <b v="1"/>
    <s v="Active"/>
    <n v="249"/>
    <s v="Desktop"/>
    <s v="35-44"/>
    <s v="Evening"/>
  </r>
  <r>
    <n v="5220"/>
    <s v="Justin"/>
    <x v="518"/>
    <d v="2024-12-08T00:00:00"/>
    <n v="15"/>
    <x v="0"/>
    <n v="119.85000000000001"/>
    <n v="166"/>
    <x v="4"/>
    <n v="2"/>
    <n v="3"/>
    <b v="1"/>
    <n v="493"/>
    <n v="168"/>
    <s v="USA"/>
    <s v="PayPal"/>
    <s v="English"/>
    <n v="55"/>
    <x v="15"/>
    <b v="1"/>
    <s v="Active"/>
    <n v="954"/>
    <s v="Laptop"/>
    <s v="18-24"/>
    <s v="Evening"/>
  </r>
  <r>
    <n v="6970"/>
    <s v="Tammy"/>
    <x v="107"/>
    <d v="2024-12-05T00:00:00"/>
    <n v="0"/>
    <x v="0"/>
    <n v="0"/>
    <n v="225"/>
    <x v="6"/>
    <n v="3"/>
    <n v="3"/>
    <b v="1"/>
    <n v="589"/>
    <n v="103"/>
    <s v="Canada"/>
    <s v="Credit Card"/>
    <s v="Hindi"/>
    <n v="93"/>
    <x v="7"/>
    <b v="1"/>
    <s v="Active"/>
    <n v="3313"/>
    <s v="Smart TV"/>
    <s v="35-44"/>
    <s v="Morning"/>
  </r>
  <r>
    <n v="6705"/>
    <s v="Joshua"/>
    <x v="519"/>
    <d v="2024-12-09T00:00:00"/>
    <n v="2"/>
    <x v="0"/>
    <n v="15.98"/>
    <n v="163"/>
    <x v="6"/>
    <n v="2"/>
    <n v="6"/>
    <b v="1"/>
    <n v="206"/>
    <n v="132"/>
    <s v="Germany"/>
    <s v="Debit Card"/>
    <s v="Hindi"/>
    <n v="63"/>
    <x v="17"/>
    <b v="1"/>
    <s v="Active"/>
    <n v="1790"/>
    <s v="Desktop"/>
    <s v="35-44"/>
    <s v="Evening"/>
  </r>
  <r>
    <n v="2477"/>
    <s v="Sara"/>
    <x v="152"/>
    <d v="2024-11-26T00:00:00"/>
    <n v="20"/>
    <x v="2"/>
    <n v="319.8"/>
    <n v="419"/>
    <x v="2"/>
    <n v="2"/>
    <n v="6"/>
    <b v="1"/>
    <n v="752"/>
    <n v="21"/>
    <s v="USA"/>
    <s v="Debit Card"/>
    <s v="Hindi"/>
    <n v="94"/>
    <x v="12"/>
    <b v="0"/>
    <s v="Active"/>
    <n v="2864"/>
    <s v="Desktop"/>
    <s v="35-44"/>
    <s v="Afternoon"/>
  </r>
  <r>
    <n v="6236"/>
    <s v="Benjamin"/>
    <x v="376"/>
    <d v="2024-11-22T00:00:00"/>
    <n v="20"/>
    <x v="1"/>
    <n v="239.8"/>
    <n v="293"/>
    <x v="0"/>
    <n v="2"/>
    <n v="3"/>
    <b v="0"/>
    <n v="514"/>
    <n v="68"/>
    <s v="India"/>
    <s v="Credit Card"/>
    <s v="Mandarin"/>
    <n v="4"/>
    <x v="9"/>
    <b v="0"/>
    <s v="Active"/>
    <n v="1872"/>
    <s v="Tablet"/>
    <s v="25-34"/>
    <s v="Late Night"/>
  </r>
  <r>
    <n v="4079"/>
    <s v="Kristen"/>
    <x v="466"/>
    <d v="2024-12-15T00:00:00"/>
    <n v="22"/>
    <x v="0"/>
    <n v="175.78"/>
    <n v="171"/>
    <x v="4"/>
    <n v="3"/>
    <n v="6"/>
    <b v="1"/>
    <n v="858"/>
    <n v="58"/>
    <s v="Germany"/>
    <s v="Debit Card"/>
    <s v="German"/>
    <n v="21"/>
    <x v="6"/>
    <b v="1"/>
    <s v="Active"/>
    <n v="2521"/>
    <s v="Smartphone"/>
    <s v="45-54"/>
    <s v="Afternoon"/>
  </r>
  <r>
    <n v="7927"/>
    <s v="Erika"/>
    <x v="517"/>
    <d v="2024-11-20T00:00:00"/>
    <n v="22"/>
    <x v="0"/>
    <n v="175.78"/>
    <n v="438"/>
    <x v="3"/>
    <n v="4"/>
    <n v="3"/>
    <b v="0"/>
    <n v="970"/>
    <n v="59"/>
    <s v="Germany"/>
    <s v="Credit Card"/>
    <s v="Spanish"/>
    <n v="78"/>
    <x v="3"/>
    <b v="1"/>
    <s v="Active"/>
    <n v="4426"/>
    <s v="Tablet"/>
    <s v="55+"/>
    <s v="Late Night"/>
  </r>
  <r>
    <n v="5059"/>
    <s v="Robert"/>
    <x v="436"/>
    <d v="2024-11-27T00:00:00"/>
    <n v="2"/>
    <x v="1"/>
    <n v="23.98"/>
    <n v="247"/>
    <x v="5"/>
    <n v="4"/>
    <n v="4"/>
    <b v="0"/>
    <n v="510"/>
    <n v="87"/>
    <s v="Australia"/>
    <s v="Debit Card"/>
    <s v="Mandarin"/>
    <n v="99"/>
    <x v="17"/>
    <b v="0"/>
    <s v="Active"/>
    <n v="3100"/>
    <s v="Smart TV"/>
    <s v="45-54"/>
    <s v="Afternoon"/>
  </r>
  <r>
    <n v="4210"/>
    <s v="Paul"/>
    <x v="520"/>
    <d v="2024-11-26T00:00:00"/>
    <n v="11"/>
    <x v="1"/>
    <n v="131.89000000000001"/>
    <n v="85"/>
    <x v="4"/>
    <n v="1"/>
    <n v="2"/>
    <b v="0"/>
    <n v="770"/>
    <n v="132"/>
    <s v="UK"/>
    <s v="Debit Card"/>
    <s v="Spanish"/>
    <n v="99"/>
    <x v="16"/>
    <b v="0"/>
    <s v="Active"/>
    <n v="4273"/>
    <s v="Tablet"/>
    <s v="35-44"/>
    <s v="Morning"/>
  </r>
  <r>
    <n v="5054"/>
    <s v="Robert"/>
    <x v="517"/>
    <d v="2024-11-30T00:00:00"/>
    <n v="22"/>
    <x v="1"/>
    <n v="263.78000000000003"/>
    <n v="203"/>
    <x v="3"/>
    <n v="5"/>
    <n v="2"/>
    <b v="0"/>
    <n v="903"/>
    <n v="19"/>
    <s v="Canada"/>
    <s v="Credit Card"/>
    <s v="Hindi"/>
    <n v="76"/>
    <x v="3"/>
    <b v="0"/>
    <s v="Active"/>
    <n v="1254"/>
    <s v="Laptop"/>
    <s v="45-54"/>
    <s v="Morning"/>
  </r>
  <r>
    <n v="5836"/>
    <s v="Bianca"/>
    <x v="175"/>
    <d v="2024-11-21T00:00:00"/>
    <n v="3"/>
    <x v="2"/>
    <n v="47.97"/>
    <n v="219"/>
    <x v="2"/>
    <n v="1"/>
    <n v="5"/>
    <b v="1"/>
    <n v="347"/>
    <n v="55"/>
    <s v="France"/>
    <s v="Cryptocurrency"/>
    <s v="Mandarin"/>
    <n v="64"/>
    <x v="3"/>
    <b v="1"/>
    <s v="Active"/>
    <n v="4817"/>
    <s v="Smart TV"/>
    <s v="35-44"/>
    <s v="Evening"/>
  </r>
  <r>
    <n v="8612"/>
    <s v="Joseph"/>
    <x v="172"/>
    <d v="2024-12-18T00:00:00"/>
    <n v="9"/>
    <x v="0"/>
    <n v="71.91"/>
    <n v="285"/>
    <x v="5"/>
    <n v="5"/>
    <n v="5"/>
    <b v="0"/>
    <n v="600"/>
    <n v="109"/>
    <s v="Germany"/>
    <s v="Cryptocurrency"/>
    <s v="Mandarin"/>
    <n v="76"/>
    <x v="1"/>
    <b v="0"/>
    <s v="Active"/>
    <n v="2330"/>
    <s v="Smartphone"/>
    <s v="25-34"/>
    <s v="Morning"/>
  </r>
  <r>
    <n v="7445"/>
    <s v="Lauren"/>
    <x v="22"/>
    <d v="2024-11-23T00:00:00"/>
    <n v="12"/>
    <x v="2"/>
    <n v="191.88"/>
    <n v="115"/>
    <x v="4"/>
    <n v="2"/>
    <n v="6"/>
    <b v="1"/>
    <n v="583"/>
    <n v="127"/>
    <s v="USA"/>
    <s v="Credit Card"/>
    <s v="English"/>
    <n v="0"/>
    <x v="10"/>
    <b v="0"/>
    <s v="Active"/>
    <n v="244"/>
    <s v="Desktop"/>
    <s v="35-44"/>
    <s v="Late Night"/>
  </r>
  <r>
    <n v="6135"/>
    <s v="Carol"/>
    <x v="243"/>
    <d v="2024-11-21T00:00:00"/>
    <n v="1"/>
    <x v="0"/>
    <n v="7.99"/>
    <n v="322"/>
    <x v="1"/>
    <n v="1"/>
    <n v="5"/>
    <b v="1"/>
    <n v="446"/>
    <n v="114"/>
    <s v="Australia"/>
    <s v="Credit Card"/>
    <s v="English"/>
    <n v="84"/>
    <x v="6"/>
    <b v="1"/>
    <s v="Active"/>
    <n v="1539"/>
    <s v="Tablet"/>
    <s v="25-34"/>
    <s v="Late Night"/>
  </r>
  <r>
    <n v="3168"/>
    <s v="Alicia"/>
    <x v="453"/>
    <d v="2024-11-21T00:00:00"/>
    <n v="7"/>
    <x v="0"/>
    <n v="55.93"/>
    <n v="348"/>
    <x v="0"/>
    <n v="2"/>
    <n v="2"/>
    <b v="1"/>
    <n v="797"/>
    <n v="81"/>
    <s v="Australia"/>
    <s v="PayPal"/>
    <s v="Spanish"/>
    <n v="12"/>
    <x v="19"/>
    <b v="1"/>
    <s v="Active"/>
    <n v="2657"/>
    <s v="Smart TV"/>
    <s v="45-54"/>
    <s v="Morning"/>
  </r>
  <r>
    <n v="2981"/>
    <s v="Laura"/>
    <x v="442"/>
    <d v="2024-12-03T00:00:00"/>
    <n v="6"/>
    <x v="1"/>
    <n v="71.94"/>
    <n v="482"/>
    <x v="2"/>
    <n v="5"/>
    <n v="2"/>
    <b v="1"/>
    <n v="665"/>
    <n v="96"/>
    <s v="France"/>
    <s v="Debit Card"/>
    <s v="Spanish"/>
    <n v="24"/>
    <x v="9"/>
    <b v="1"/>
    <s v="Active"/>
    <n v="4851"/>
    <s v="Smartphone"/>
    <s v="18-24"/>
    <s v="Afternoon"/>
  </r>
  <r>
    <n v="7739"/>
    <s v="Ryan"/>
    <x v="521"/>
    <d v="2024-12-11T00:00:00"/>
    <n v="20"/>
    <x v="0"/>
    <n v="159.80000000000001"/>
    <n v="384"/>
    <x v="2"/>
    <n v="4"/>
    <n v="3"/>
    <b v="1"/>
    <n v="188"/>
    <n v="140"/>
    <s v="France"/>
    <s v="Cryptocurrency"/>
    <s v="French"/>
    <n v="78"/>
    <x v="12"/>
    <b v="0"/>
    <s v="Active"/>
    <n v="2341"/>
    <s v="Smartphone"/>
    <s v="25-34"/>
    <s v="Afternoon"/>
  </r>
  <r>
    <n v="5905"/>
    <s v="Brian"/>
    <x v="356"/>
    <d v="2024-12-09T00:00:00"/>
    <n v="9"/>
    <x v="2"/>
    <n v="143.91"/>
    <n v="178"/>
    <x v="5"/>
    <n v="5"/>
    <n v="5"/>
    <b v="0"/>
    <n v="489"/>
    <n v="6"/>
    <s v="India"/>
    <s v="PayPal"/>
    <s v="Spanish"/>
    <n v="72"/>
    <x v="6"/>
    <b v="0"/>
    <s v="Active"/>
    <n v="3356"/>
    <s v="Tablet"/>
    <s v="55+"/>
    <s v="Late Night"/>
  </r>
  <r>
    <n v="1443"/>
    <s v="Sandra"/>
    <x v="522"/>
    <d v="2024-12-17T00:00:00"/>
    <n v="17"/>
    <x v="1"/>
    <n v="203.83"/>
    <n v="91"/>
    <x v="1"/>
    <n v="1"/>
    <n v="2"/>
    <b v="0"/>
    <n v="377"/>
    <n v="14"/>
    <s v="USA"/>
    <s v="Credit Card"/>
    <s v="German"/>
    <n v="53"/>
    <x v="3"/>
    <b v="0"/>
    <s v="Active"/>
    <n v="228"/>
    <s v="Tablet"/>
    <s v="55+"/>
    <s v="Late Night"/>
  </r>
  <r>
    <n v="6181"/>
    <s v="Krista"/>
    <x v="129"/>
    <d v="2024-12-05T00:00:00"/>
    <n v="0"/>
    <x v="1"/>
    <n v="0"/>
    <n v="175"/>
    <x v="4"/>
    <n v="4"/>
    <n v="3"/>
    <b v="1"/>
    <n v="424"/>
    <n v="125"/>
    <s v="UK"/>
    <s v="Credit Card"/>
    <s v="French"/>
    <n v="13"/>
    <x v="9"/>
    <b v="1"/>
    <s v="Active"/>
    <n v="2821"/>
    <s v="Smart TV"/>
    <s v="35-44"/>
    <s v="Evening"/>
  </r>
  <r>
    <n v="8406"/>
    <s v="Jeremiah"/>
    <x v="22"/>
    <d v="2024-12-14T00:00:00"/>
    <n v="12"/>
    <x v="1"/>
    <n v="143.88"/>
    <n v="187"/>
    <x v="0"/>
    <n v="5"/>
    <n v="5"/>
    <b v="1"/>
    <n v="491"/>
    <n v="197"/>
    <s v="UK"/>
    <s v="PayPal"/>
    <s v="French"/>
    <n v="54"/>
    <x v="0"/>
    <b v="1"/>
    <s v="Active"/>
    <n v="4380"/>
    <s v="Smartphone"/>
    <s v="35-44"/>
    <s v="Late Night"/>
  </r>
  <r>
    <n v="5389"/>
    <s v="Leon"/>
    <x v="523"/>
    <d v="2024-11-29T00:00:00"/>
    <n v="6"/>
    <x v="1"/>
    <n v="71.94"/>
    <n v="352"/>
    <x v="1"/>
    <n v="4"/>
    <n v="1"/>
    <b v="0"/>
    <n v="521"/>
    <n v="128"/>
    <s v="Germany"/>
    <s v="Cryptocurrency"/>
    <s v="English"/>
    <n v="59"/>
    <x v="3"/>
    <b v="1"/>
    <s v="Active"/>
    <n v="2131"/>
    <s v="Desktop"/>
    <s v="45-54"/>
    <s v="Afternoon"/>
  </r>
  <r>
    <n v="4586"/>
    <s v="Tracey"/>
    <x v="82"/>
    <d v="2024-12-01T00:00:00"/>
    <n v="13"/>
    <x v="0"/>
    <n v="103.87"/>
    <n v="448"/>
    <x v="0"/>
    <n v="3"/>
    <n v="4"/>
    <b v="1"/>
    <n v="506"/>
    <n v="193"/>
    <s v="Germany"/>
    <s v="Debit Card"/>
    <s v="Spanish"/>
    <n v="79"/>
    <x v="5"/>
    <b v="0"/>
    <s v="Active"/>
    <n v="3589"/>
    <s v="Smart TV"/>
    <s v="25-34"/>
    <s v="Late Night"/>
  </r>
  <r>
    <n v="4020"/>
    <s v="Edward"/>
    <x v="357"/>
    <d v="2024-12-02T00:00:00"/>
    <n v="8"/>
    <x v="2"/>
    <n v="127.92"/>
    <n v="81"/>
    <x v="2"/>
    <n v="1"/>
    <n v="6"/>
    <b v="0"/>
    <n v="390"/>
    <n v="43"/>
    <s v="UK"/>
    <s v="Debit Card"/>
    <s v="Mandarin"/>
    <n v="33"/>
    <x v="1"/>
    <b v="0"/>
    <s v="Active"/>
    <n v="4162"/>
    <s v="Desktop"/>
    <s v="45-54"/>
    <s v="Afternoon"/>
  </r>
  <r>
    <n v="1635"/>
    <s v="Larry"/>
    <x v="265"/>
    <d v="2024-12-05T00:00:00"/>
    <n v="11"/>
    <x v="2"/>
    <n v="175.89000000000001"/>
    <n v="321"/>
    <x v="2"/>
    <n v="1"/>
    <n v="5"/>
    <b v="1"/>
    <n v="276"/>
    <n v="182"/>
    <s v="Australia"/>
    <s v="Cryptocurrency"/>
    <s v="Mandarin"/>
    <n v="52"/>
    <x v="11"/>
    <b v="1"/>
    <s v="Active"/>
    <n v="1013"/>
    <s v="Smart TV"/>
    <s v="35-44"/>
    <s v="Afternoon"/>
  </r>
  <r>
    <n v="9257"/>
    <s v="Jonathan"/>
    <x v="524"/>
    <d v="2024-11-29T00:00:00"/>
    <n v="5"/>
    <x v="0"/>
    <n v="39.950000000000003"/>
    <n v="114"/>
    <x v="4"/>
    <n v="1"/>
    <n v="1"/>
    <b v="1"/>
    <n v="896"/>
    <n v="9"/>
    <s v="Australia"/>
    <s v="Debit Card"/>
    <s v="Mandarin"/>
    <n v="60"/>
    <x v="7"/>
    <b v="0"/>
    <s v="Active"/>
    <n v="2731"/>
    <s v="Desktop"/>
    <s v="18-24"/>
    <s v="Morning"/>
  </r>
  <r>
    <n v="6380"/>
    <s v="Jennifer"/>
    <x v="42"/>
    <d v="2024-12-14T00:00:00"/>
    <n v="20"/>
    <x v="0"/>
    <n v="159.80000000000001"/>
    <n v="493"/>
    <x v="1"/>
    <n v="5"/>
    <n v="2"/>
    <b v="1"/>
    <n v="29"/>
    <n v="82"/>
    <s v="India"/>
    <s v="Cryptocurrency"/>
    <s v="Hindi"/>
    <n v="64"/>
    <x v="15"/>
    <b v="0"/>
    <s v="Active"/>
    <n v="833"/>
    <s v="Smartphone"/>
    <s v="18-24"/>
    <s v="Evening"/>
  </r>
  <r>
    <n v="6385"/>
    <s v="Travis"/>
    <x v="479"/>
    <d v="2024-11-28T00:00:00"/>
    <n v="16"/>
    <x v="1"/>
    <n v="191.84"/>
    <n v="475"/>
    <x v="3"/>
    <n v="1"/>
    <n v="5"/>
    <b v="0"/>
    <n v="523"/>
    <n v="30"/>
    <s v="Germany"/>
    <s v="Cryptocurrency"/>
    <s v="German"/>
    <n v="2"/>
    <x v="14"/>
    <b v="0"/>
    <s v="Active"/>
    <n v="2428"/>
    <s v="Smartphone"/>
    <s v="18-24"/>
    <s v="Late Night"/>
  </r>
  <r>
    <n v="6858"/>
    <s v="Michelle"/>
    <x v="525"/>
    <d v="2024-12-12T00:00:00"/>
    <n v="11"/>
    <x v="1"/>
    <n v="131.89000000000001"/>
    <n v="287"/>
    <x v="3"/>
    <n v="1"/>
    <n v="2"/>
    <b v="0"/>
    <n v="918"/>
    <n v="82"/>
    <s v="India"/>
    <s v="Debit Card"/>
    <s v="German"/>
    <n v="81"/>
    <x v="7"/>
    <b v="0"/>
    <s v="Active"/>
    <n v="4555"/>
    <s v="Smart TV"/>
    <s v="55+"/>
    <s v="Afternoon"/>
  </r>
  <r>
    <n v="8875"/>
    <s v="Larry"/>
    <x v="10"/>
    <d v="2024-12-17T00:00:00"/>
    <n v="20"/>
    <x v="2"/>
    <n v="319.8"/>
    <n v="138"/>
    <x v="0"/>
    <n v="5"/>
    <n v="2"/>
    <b v="0"/>
    <n v="40"/>
    <n v="166"/>
    <s v="UK"/>
    <s v="Cryptocurrency"/>
    <s v="French"/>
    <n v="83"/>
    <x v="18"/>
    <b v="0"/>
    <s v="Active"/>
    <n v="4777"/>
    <s v="Tablet"/>
    <s v="25-34"/>
    <s v="Morning"/>
  </r>
  <r>
    <n v="3334"/>
    <s v="Kenneth"/>
    <x v="453"/>
    <d v="2024-12-05T00:00:00"/>
    <n v="7"/>
    <x v="2"/>
    <n v="111.93"/>
    <n v="198"/>
    <x v="0"/>
    <n v="3"/>
    <n v="1"/>
    <b v="1"/>
    <n v="614"/>
    <n v="69"/>
    <s v="France"/>
    <s v="PayPal"/>
    <s v="Spanish"/>
    <n v="27"/>
    <x v="10"/>
    <b v="1"/>
    <s v="Active"/>
    <n v="459"/>
    <s v="Smartphone"/>
    <s v="25-34"/>
    <s v="Late Night"/>
  </r>
  <r>
    <n v="5850"/>
    <s v="Joshua"/>
    <x v="439"/>
    <d v="2024-12-11T00:00:00"/>
    <n v="16"/>
    <x v="2"/>
    <n v="255.84"/>
    <n v="164"/>
    <x v="0"/>
    <n v="2"/>
    <n v="1"/>
    <b v="0"/>
    <n v="833"/>
    <n v="89"/>
    <s v="France"/>
    <s v="Cryptocurrency"/>
    <s v="Spanish"/>
    <n v="32"/>
    <x v="11"/>
    <b v="0"/>
    <s v="Active"/>
    <n v="2644"/>
    <s v="Smart TV"/>
    <s v="18-24"/>
    <s v="Evening"/>
  </r>
  <r>
    <n v="8593"/>
    <s v="James"/>
    <x v="294"/>
    <d v="2024-12-10T00:00:00"/>
    <n v="4"/>
    <x v="2"/>
    <n v="63.96"/>
    <n v="65"/>
    <x v="4"/>
    <n v="4"/>
    <n v="3"/>
    <b v="0"/>
    <n v="238"/>
    <n v="39"/>
    <s v="France"/>
    <s v="Cryptocurrency"/>
    <s v="German"/>
    <n v="23"/>
    <x v="9"/>
    <b v="0"/>
    <s v="Active"/>
    <n v="2678"/>
    <s v="Smart TV"/>
    <s v="45-54"/>
    <s v="Evening"/>
  </r>
  <r>
    <n v="6278"/>
    <s v="Richard"/>
    <x v="157"/>
    <d v="2024-11-25T00:00:00"/>
    <n v="17"/>
    <x v="0"/>
    <n v="135.83000000000001"/>
    <n v="388"/>
    <x v="1"/>
    <n v="1"/>
    <n v="6"/>
    <b v="1"/>
    <n v="861"/>
    <n v="59"/>
    <s v="USA"/>
    <s v="Debit Card"/>
    <s v="Hindi"/>
    <n v="42"/>
    <x v="16"/>
    <b v="0"/>
    <s v="Active"/>
    <n v="1129"/>
    <s v="Laptop"/>
    <s v="45-54"/>
    <s v="Morning"/>
  </r>
  <r>
    <n v="1388"/>
    <s v="Michael"/>
    <x v="246"/>
    <d v="2024-12-10T00:00:00"/>
    <n v="10"/>
    <x v="2"/>
    <n v="159.9"/>
    <n v="412"/>
    <x v="6"/>
    <n v="3"/>
    <n v="3"/>
    <b v="1"/>
    <n v="999"/>
    <n v="127"/>
    <s v="USA"/>
    <s v="Cryptocurrency"/>
    <s v="Hindi"/>
    <n v="4"/>
    <x v="1"/>
    <b v="0"/>
    <s v="Active"/>
    <n v="1258"/>
    <s v="Desktop"/>
    <s v="18-24"/>
    <s v="Late Night"/>
  </r>
  <r>
    <n v="2521"/>
    <s v="Jessica"/>
    <x v="526"/>
    <d v="2024-11-27T00:00:00"/>
    <n v="6"/>
    <x v="2"/>
    <n v="95.94"/>
    <n v="267"/>
    <x v="0"/>
    <n v="4"/>
    <n v="4"/>
    <b v="0"/>
    <n v="118"/>
    <n v="6"/>
    <s v="USA"/>
    <s v="Cryptocurrency"/>
    <s v="English"/>
    <n v="57"/>
    <x v="19"/>
    <b v="0"/>
    <s v="Active"/>
    <n v="3213"/>
    <s v="Smartphone"/>
    <s v="55+"/>
    <s v="Evening"/>
  </r>
  <r>
    <n v="1269"/>
    <s v="Helen"/>
    <x v="527"/>
    <d v="2024-11-29T00:00:00"/>
    <n v="22"/>
    <x v="2"/>
    <n v="351.78000000000003"/>
    <n v="29"/>
    <x v="0"/>
    <n v="3"/>
    <n v="2"/>
    <b v="0"/>
    <n v="404"/>
    <n v="177"/>
    <s v="USA"/>
    <s v="Cryptocurrency"/>
    <s v="Spanish"/>
    <n v="81"/>
    <x v="16"/>
    <b v="0"/>
    <s v="Active"/>
    <n v="4127"/>
    <s v="Tablet"/>
    <s v="18-24"/>
    <s v="Evening"/>
  </r>
  <r>
    <n v="9959"/>
    <s v="Dustin"/>
    <x v="281"/>
    <d v="2024-12-10T00:00:00"/>
    <n v="2"/>
    <x v="2"/>
    <n v="31.98"/>
    <n v="454"/>
    <x v="0"/>
    <n v="5"/>
    <n v="6"/>
    <b v="1"/>
    <n v="938"/>
    <n v="75"/>
    <s v="Germany"/>
    <s v="Debit Card"/>
    <s v="German"/>
    <n v="51"/>
    <x v="2"/>
    <b v="0"/>
    <s v="Active"/>
    <n v="1961"/>
    <s v="Smart TV"/>
    <s v="25-34"/>
    <s v="Afternoon"/>
  </r>
  <r>
    <n v="7549"/>
    <s v="Jeremiah"/>
    <x v="118"/>
    <d v="2024-11-28T00:00:00"/>
    <n v="5"/>
    <x v="2"/>
    <n v="79.95"/>
    <n v="119"/>
    <x v="6"/>
    <n v="1"/>
    <n v="5"/>
    <b v="1"/>
    <n v="112"/>
    <n v="181"/>
    <s v="France"/>
    <s v="Credit Card"/>
    <s v="German"/>
    <n v="47"/>
    <x v="7"/>
    <b v="1"/>
    <s v="Active"/>
    <n v="1708"/>
    <s v="Desktop"/>
    <s v="18-24"/>
    <s v="Afternoon"/>
  </r>
  <r>
    <n v="4747"/>
    <s v="John"/>
    <x v="528"/>
    <d v="2024-12-09T00:00:00"/>
    <n v="9"/>
    <x v="1"/>
    <n v="107.91"/>
    <n v="311"/>
    <x v="0"/>
    <n v="5"/>
    <n v="1"/>
    <b v="1"/>
    <n v="430"/>
    <n v="188"/>
    <s v="UK"/>
    <s v="Credit Card"/>
    <s v="French"/>
    <n v="78"/>
    <x v="16"/>
    <b v="1"/>
    <s v="Active"/>
    <n v="2288"/>
    <s v="Smart TV"/>
    <s v="55+"/>
    <s v="Morning"/>
  </r>
  <r>
    <n v="8320"/>
    <s v="Heather"/>
    <x v="289"/>
    <d v="2024-12-09T00:00:00"/>
    <n v="11"/>
    <x v="2"/>
    <n v="175.89000000000001"/>
    <n v="122"/>
    <x v="5"/>
    <n v="2"/>
    <n v="2"/>
    <b v="0"/>
    <n v="626"/>
    <n v="69"/>
    <s v="USA"/>
    <s v="PayPal"/>
    <s v="Mandarin"/>
    <n v="17"/>
    <x v="18"/>
    <b v="1"/>
    <s v="Active"/>
    <n v="4570"/>
    <s v="Laptop"/>
    <s v="35-44"/>
    <s v="Morning"/>
  </r>
  <r>
    <n v="1333"/>
    <s v="Mark"/>
    <x v="529"/>
    <d v="2024-11-19T00:00:00"/>
    <n v="7"/>
    <x v="2"/>
    <n v="111.93"/>
    <n v="300"/>
    <x v="2"/>
    <n v="5"/>
    <n v="4"/>
    <b v="1"/>
    <n v="819"/>
    <n v="143"/>
    <s v="Canada"/>
    <s v="Credit Card"/>
    <s v="German"/>
    <n v="23"/>
    <x v="19"/>
    <b v="0"/>
    <s v="Active"/>
    <n v="2547"/>
    <s v="Desktop"/>
    <s v="45-54"/>
    <s v="Evening"/>
  </r>
  <r>
    <n v="5254"/>
    <s v="Thomas"/>
    <x v="281"/>
    <d v="2024-11-30T00:00:00"/>
    <n v="2"/>
    <x v="2"/>
    <n v="31.98"/>
    <n v="59"/>
    <x v="6"/>
    <n v="4"/>
    <n v="3"/>
    <b v="0"/>
    <n v="718"/>
    <n v="3"/>
    <s v="Canada"/>
    <s v="Debit Card"/>
    <s v="German"/>
    <n v="43"/>
    <x v="18"/>
    <b v="1"/>
    <s v="Active"/>
    <n v="4655"/>
    <s v="Desktop"/>
    <s v="18-24"/>
    <s v="Late Night"/>
  </r>
  <r>
    <n v="6842"/>
    <s v="Cody"/>
    <x v="31"/>
    <d v="2024-12-08T00:00:00"/>
    <n v="17"/>
    <x v="2"/>
    <n v="271.83"/>
    <n v="34"/>
    <x v="1"/>
    <n v="1"/>
    <n v="4"/>
    <b v="1"/>
    <n v="109"/>
    <n v="174"/>
    <s v="Canada"/>
    <s v="Debit Card"/>
    <s v="Hindi"/>
    <n v="74"/>
    <x v="16"/>
    <b v="1"/>
    <s v="Active"/>
    <n v="1656"/>
    <s v="Tablet"/>
    <s v="55+"/>
    <s v="Late Night"/>
  </r>
  <r>
    <n v="9333"/>
    <s v="Jonathon"/>
    <x v="530"/>
    <d v="2024-12-17T00:00:00"/>
    <n v="12"/>
    <x v="1"/>
    <n v="143.88"/>
    <n v="23"/>
    <x v="5"/>
    <n v="2"/>
    <n v="1"/>
    <b v="0"/>
    <n v="544"/>
    <n v="25"/>
    <s v="India"/>
    <s v="Cryptocurrency"/>
    <s v="German"/>
    <n v="47"/>
    <x v="10"/>
    <b v="0"/>
    <s v="Active"/>
    <n v="2761"/>
    <s v="Laptop"/>
    <s v="25-34"/>
    <s v="Evening"/>
  </r>
  <r>
    <n v="9122"/>
    <s v="Kyle"/>
    <x v="531"/>
    <d v="2024-12-11T00:00:00"/>
    <n v="4"/>
    <x v="2"/>
    <n v="63.96"/>
    <n v="168"/>
    <x v="0"/>
    <n v="3"/>
    <n v="2"/>
    <b v="1"/>
    <n v="25"/>
    <n v="171"/>
    <s v="France"/>
    <s v="PayPal"/>
    <s v="Hindi"/>
    <n v="79"/>
    <x v="1"/>
    <b v="0"/>
    <s v="Active"/>
    <n v="773"/>
    <s v="Desktop"/>
    <s v="25-34"/>
    <s v="Evening"/>
  </r>
  <r>
    <n v="6221"/>
    <s v="Jessica"/>
    <x v="160"/>
    <d v="2024-11-25T00:00:00"/>
    <n v="0"/>
    <x v="1"/>
    <n v="0"/>
    <n v="306"/>
    <x v="0"/>
    <n v="5"/>
    <n v="1"/>
    <b v="1"/>
    <n v="513"/>
    <n v="70"/>
    <s v="USA"/>
    <s v="Credit Card"/>
    <s v="Spanish"/>
    <n v="86"/>
    <x v="4"/>
    <b v="0"/>
    <s v="Active"/>
    <n v="1652"/>
    <s v="Desktop"/>
    <s v="18-24"/>
    <s v="Late Night"/>
  </r>
  <r>
    <n v="9957"/>
    <s v="Richard"/>
    <x v="532"/>
    <d v="2024-12-13T00:00:00"/>
    <n v="13"/>
    <x v="2"/>
    <n v="207.87"/>
    <n v="433"/>
    <x v="3"/>
    <n v="2"/>
    <n v="6"/>
    <b v="1"/>
    <n v="1000"/>
    <n v="48"/>
    <s v="France"/>
    <s v="Debit Card"/>
    <s v="Spanish"/>
    <n v="92"/>
    <x v="4"/>
    <b v="0"/>
    <s v="Active"/>
    <n v="1037"/>
    <s v="Tablet"/>
    <s v="55+"/>
    <s v="Late Night"/>
  </r>
  <r>
    <n v="4680"/>
    <s v="Alexandria"/>
    <x v="533"/>
    <d v="2024-12-11T00:00:00"/>
    <n v="0"/>
    <x v="1"/>
    <n v="0"/>
    <n v="221"/>
    <x v="6"/>
    <n v="5"/>
    <n v="5"/>
    <b v="1"/>
    <n v="749"/>
    <n v="66"/>
    <s v="USA"/>
    <s v="Cryptocurrency"/>
    <s v="German"/>
    <n v="37"/>
    <x v="0"/>
    <b v="1"/>
    <s v="Active"/>
    <n v="4505"/>
    <s v="Smart TV"/>
    <s v="35-44"/>
    <s v="Afternoon"/>
  </r>
  <r>
    <n v="5974"/>
    <s v="Spencer"/>
    <x v="76"/>
    <d v="2024-11-23T00:00:00"/>
    <n v="1"/>
    <x v="2"/>
    <n v="15.99"/>
    <n v="236"/>
    <x v="3"/>
    <n v="3"/>
    <n v="5"/>
    <b v="1"/>
    <n v="600"/>
    <n v="199"/>
    <s v="UK"/>
    <s v="Cryptocurrency"/>
    <s v="German"/>
    <n v="56"/>
    <x v="4"/>
    <b v="0"/>
    <s v="Active"/>
    <n v="3648"/>
    <s v="Tablet"/>
    <s v="18-24"/>
    <s v="Evening"/>
  </r>
  <r>
    <n v="6938"/>
    <s v="Diana"/>
    <x v="170"/>
    <d v="2024-12-12T00:00:00"/>
    <n v="7"/>
    <x v="1"/>
    <n v="83.93"/>
    <n v="75"/>
    <x v="0"/>
    <n v="4"/>
    <n v="6"/>
    <b v="0"/>
    <n v="897"/>
    <n v="59"/>
    <s v="Germany"/>
    <s v="Credit Card"/>
    <s v="Hindi"/>
    <n v="11"/>
    <x v="15"/>
    <b v="0"/>
    <s v="Active"/>
    <n v="4015"/>
    <s v="Desktop"/>
    <s v="18-24"/>
    <s v="Afternoon"/>
  </r>
  <r>
    <n v="1175"/>
    <s v="Todd"/>
    <x v="534"/>
    <d v="2024-11-21T00:00:00"/>
    <n v="8"/>
    <x v="2"/>
    <n v="127.92"/>
    <n v="325"/>
    <x v="5"/>
    <n v="3"/>
    <n v="6"/>
    <b v="1"/>
    <n v="412"/>
    <n v="117"/>
    <s v="Germany"/>
    <s v="Credit Card"/>
    <s v="Hindi"/>
    <n v="48"/>
    <x v="1"/>
    <b v="1"/>
    <s v="Active"/>
    <n v="2050"/>
    <s v="Tablet"/>
    <s v="25-34"/>
    <s v="Afternoon"/>
  </r>
  <r>
    <n v="1260"/>
    <s v="Harold"/>
    <x v="534"/>
    <d v="2024-12-03T00:00:00"/>
    <n v="8"/>
    <x v="0"/>
    <n v="63.92"/>
    <n v="217"/>
    <x v="3"/>
    <n v="5"/>
    <n v="2"/>
    <b v="0"/>
    <n v="669"/>
    <n v="155"/>
    <s v="Germany"/>
    <s v="Debit Card"/>
    <s v="Mandarin"/>
    <n v="40"/>
    <x v="14"/>
    <b v="1"/>
    <s v="Active"/>
    <n v="2390"/>
    <s v="Tablet"/>
    <s v="35-44"/>
    <s v="Late Night"/>
  </r>
  <r>
    <n v="4645"/>
    <s v="Stephanie"/>
    <x v="535"/>
    <d v="2024-12-14T00:00:00"/>
    <n v="18"/>
    <x v="0"/>
    <n v="143.82"/>
    <n v="178"/>
    <x v="0"/>
    <n v="4"/>
    <n v="5"/>
    <b v="1"/>
    <n v="323"/>
    <n v="130"/>
    <s v="Germany"/>
    <s v="Cryptocurrency"/>
    <s v="French"/>
    <n v="29"/>
    <x v="8"/>
    <b v="1"/>
    <s v="Active"/>
    <n v="3079"/>
    <s v="Desktop"/>
    <s v="35-44"/>
    <s v="Afternoon"/>
  </r>
  <r>
    <n v="1637"/>
    <s v="Kimberly"/>
    <x v="536"/>
    <d v="2024-11-19T00:00:00"/>
    <n v="7"/>
    <x v="2"/>
    <n v="111.93"/>
    <n v="74"/>
    <x v="2"/>
    <n v="4"/>
    <n v="3"/>
    <b v="1"/>
    <n v="646"/>
    <n v="38"/>
    <s v="UK"/>
    <s v="Cryptocurrency"/>
    <s v="Hindi"/>
    <n v="37"/>
    <x v="13"/>
    <b v="0"/>
    <s v="Active"/>
    <n v="4111"/>
    <s v="Tablet"/>
    <s v="45-54"/>
    <s v="Late Night"/>
  </r>
  <r>
    <n v="7960"/>
    <s v="Pamela"/>
    <x v="527"/>
    <d v="2024-11-22T00:00:00"/>
    <n v="22"/>
    <x v="2"/>
    <n v="351.78000000000003"/>
    <n v="373"/>
    <x v="5"/>
    <n v="1"/>
    <n v="3"/>
    <b v="0"/>
    <n v="507"/>
    <n v="130"/>
    <s v="Canada"/>
    <s v="Credit Card"/>
    <s v="English"/>
    <n v="41"/>
    <x v="0"/>
    <b v="1"/>
    <s v="Active"/>
    <n v="3221"/>
    <s v="Smartphone"/>
    <s v="18-24"/>
    <s v="Morning"/>
  </r>
  <r>
    <n v="9693"/>
    <s v="Gregg"/>
    <x v="28"/>
    <d v="2024-11-30T00:00:00"/>
    <n v="8"/>
    <x v="2"/>
    <n v="127.92"/>
    <n v="64"/>
    <x v="5"/>
    <n v="5"/>
    <n v="1"/>
    <b v="0"/>
    <n v="881"/>
    <n v="15"/>
    <s v="UK"/>
    <s v="PayPal"/>
    <s v="Mandarin"/>
    <n v="22"/>
    <x v="10"/>
    <b v="0"/>
    <s v="Active"/>
    <n v="2461"/>
    <s v="Tablet"/>
    <s v="18-24"/>
    <s v="Afternoon"/>
  </r>
  <r>
    <n v="8743"/>
    <s v="Katherine"/>
    <x v="27"/>
    <d v="2024-11-25T00:00:00"/>
    <n v="9"/>
    <x v="1"/>
    <n v="107.91"/>
    <n v="129"/>
    <x v="0"/>
    <n v="3"/>
    <n v="5"/>
    <b v="1"/>
    <n v="594"/>
    <n v="127"/>
    <s v="India"/>
    <s v="PayPal"/>
    <s v="German"/>
    <n v="79"/>
    <x v="12"/>
    <b v="0"/>
    <s v="Active"/>
    <n v="2858"/>
    <s v="Smartphone"/>
    <s v="45-54"/>
    <s v="Morning"/>
  </r>
  <r>
    <n v="3379"/>
    <s v="Grant"/>
    <x v="199"/>
    <d v="2024-12-12T00:00:00"/>
    <n v="15"/>
    <x v="2"/>
    <n v="239.85"/>
    <n v="297"/>
    <x v="2"/>
    <n v="3"/>
    <n v="1"/>
    <b v="1"/>
    <n v="667"/>
    <n v="75"/>
    <s v="India"/>
    <s v="PayPal"/>
    <s v="German"/>
    <n v="89"/>
    <x v="6"/>
    <b v="0"/>
    <s v="Active"/>
    <n v="4076"/>
    <s v="Tablet"/>
    <s v="55+"/>
    <s v="Afternoon"/>
  </r>
  <r>
    <n v="7696"/>
    <s v="John"/>
    <x v="301"/>
    <d v="2024-11-30T00:00:00"/>
    <n v="12"/>
    <x v="2"/>
    <n v="191.88"/>
    <n v="235"/>
    <x v="0"/>
    <n v="2"/>
    <n v="5"/>
    <b v="0"/>
    <n v="709"/>
    <n v="151"/>
    <s v="UK"/>
    <s v="Debit Card"/>
    <s v="German"/>
    <n v="72"/>
    <x v="4"/>
    <b v="0"/>
    <s v="Active"/>
    <n v="2163"/>
    <s v="Laptop"/>
    <s v="45-54"/>
    <s v="Afternoon"/>
  </r>
  <r>
    <n v="8552"/>
    <s v="Amber"/>
    <x v="537"/>
    <d v="2024-11-27T00:00:00"/>
    <n v="12"/>
    <x v="2"/>
    <n v="191.88"/>
    <n v="390"/>
    <x v="0"/>
    <n v="2"/>
    <n v="4"/>
    <b v="0"/>
    <n v="537"/>
    <n v="101"/>
    <s v="UK"/>
    <s v="Debit Card"/>
    <s v="Spanish"/>
    <n v="64"/>
    <x v="8"/>
    <b v="1"/>
    <s v="Active"/>
    <n v="3726"/>
    <s v="Desktop"/>
    <s v="55+"/>
    <s v="Morning"/>
  </r>
  <r>
    <n v="5065"/>
    <s v="Daniel"/>
    <x v="220"/>
    <d v="2024-11-30T00:00:00"/>
    <n v="21"/>
    <x v="1"/>
    <n v="251.79"/>
    <n v="362"/>
    <x v="6"/>
    <n v="2"/>
    <n v="6"/>
    <b v="1"/>
    <n v="490"/>
    <n v="22"/>
    <s v="UK"/>
    <s v="Cryptocurrency"/>
    <s v="German"/>
    <n v="62"/>
    <x v="9"/>
    <b v="1"/>
    <s v="Active"/>
    <n v="47"/>
    <s v="Desktop"/>
    <s v="55+"/>
    <s v="Afternoon"/>
  </r>
  <r>
    <n v="6878"/>
    <s v="Mary"/>
    <x v="538"/>
    <d v="2024-11-27T00:00:00"/>
    <n v="7"/>
    <x v="0"/>
    <n v="55.93"/>
    <n v="136"/>
    <x v="2"/>
    <n v="5"/>
    <n v="5"/>
    <b v="1"/>
    <n v="20"/>
    <n v="18"/>
    <s v="Canada"/>
    <s v="Debit Card"/>
    <s v="Hindi"/>
    <n v="7"/>
    <x v="16"/>
    <b v="1"/>
    <s v="Active"/>
    <n v="4742"/>
    <s v="Tablet"/>
    <s v="35-44"/>
    <s v="Late Night"/>
  </r>
  <r>
    <n v="5681"/>
    <s v="Ryan"/>
    <x v="313"/>
    <d v="2024-12-08T00:00:00"/>
    <n v="7"/>
    <x v="1"/>
    <n v="83.93"/>
    <n v="159"/>
    <x v="6"/>
    <n v="4"/>
    <n v="6"/>
    <b v="1"/>
    <n v="824"/>
    <n v="31"/>
    <s v="India"/>
    <s v="Cryptocurrency"/>
    <s v="English"/>
    <n v="13"/>
    <x v="0"/>
    <b v="0"/>
    <s v="Active"/>
    <n v="2910"/>
    <s v="Desktop"/>
    <s v="18-24"/>
    <s v="Morning"/>
  </r>
  <r>
    <n v="4448"/>
    <s v="David"/>
    <x v="204"/>
    <d v="2024-12-16T00:00:00"/>
    <n v="8"/>
    <x v="1"/>
    <n v="95.92"/>
    <n v="99"/>
    <x v="2"/>
    <n v="4"/>
    <n v="2"/>
    <b v="0"/>
    <n v="319"/>
    <n v="187"/>
    <s v="Australia"/>
    <s v="Credit Card"/>
    <s v="English"/>
    <n v="58"/>
    <x v="10"/>
    <b v="0"/>
    <s v="Active"/>
    <n v="1180"/>
    <s v="Tablet"/>
    <s v="35-44"/>
    <s v="Morning"/>
  </r>
  <r>
    <n v="5795"/>
    <s v="John"/>
    <x v="539"/>
    <d v="2024-12-13T00:00:00"/>
    <n v="12"/>
    <x v="1"/>
    <n v="143.88"/>
    <n v="157"/>
    <x v="0"/>
    <n v="4"/>
    <n v="2"/>
    <b v="0"/>
    <n v="754"/>
    <n v="23"/>
    <s v="Germany"/>
    <s v="Debit Card"/>
    <s v="Spanish"/>
    <n v="43"/>
    <x v="16"/>
    <b v="0"/>
    <s v="Active"/>
    <n v="1965"/>
    <s v="Laptop"/>
    <s v="25-34"/>
    <s v="Morning"/>
  </r>
  <r>
    <n v="5320"/>
    <s v="Katherine"/>
    <x v="334"/>
    <d v="2024-12-09T00:00:00"/>
    <n v="14"/>
    <x v="1"/>
    <n v="167.86"/>
    <n v="123"/>
    <x v="3"/>
    <n v="1"/>
    <n v="6"/>
    <b v="0"/>
    <n v="718"/>
    <n v="25"/>
    <s v="USA"/>
    <s v="PayPal"/>
    <s v="German"/>
    <n v="73"/>
    <x v="16"/>
    <b v="0"/>
    <s v="Active"/>
    <n v="3179"/>
    <s v="Smart TV"/>
    <s v="25-34"/>
    <s v="Morning"/>
  </r>
  <r>
    <m/>
    <m/>
    <x v="540"/>
    <m/>
    <m/>
    <x v="3"/>
    <m/>
    <m/>
    <x v="7"/>
    <m/>
    <m/>
    <m/>
    <m/>
    <m/>
    <m/>
    <m/>
    <m/>
    <m/>
    <x v="21"/>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518"/>
    <x v="0"/>
    <x v="0"/>
    <x v="0"/>
    <n v="18"/>
    <x v="0"/>
    <n v="143.82"/>
    <x v="0"/>
    <x v="0"/>
    <x v="0"/>
    <n v="6"/>
    <b v="1"/>
    <n v="641"/>
    <n v="117"/>
    <x v="0"/>
    <x v="0"/>
    <x v="0"/>
    <n v="84"/>
    <n v="3.3"/>
    <b v="0"/>
    <x v="0"/>
    <n v="2878"/>
    <x v="0"/>
    <x v="0"/>
    <x v="0"/>
  </r>
  <r>
    <n v="6430"/>
    <x v="1"/>
    <x v="1"/>
    <x v="1"/>
    <n v="20"/>
    <x v="0"/>
    <n v="159.80000000000001"/>
    <x v="1"/>
    <x v="1"/>
    <x v="1"/>
    <n v="2"/>
    <b v="1"/>
    <n v="192"/>
    <n v="65"/>
    <x v="0"/>
    <x v="0"/>
    <x v="1"/>
    <n v="69"/>
    <n v="4"/>
    <b v="0"/>
    <x v="0"/>
    <n v="2291"/>
    <x v="1"/>
    <x v="1"/>
    <x v="1"/>
  </r>
  <r>
    <n v="1798"/>
    <x v="2"/>
    <x v="2"/>
    <x v="2"/>
    <n v="16"/>
    <x v="1"/>
    <n v="191.84"/>
    <x v="2"/>
    <x v="0"/>
    <x v="2"/>
    <n v="5"/>
    <b v="0"/>
    <n v="260"/>
    <n v="127"/>
    <x v="1"/>
    <x v="1"/>
    <x v="2"/>
    <n v="56"/>
    <n v="3.1"/>
    <b v="0"/>
    <x v="0"/>
    <n v="1692"/>
    <x v="1"/>
    <x v="0"/>
    <x v="0"/>
  </r>
  <r>
    <n v="5255"/>
    <x v="3"/>
    <x v="3"/>
    <x v="3"/>
    <n v="22"/>
    <x v="2"/>
    <n v="351.78000000000003"/>
    <x v="3"/>
    <x v="2"/>
    <x v="1"/>
    <n v="5"/>
    <b v="0"/>
    <n v="61"/>
    <n v="192"/>
    <x v="2"/>
    <x v="1"/>
    <x v="2"/>
    <n v="47"/>
    <n v="4.5999999999999996"/>
    <b v="0"/>
    <x v="0"/>
    <n v="952"/>
    <x v="1"/>
    <x v="1"/>
    <x v="1"/>
  </r>
  <r>
    <n v="2854"/>
    <x v="4"/>
    <x v="4"/>
    <x v="1"/>
    <n v="18"/>
    <x v="1"/>
    <n v="215.82"/>
    <x v="4"/>
    <x v="3"/>
    <x v="1"/>
    <n v="4"/>
    <b v="1"/>
    <n v="230"/>
    <n v="2"/>
    <x v="0"/>
    <x v="0"/>
    <x v="2"/>
    <n v="39"/>
    <n v="3.7"/>
    <b v="0"/>
    <x v="0"/>
    <n v="1823"/>
    <x v="1"/>
    <x v="1"/>
    <x v="0"/>
  </r>
  <r>
    <n v="6735"/>
    <x v="5"/>
    <x v="5"/>
    <x v="4"/>
    <n v="14"/>
    <x v="2"/>
    <n v="223.86"/>
    <x v="5"/>
    <x v="3"/>
    <x v="2"/>
    <n v="6"/>
    <b v="1"/>
    <n v="837"/>
    <n v="105"/>
    <x v="3"/>
    <x v="2"/>
    <x v="3"/>
    <n v="71"/>
    <n v="4.3"/>
    <b v="1"/>
    <x v="0"/>
    <n v="33"/>
    <x v="2"/>
    <x v="2"/>
    <x v="2"/>
  </r>
  <r>
    <n v="2995"/>
    <x v="6"/>
    <x v="6"/>
    <x v="5"/>
    <n v="3"/>
    <x v="0"/>
    <n v="23.97"/>
    <x v="6"/>
    <x v="4"/>
    <x v="3"/>
    <n v="4"/>
    <b v="1"/>
    <n v="510"/>
    <n v="143"/>
    <x v="0"/>
    <x v="2"/>
    <x v="4"/>
    <n v="1"/>
    <n v="4.5"/>
    <b v="0"/>
    <x v="0"/>
    <n v="755"/>
    <x v="3"/>
    <x v="0"/>
    <x v="0"/>
  </r>
  <r>
    <n v="5120"/>
    <x v="7"/>
    <x v="7"/>
    <x v="2"/>
    <n v="6"/>
    <x v="2"/>
    <n v="95.94"/>
    <x v="7"/>
    <x v="0"/>
    <x v="4"/>
    <n v="1"/>
    <b v="1"/>
    <n v="907"/>
    <n v="47"/>
    <x v="4"/>
    <x v="1"/>
    <x v="0"/>
    <n v="32"/>
    <n v="3.7"/>
    <b v="1"/>
    <x v="0"/>
    <n v="2866"/>
    <x v="0"/>
    <x v="3"/>
    <x v="0"/>
  </r>
  <r>
    <n v="6063"/>
    <x v="8"/>
    <x v="8"/>
    <x v="6"/>
    <n v="18"/>
    <x v="2"/>
    <n v="287.82"/>
    <x v="8"/>
    <x v="5"/>
    <x v="3"/>
    <n v="2"/>
    <b v="1"/>
    <n v="676"/>
    <n v="61"/>
    <x v="5"/>
    <x v="3"/>
    <x v="2"/>
    <n v="26"/>
    <n v="3.3"/>
    <b v="1"/>
    <x v="0"/>
    <n v="336"/>
    <x v="4"/>
    <x v="1"/>
    <x v="0"/>
  </r>
  <r>
    <n v="6896"/>
    <x v="9"/>
    <x v="9"/>
    <x v="2"/>
    <n v="12"/>
    <x v="0"/>
    <n v="95.88"/>
    <x v="9"/>
    <x v="3"/>
    <x v="3"/>
    <n v="4"/>
    <b v="1"/>
    <n v="406"/>
    <n v="79"/>
    <x v="0"/>
    <x v="2"/>
    <x v="5"/>
    <n v="90"/>
    <n v="3.2"/>
    <b v="0"/>
    <x v="0"/>
    <n v="3898"/>
    <x v="3"/>
    <x v="4"/>
    <x v="0"/>
  </r>
  <r>
    <n v="8447"/>
    <x v="10"/>
    <x v="10"/>
    <x v="7"/>
    <n v="19"/>
    <x v="1"/>
    <n v="227.81"/>
    <x v="10"/>
    <x v="5"/>
    <x v="3"/>
    <n v="4"/>
    <b v="1"/>
    <n v="352"/>
    <n v="78"/>
    <x v="2"/>
    <x v="2"/>
    <x v="4"/>
    <n v="47"/>
    <n v="3.7"/>
    <b v="0"/>
    <x v="0"/>
    <n v="650"/>
    <x v="4"/>
    <x v="4"/>
    <x v="0"/>
  </r>
  <r>
    <n v="1433"/>
    <x v="11"/>
    <x v="11"/>
    <x v="8"/>
    <n v="8"/>
    <x v="2"/>
    <n v="127.92"/>
    <x v="11"/>
    <x v="1"/>
    <x v="3"/>
    <n v="6"/>
    <b v="1"/>
    <n v="391"/>
    <n v="132"/>
    <x v="1"/>
    <x v="1"/>
    <x v="1"/>
    <n v="57"/>
    <n v="3"/>
    <b v="0"/>
    <x v="0"/>
    <n v="185"/>
    <x v="3"/>
    <x v="0"/>
    <x v="0"/>
  </r>
  <r>
    <n v="4511"/>
    <x v="12"/>
    <x v="12"/>
    <x v="9"/>
    <n v="19"/>
    <x v="0"/>
    <n v="151.81"/>
    <x v="12"/>
    <x v="1"/>
    <x v="2"/>
    <n v="5"/>
    <b v="0"/>
    <n v="501"/>
    <n v="71"/>
    <x v="5"/>
    <x v="1"/>
    <x v="5"/>
    <n v="38"/>
    <n v="4.3"/>
    <b v="0"/>
    <x v="0"/>
    <n v="1547"/>
    <x v="0"/>
    <x v="3"/>
    <x v="0"/>
  </r>
  <r>
    <n v="9966"/>
    <x v="13"/>
    <x v="13"/>
    <x v="10"/>
    <n v="2"/>
    <x v="0"/>
    <n v="15.98"/>
    <x v="13"/>
    <x v="3"/>
    <x v="0"/>
    <n v="1"/>
    <b v="0"/>
    <n v="995"/>
    <n v="164"/>
    <x v="2"/>
    <x v="3"/>
    <x v="4"/>
    <n v="62"/>
    <n v="3"/>
    <b v="1"/>
    <x v="0"/>
    <n v="3788"/>
    <x v="0"/>
    <x v="2"/>
    <x v="0"/>
  </r>
  <r>
    <n v="7093"/>
    <x v="14"/>
    <x v="14"/>
    <x v="11"/>
    <n v="18"/>
    <x v="0"/>
    <n v="143.82"/>
    <x v="14"/>
    <x v="3"/>
    <x v="2"/>
    <n v="5"/>
    <b v="0"/>
    <n v="222"/>
    <n v="13"/>
    <x v="6"/>
    <x v="0"/>
    <x v="1"/>
    <n v="0"/>
    <n v="4.7"/>
    <b v="1"/>
    <x v="0"/>
    <n v="1051"/>
    <x v="1"/>
    <x v="2"/>
    <x v="3"/>
  </r>
  <r>
    <n v="4351"/>
    <x v="15"/>
    <x v="15"/>
    <x v="10"/>
    <n v="6"/>
    <x v="1"/>
    <n v="71.94"/>
    <x v="15"/>
    <x v="4"/>
    <x v="1"/>
    <n v="6"/>
    <b v="1"/>
    <n v="788"/>
    <n v="31"/>
    <x v="0"/>
    <x v="0"/>
    <x v="1"/>
    <n v="25"/>
    <n v="4.3"/>
    <b v="1"/>
    <x v="0"/>
    <n v="633"/>
    <x v="2"/>
    <x v="0"/>
    <x v="3"/>
  </r>
  <r>
    <n v="6007"/>
    <x v="16"/>
    <x v="16"/>
    <x v="6"/>
    <n v="22"/>
    <x v="0"/>
    <n v="175.78"/>
    <x v="16"/>
    <x v="4"/>
    <x v="2"/>
    <n v="4"/>
    <b v="1"/>
    <n v="369"/>
    <n v="25"/>
    <x v="5"/>
    <x v="1"/>
    <x v="3"/>
    <n v="65"/>
    <n v="4.5999999999999996"/>
    <b v="0"/>
    <x v="0"/>
    <n v="4133"/>
    <x v="0"/>
    <x v="1"/>
    <x v="1"/>
  </r>
  <r>
    <n v="9710"/>
    <x v="17"/>
    <x v="17"/>
    <x v="12"/>
    <n v="17"/>
    <x v="0"/>
    <n v="135.83000000000001"/>
    <x v="17"/>
    <x v="6"/>
    <x v="1"/>
    <n v="5"/>
    <b v="0"/>
    <n v="228"/>
    <n v="39"/>
    <x v="5"/>
    <x v="0"/>
    <x v="2"/>
    <n v="50"/>
    <n v="3.1"/>
    <b v="1"/>
    <x v="0"/>
    <n v="1159"/>
    <x v="1"/>
    <x v="0"/>
    <x v="2"/>
  </r>
  <r>
    <n v="9034"/>
    <x v="18"/>
    <x v="18"/>
    <x v="13"/>
    <n v="14"/>
    <x v="2"/>
    <n v="223.86"/>
    <x v="18"/>
    <x v="5"/>
    <x v="1"/>
    <n v="5"/>
    <b v="1"/>
    <n v="827"/>
    <n v="138"/>
    <x v="1"/>
    <x v="1"/>
    <x v="2"/>
    <n v="11"/>
    <n v="4.5"/>
    <b v="1"/>
    <x v="0"/>
    <n v="4673"/>
    <x v="4"/>
    <x v="2"/>
    <x v="3"/>
  </r>
  <r>
    <n v="6197"/>
    <x v="19"/>
    <x v="19"/>
    <x v="14"/>
    <n v="16"/>
    <x v="2"/>
    <n v="255.84"/>
    <x v="19"/>
    <x v="0"/>
    <x v="2"/>
    <n v="4"/>
    <b v="0"/>
    <n v="983"/>
    <n v="145"/>
    <x v="3"/>
    <x v="0"/>
    <x v="5"/>
    <n v="78"/>
    <n v="3"/>
    <b v="0"/>
    <x v="0"/>
    <n v="4200"/>
    <x v="3"/>
    <x v="3"/>
    <x v="1"/>
  </r>
  <r>
    <n v="2820"/>
    <x v="20"/>
    <x v="20"/>
    <x v="15"/>
    <n v="16"/>
    <x v="0"/>
    <n v="127.84"/>
    <x v="20"/>
    <x v="1"/>
    <x v="1"/>
    <n v="5"/>
    <b v="1"/>
    <n v="109"/>
    <n v="41"/>
    <x v="0"/>
    <x v="3"/>
    <x v="3"/>
    <n v="42"/>
    <n v="4.5999999999999996"/>
    <b v="0"/>
    <x v="0"/>
    <n v="3607"/>
    <x v="1"/>
    <x v="0"/>
    <x v="0"/>
  </r>
  <r>
    <n v="1101"/>
    <x v="5"/>
    <x v="21"/>
    <x v="16"/>
    <n v="5"/>
    <x v="2"/>
    <n v="79.95"/>
    <x v="21"/>
    <x v="4"/>
    <x v="2"/>
    <n v="3"/>
    <b v="1"/>
    <n v="181"/>
    <n v="128"/>
    <x v="4"/>
    <x v="0"/>
    <x v="2"/>
    <n v="3"/>
    <n v="4.5"/>
    <b v="1"/>
    <x v="0"/>
    <n v="4602"/>
    <x v="2"/>
    <x v="4"/>
    <x v="1"/>
  </r>
  <r>
    <n v="1650"/>
    <x v="17"/>
    <x v="6"/>
    <x v="16"/>
    <n v="2"/>
    <x v="2"/>
    <n v="31.98"/>
    <x v="22"/>
    <x v="6"/>
    <x v="2"/>
    <n v="2"/>
    <b v="0"/>
    <n v="842"/>
    <n v="145"/>
    <x v="6"/>
    <x v="3"/>
    <x v="2"/>
    <n v="27"/>
    <n v="3.6"/>
    <b v="1"/>
    <x v="0"/>
    <n v="256"/>
    <x v="2"/>
    <x v="0"/>
    <x v="3"/>
  </r>
  <r>
    <n v="4884"/>
    <x v="21"/>
    <x v="22"/>
    <x v="9"/>
    <n v="12"/>
    <x v="2"/>
    <n v="191.88"/>
    <x v="23"/>
    <x v="2"/>
    <x v="0"/>
    <n v="3"/>
    <b v="1"/>
    <n v="40"/>
    <n v="196"/>
    <x v="1"/>
    <x v="1"/>
    <x v="1"/>
    <n v="60"/>
    <n v="3.7"/>
    <b v="0"/>
    <x v="0"/>
    <n v="2406"/>
    <x v="3"/>
    <x v="4"/>
    <x v="1"/>
  </r>
  <r>
    <n v="8321"/>
    <x v="22"/>
    <x v="23"/>
    <x v="16"/>
    <n v="14"/>
    <x v="1"/>
    <n v="167.86"/>
    <x v="24"/>
    <x v="6"/>
    <x v="0"/>
    <n v="1"/>
    <b v="1"/>
    <n v="431"/>
    <n v="41"/>
    <x v="3"/>
    <x v="2"/>
    <x v="4"/>
    <n v="91"/>
    <n v="4"/>
    <b v="1"/>
    <x v="0"/>
    <n v="1394"/>
    <x v="2"/>
    <x v="4"/>
    <x v="3"/>
  </r>
  <r>
    <n v="2381"/>
    <x v="23"/>
    <x v="24"/>
    <x v="1"/>
    <n v="7"/>
    <x v="0"/>
    <n v="55.93"/>
    <x v="25"/>
    <x v="4"/>
    <x v="2"/>
    <n v="5"/>
    <b v="0"/>
    <n v="415"/>
    <n v="194"/>
    <x v="0"/>
    <x v="2"/>
    <x v="1"/>
    <n v="76"/>
    <n v="4.3"/>
    <b v="1"/>
    <x v="0"/>
    <n v="1856"/>
    <x v="1"/>
    <x v="2"/>
    <x v="3"/>
  </r>
  <r>
    <n v="9507"/>
    <x v="24"/>
    <x v="25"/>
    <x v="4"/>
    <n v="17"/>
    <x v="1"/>
    <n v="203.83"/>
    <x v="26"/>
    <x v="0"/>
    <x v="1"/>
    <n v="6"/>
    <b v="1"/>
    <n v="902"/>
    <n v="86"/>
    <x v="0"/>
    <x v="3"/>
    <x v="5"/>
    <n v="69"/>
    <n v="4.9000000000000004"/>
    <b v="1"/>
    <x v="0"/>
    <n v="1665"/>
    <x v="2"/>
    <x v="2"/>
    <x v="3"/>
  </r>
  <r>
    <n v="2851"/>
    <x v="25"/>
    <x v="26"/>
    <x v="16"/>
    <n v="6"/>
    <x v="2"/>
    <n v="95.94"/>
    <x v="27"/>
    <x v="6"/>
    <x v="0"/>
    <n v="5"/>
    <b v="1"/>
    <n v="769"/>
    <n v="144"/>
    <x v="4"/>
    <x v="3"/>
    <x v="3"/>
    <n v="98"/>
    <n v="3.9"/>
    <b v="0"/>
    <x v="0"/>
    <n v="2759"/>
    <x v="4"/>
    <x v="0"/>
    <x v="1"/>
  </r>
  <r>
    <n v="4083"/>
    <x v="26"/>
    <x v="27"/>
    <x v="5"/>
    <n v="10"/>
    <x v="1"/>
    <n v="119.9"/>
    <x v="28"/>
    <x v="4"/>
    <x v="1"/>
    <n v="4"/>
    <b v="1"/>
    <n v="588"/>
    <n v="137"/>
    <x v="6"/>
    <x v="2"/>
    <x v="4"/>
    <n v="85"/>
    <n v="3.7"/>
    <b v="1"/>
    <x v="0"/>
    <n v="3433"/>
    <x v="3"/>
    <x v="0"/>
    <x v="3"/>
  </r>
  <r>
    <n v="4608"/>
    <x v="27"/>
    <x v="28"/>
    <x v="14"/>
    <n v="8"/>
    <x v="1"/>
    <n v="95.92"/>
    <x v="29"/>
    <x v="5"/>
    <x v="0"/>
    <n v="2"/>
    <b v="1"/>
    <n v="528"/>
    <n v="184"/>
    <x v="2"/>
    <x v="3"/>
    <x v="3"/>
    <n v="58"/>
    <n v="3.7"/>
    <b v="1"/>
    <x v="0"/>
    <n v="3966"/>
    <x v="1"/>
    <x v="4"/>
    <x v="0"/>
  </r>
  <r>
    <n v="4815"/>
    <x v="28"/>
    <x v="29"/>
    <x v="8"/>
    <n v="4"/>
    <x v="0"/>
    <n v="31.96"/>
    <x v="30"/>
    <x v="3"/>
    <x v="3"/>
    <n v="5"/>
    <b v="0"/>
    <n v="467"/>
    <n v="23"/>
    <x v="0"/>
    <x v="0"/>
    <x v="3"/>
    <n v="97"/>
    <n v="3.3"/>
    <b v="1"/>
    <x v="0"/>
    <n v="4185"/>
    <x v="1"/>
    <x v="4"/>
    <x v="1"/>
  </r>
  <r>
    <n v="9597"/>
    <x v="29"/>
    <x v="30"/>
    <x v="3"/>
    <n v="0"/>
    <x v="1"/>
    <n v="0"/>
    <x v="31"/>
    <x v="6"/>
    <x v="3"/>
    <n v="5"/>
    <b v="0"/>
    <n v="73"/>
    <n v="138"/>
    <x v="5"/>
    <x v="1"/>
    <x v="0"/>
    <n v="84"/>
    <n v="4.0999999999999996"/>
    <b v="0"/>
    <x v="0"/>
    <n v="784"/>
    <x v="0"/>
    <x v="1"/>
    <x v="3"/>
  </r>
  <r>
    <n v="6566"/>
    <x v="30"/>
    <x v="31"/>
    <x v="6"/>
    <n v="17"/>
    <x v="1"/>
    <n v="203.83"/>
    <x v="32"/>
    <x v="4"/>
    <x v="3"/>
    <n v="1"/>
    <b v="1"/>
    <n v="895"/>
    <n v="154"/>
    <x v="5"/>
    <x v="1"/>
    <x v="3"/>
    <n v="85"/>
    <n v="4.7"/>
    <b v="1"/>
    <x v="0"/>
    <n v="3428"/>
    <x v="3"/>
    <x v="1"/>
    <x v="1"/>
  </r>
  <r>
    <n v="1419"/>
    <x v="31"/>
    <x v="19"/>
    <x v="17"/>
    <n v="17"/>
    <x v="1"/>
    <n v="203.83"/>
    <x v="33"/>
    <x v="2"/>
    <x v="2"/>
    <n v="6"/>
    <b v="0"/>
    <n v="983"/>
    <n v="113"/>
    <x v="3"/>
    <x v="3"/>
    <x v="1"/>
    <n v="78"/>
    <n v="3.1"/>
    <b v="0"/>
    <x v="0"/>
    <n v="4245"/>
    <x v="0"/>
    <x v="1"/>
    <x v="1"/>
  </r>
  <r>
    <n v="9470"/>
    <x v="32"/>
    <x v="32"/>
    <x v="1"/>
    <n v="12"/>
    <x v="0"/>
    <n v="95.88"/>
    <x v="34"/>
    <x v="4"/>
    <x v="0"/>
    <n v="6"/>
    <b v="1"/>
    <n v="801"/>
    <n v="156"/>
    <x v="6"/>
    <x v="2"/>
    <x v="2"/>
    <n v="66"/>
    <n v="4.5999999999999996"/>
    <b v="1"/>
    <x v="0"/>
    <n v="2580"/>
    <x v="2"/>
    <x v="2"/>
    <x v="0"/>
  </r>
  <r>
    <n v="4989"/>
    <x v="33"/>
    <x v="33"/>
    <x v="5"/>
    <n v="11"/>
    <x v="0"/>
    <n v="87.89"/>
    <x v="35"/>
    <x v="5"/>
    <x v="2"/>
    <n v="5"/>
    <b v="1"/>
    <n v="96"/>
    <n v="114"/>
    <x v="0"/>
    <x v="0"/>
    <x v="0"/>
    <n v="45"/>
    <n v="4.3"/>
    <b v="0"/>
    <x v="0"/>
    <n v="2779"/>
    <x v="2"/>
    <x v="4"/>
    <x v="2"/>
  </r>
  <r>
    <n v="9389"/>
    <x v="34"/>
    <x v="34"/>
    <x v="18"/>
    <n v="1"/>
    <x v="2"/>
    <n v="15.99"/>
    <x v="36"/>
    <x v="2"/>
    <x v="1"/>
    <n v="2"/>
    <b v="0"/>
    <n v="849"/>
    <n v="98"/>
    <x v="3"/>
    <x v="2"/>
    <x v="2"/>
    <n v="14"/>
    <n v="3.1"/>
    <b v="0"/>
    <x v="0"/>
    <n v="2318"/>
    <x v="0"/>
    <x v="0"/>
    <x v="1"/>
  </r>
  <r>
    <n v="7728"/>
    <x v="35"/>
    <x v="35"/>
    <x v="0"/>
    <n v="14"/>
    <x v="1"/>
    <n v="167.86"/>
    <x v="37"/>
    <x v="6"/>
    <x v="0"/>
    <n v="6"/>
    <b v="0"/>
    <n v="515"/>
    <n v="174"/>
    <x v="2"/>
    <x v="0"/>
    <x v="1"/>
    <n v="12"/>
    <n v="4"/>
    <b v="1"/>
    <x v="0"/>
    <n v="827"/>
    <x v="0"/>
    <x v="1"/>
    <x v="2"/>
  </r>
  <r>
    <n v="7943"/>
    <x v="36"/>
    <x v="36"/>
    <x v="15"/>
    <n v="2"/>
    <x v="2"/>
    <n v="31.98"/>
    <x v="38"/>
    <x v="3"/>
    <x v="2"/>
    <n v="6"/>
    <b v="1"/>
    <n v="657"/>
    <n v="137"/>
    <x v="4"/>
    <x v="2"/>
    <x v="0"/>
    <n v="26"/>
    <n v="4"/>
    <b v="1"/>
    <x v="0"/>
    <n v="2670"/>
    <x v="1"/>
    <x v="2"/>
    <x v="0"/>
  </r>
  <r>
    <n v="2490"/>
    <x v="37"/>
    <x v="37"/>
    <x v="4"/>
    <n v="15"/>
    <x v="1"/>
    <n v="179.85"/>
    <x v="39"/>
    <x v="2"/>
    <x v="4"/>
    <n v="1"/>
    <b v="1"/>
    <n v="426"/>
    <n v="21"/>
    <x v="3"/>
    <x v="1"/>
    <x v="3"/>
    <n v="99"/>
    <n v="4.8"/>
    <b v="0"/>
    <x v="0"/>
    <n v="2409"/>
    <x v="0"/>
    <x v="0"/>
    <x v="0"/>
  </r>
  <r>
    <n v="5042"/>
    <x v="38"/>
    <x v="38"/>
    <x v="16"/>
    <n v="9"/>
    <x v="2"/>
    <n v="143.91"/>
    <x v="40"/>
    <x v="6"/>
    <x v="4"/>
    <n v="2"/>
    <b v="0"/>
    <n v="309"/>
    <n v="178"/>
    <x v="4"/>
    <x v="3"/>
    <x v="2"/>
    <n v="7"/>
    <n v="4.3"/>
    <b v="0"/>
    <x v="0"/>
    <n v="1577"/>
    <x v="2"/>
    <x v="0"/>
    <x v="1"/>
  </r>
  <r>
    <n v="3620"/>
    <x v="39"/>
    <x v="39"/>
    <x v="19"/>
    <n v="4"/>
    <x v="2"/>
    <n v="63.96"/>
    <x v="41"/>
    <x v="5"/>
    <x v="3"/>
    <n v="5"/>
    <b v="1"/>
    <n v="141"/>
    <n v="199"/>
    <x v="0"/>
    <x v="1"/>
    <x v="5"/>
    <n v="72"/>
    <n v="3.1"/>
    <b v="0"/>
    <x v="0"/>
    <n v="4072"/>
    <x v="3"/>
    <x v="3"/>
    <x v="3"/>
  </r>
  <r>
    <n v="8976"/>
    <x v="40"/>
    <x v="40"/>
    <x v="20"/>
    <n v="2"/>
    <x v="0"/>
    <n v="15.98"/>
    <x v="42"/>
    <x v="6"/>
    <x v="4"/>
    <n v="3"/>
    <b v="1"/>
    <n v="112"/>
    <n v="106"/>
    <x v="6"/>
    <x v="2"/>
    <x v="5"/>
    <n v="33"/>
    <n v="4.5999999999999996"/>
    <b v="1"/>
    <x v="0"/>
    <n v="3432"/>
    <x v="4"/>
    <x v="3"/>
    <x v="3"/>
  </r>
  <r>
    <n v="1570"/>
    <x v="37"/>
    <x v="41"/>
    <x v="7"/>
    <n v="16"/>
    <x v="1"/>
    <n v="191.84"/>
    <x v="43"/>
    <x v="6"/>
    <x v="1"/>
    <n v="2"/>
    <b v="0"/>
    <n v="836"/>
    <n v="122"/>
    <x v="2"/>
    <x v="1"/>
    <x v="3"/>
    <n v="65"/>
    <n v="4.3"/>
    <b v="1"/>
    <x v="0"/>
    <n v="4511"/>
    <x v="0"/>
    <x v="2"/>
    <x v="2"/>
  </r>
  <r>
    <n v="7709"/>
    <x v="41"/>
    <x v="42"/>
    <x v="15"/>
    <n v="19"/>
    <x v="1"/>
    <n v="227.81"/>
    <x v="44"/>
    <x v="2"/>
    <x v="3"/>
    <n v="2"/>
    <b v="0"/>
    <n v="785"/>
    <n v="1"/>
    <x v="4"/>
    <x v="1"/>
    <x v="1"/>
    <n v="79"/>
    <n v="3.4"/>
    <b v="1"/>
    <x v="0"/>
    <n v="583"/>
    <x v="4"/>
    <x v="1"/>
    <x v="1"/>
  </r>
  <r>
    <n v="9503"/>
    <x v="42"/>
    <x v="43"/>
    <x v="21"/>
    <n v="7"/>
    <x v="1"/>
    <n v="83.93"/>
    <x v="45"/>
    <x v="3"/>
    <x v="3"/>
    <n v="6"/>
    <b v="0"/>
    <n v="857"/>
    <n v="9"/>
    <x v="6"/>
    <x v="3"/>
    <x v="0"/>
    <n v="55"/>
    <n v="3.2"/>
    <b v="1"/>
    <x v="0"/>
    <n v="3626"/>
    <x v="3"/>
    <x v="0"/>
    <x v="0"/>
  </r>
  <r>
    <n v="9564"/>
    <x v="43"/>
    <x v="44"/>
    <x v="22"/>
    <n v="19"/>
    <x v="2"/>
    <n v="303.81"/>
    <x v="46"/>
    <x v="5"/>
    <x v="3"/>
    <n v="1"/>
    <b v="0"/>
    <n v="347"/>
    <n v="18"/>
    <x v="4"/>
    <x v="3"/>
    <x v="3"/>
    <n v="8"/>
    <n v="4.4000000000000004"/>
    <b v="1"/>
    <x v="0"/>
    <n v="476"/>
    <x v="3"/>
    <x v="3"/>
    <x v="3"/>
  </r>
  <r>
    <n v="8934"/>
    <x v="44"/>
    <x v="45"/>
    <x v="21"/>
    <n v="20"/>
    <x v="0"/>
    <n v="159.80000000000001"/>
    <x v="47"/>
    <x v="1"/>
    <x v="4"/>
    <n v="3"/>
    <b v="0"/>
    <n v="707"/>
    <n v="156"/>
    <x v="1"/>
    <x v="3"/>
    <x v="3"/>
    <n v="99"/>
    <n v="3.3"/>
    <b v="0"/>
    <x v="0"/>
    <n v="4114"/>
    <x v="1"/>
    <x v="2"/>
    <x v="1"/>
  </r>
  <r>
    <n v="1222"/>
    <x v="45"/>
    <x v="46"/>
    <x v="23"/>
    <n v="15"/>
    <x v="2"/>
    <n v="239.85"/>
    <x v="48"/>
    <x v="6"/>
    <x v="2"/>
    <n v="2"/>
    <b v="0"/>
    <n v="49"/>
    <n v="45"/>
    <x v="1"/>
    <x v="0"/>
    <x v="0"/>
    <n v="63"/>
    <n v="4"/>
    <b v="1"/>
    <x v="0"/>
    <n v="1581"/>
    <x v="2"/>
    <x v="0"/>
    <x v="2"/>
  </r>
  <r>
    <n v="5762"/>
    <x v="46"/>
    <x v="28"/>
    <x v="3"/>
    <n v="8"/>
    <x v="1"/>
    <n v="95.92"/>
    <x v="49"/>
    <x v="5"/>
    <x v="3"/>
    <n v="4"/>
    <b v="0"/>
    <n v="801"/>
    <n v="141"/>
    <x v="6"/>
    <x v="1"/>
    <x v="2"/>
    <n v="62"/>
    <n v="3.5"/>
    <b v="1"/>
    <x v="0"/>
    <n v="1293"/>
    <x v="3"/>
    <x v="3"/>
    <x v="2"/>
  </r>
  <r>
    <n v="4066"/>
    <x v="40"/>
    <x v="47"/>
    <x v="20"/>
    <n v="20"/>
    <x v="1"/>
    <n v="239.8"/>
    <x v="50"/>
    <x v="2"/>
    <x v="2"/>
    <n v="3"/>
    <b v="0"/>
    <n v="788"/>
    <n v="55"/>
    <x v="2"/>
    <x v="2"/>
    <x v="1"/>
    <n v="50"/>
    <n v="4.8"/>
    <b v="1"/>
    <x v="0"/>
    <n v="1744"/>
    <x v="3"/>
    <x v="2"/>
    <x v="2"/>
  </r>
  <r>
    <n v="6469"/>
    <x v="17"/>
    <x v="48"/>
    <x v="24"/>
    <n v="5"/>
    <x v="1"/>
    <n v="59.95"/>
    <x v="51"/>
    <x v="3"/>
    <x v="0"/>
    <n v="6"/>
    <b v="1"/>
    <n v="853"/>
    <n v="16"/>
    <x v="4"/>
    <x v="0"/>
    <x v="1"/>
    <n v="65"/>
    <n v="4.8"/>
    <b v="1"/>
    <x v="0"/>
    <n v="448"/>
    <x v="3"/>
    <x v="2"/>
    <x v="0"/>
  </r>
  <r>
    <n v="1364"/>
    <x v="47"/>
    <x v="49"/>
    <x v="3"/>
    <n v="16"/>
    <x v="1"/>
    <n v="191.84"/>
    <x v="52"/>
    <x v="4"/>
    <x v="1"/>
    <n v="1"/>
    <b v="0"/>
    <n v="970"/>
    <n v="159"/>
    <x v="2"/>
    <x v="2"/>
    <x v="1"/>
    <n v="96"/>
    <n v="4.9000000000000004"/>
    <b v="1"/>
    <x v="0"/>
    <n v="3398"/>
    <x v="3"/>
    <x v="0"/>
    <x v="0"/>
  </r>
  <r>
    <n v="4197"/>
    <x v="40"/>
    <x v="50"/>
    <x v="0"/>
    <n v="1"/>
    <x v="2"/>
    <n v="15.99"/>
    <x v="8"/>
    <x v="6"/>
    <x v="0"/>
    <n v="5"/>
    <b v="0"/>
    <n v="490"/>
    <n v="127"/>
    <x v="1"/>
    <x v="1"/>
    <x v="0"/>
    <n v="40"/>
    <n v="4.5999999999999996"/>
    <b v="1"/>
    <x v="0"/>
    <n v="4691"/>
    <x v="1"/>
    <x v="3"/>
    <x v="2"/>
  </r>
  <r>
    <n v="9700"/>
    <x v="48"/>
    <x v="51"/>
    <x v="10"/>
    <n v="23"/>
    <x v="2"/>
    <n v="367.77"/>
    <x v="53"/>
    <x v="3"/>
    <x v="3"/>
    <n v="1"/>
    <b v="0"/>
    <n v="201"/>
    <n v="122"/>
    <x v="3"/>
    <x v="3"/>
    <x v="4"/>
    <n v="94"/>
    <n v="4.5999999999999996"/>
    <b v="1"/>
    <x v="0"/>
    <n v="4674"/>
    <x v="3"/>
    <x v="3"/>
    <x v="3"/>
  </r>
  <r>
    <n v="5644"/>
    <x v="30"/>
    <x v="52"/>
    <x v="25"/>
    <n v="7"/>
    <x v="1"/>
    <n v="83.93"/>
    <x v="54"/>
    <x v="5"/>
    <x v="4"/>
    <n v="2"/>
    <b v="1"/>
    <n v="741"/>
    <n v="36"/>
    <x v="6"/>
    <x v="0"/>
    <x v="4"/>
    <n v="13"/>
    <n v="4.4000000000000004"/>
    <b v="0"/>
    <x v="0"/>
    <n v="3641"/>
    <x v="4"/>
    <x v="2"/>
    <x v="3"/>
  </r>
  <r>
    <n v="5420"/>
    <x v="49"/>
    <x v="53"/>
    <x v="15"/>
    <n v="23"/>
    <x v="1"/>
    <n v="275.77"/>
    <x v="55"/>
    <x v="1"/>
    <x v="4"/>
    <n v="6"/>
    <b v="0"/>
    <n v="928"/>
    <n v="30"/>
    <x v="3"/>
    <x v="2"/>
    <x v="2"/>
    <n v="58"/>
    <n v="4.4000000000000004"/>
    <b v="0"/>
    <x v="0"/>
    <n v="1765"/>
    <x v="0"/>
    <x v="3"/>
    <x v="0"/>
  </r>
  <r>
    <n v="7560"/>
    <x v="50"/>
    <x v="54"/>
    <x v="25"/>
    <n v="23"/>
    <x v="0"/>
    <n v="183.77"/>
    <x v="56"/>
    <x v="4"/>
    <x v="0"/>
    <n v="3"/>
    <b v="0"/>
    <n v="80"/>
    <n v="100"/>
    <x v="0"/>
    <x v="2"/>
    <x v="0"/>
    <n v="40"/>
    <n v="4.9000000000000004"/>
    <b v="1"/>
    <x v="0"/>
    <n v="3462"/>
    <x v="0"/>
    <x v="4"/>
    <x v="2"/>
  </r>
  <r>
    <n v="9644"/>
    <x v="20"/>
    <x v="55"/>
    <x v="9"/>
    <n v="2"/>
    <x v="0"/>
    <n v="15.98"/>
    <x v="57"/>
    <x v="5"/>
    <x v="4"/>
    <n v="1"/>
    <b v="1"/>
    <n v="453"/>
    <n v="149"/>
    <x v="6"/>
    <x v="0"/>
    <x v="0"/>
    <n v="82"/>
    <n v="3.9"/>
    <b v="1"/>
    <x v="0"/>
    <n v="790"/>
    <x v="1"/>
    <x v="2"/>
    <x v="2"/>
  </r>
  <r>
    <n v="7239"/>
    <x v="51"/>
    <x v="56"/>
    <x v="26"/>
    <n v="11"/>
    <x v="2"/>
    <n v="175.89000000000001"/>
    <x v="58"/>
    <x v="0"/>
    <x v="0"/>
    <n v="2"/>
    <b v="1"/>
    <n v="943"/>
    <n v="116"/>
    <x v="1"/>
    <x v="0"/>
    <x v="0"/>
    <n v="22"/>
    <n v="4.0999999999999996"/>
    <b v="0"/>
    <x v="0"/>
    <n v="4732"/>
    <x v="3"/>
    <x v="1"/>
    <x v="3"/>
  </r>
  <r>
    <n v="6415"/>
    <x v="52"/>
    <x v="57"/>
    <x v="4"/>
    <n v="13"/>
    <x v="1"/>
    <n v="155.87"/>
    <x v="59"/>
    <x v="0"/>
    <x v="1"/>
    <n v="2"/>
    <b v="0"/>
    <n v="348"/>
    <n v="172"/>
    <x v="2"/>
    <x v="3"/>
    <x v="0"/>
    <n v="61"/>
    <n v="3.9"/>
    <b v="0"/>
    <x v="0"/>
    <n v="4599"/>
    <x v="0"/>
    <x v="0"/>
    <x v="3"/>
  </r>
  <r>
    <n v="9020"/>
    <x v="53"/>
    <x v="58"/>
    <x v="25"/>
    <n v="22"/>
    <x v="1"/>
    <n v="263.78000000000003"/>
    <x v="60"/>
    <x v="4"/>
    <x v="3"/>
    <n v="3"/>
    <b v="1"/>
    <n v="112"/>
    <n v="158"/>
    <x v="3"/>
    <x v="2"/>
    <x v="1"/>
    <n v="15"/>
    <n v="3.9"/>
    <b v="1"/>
    <x v="0"/>
    <n v="965"/>
    <x v="2"/>
    <x v="1"/>
    <x v="2"/>
  </r>
  <r>
    <n v="2324"/>
    <x v="54"/>
    <x v="59"/>
    <x v="11"/>
    <n v="0"/>
    <x v="0"/>
    <n v="0"/>
    <x v="61"/>
    <x v="5"/>
    <x v="3"/>
    <n v="6"/>
    <b v="1"/>
    <n v="606"/>
    <n v="195"/>
    <x v="0"/>
    <x v="2"/>
    <x v="4"/>
    <n v="95"/>
    <n v="4"/>
    <b v="0"/>
    <x v="0"/>
    <n v="1155"/>
    <x v="4"/>
    <x v="0"/>
    <x v="0"/>
  </r>
  <r>
    <n v="1354"/>
    <x v="55"/>
    <x v="60"/>
    <x v="19"/>
    <n v="17"/>
    <x v="0"/>
    <n v="135.83000000000001"/>
    <x v="62"/>
    <x v="2"/>
    <x v="1"/>
    <n v="6"/>
    <b v="0"/>
    <n v="214"/>
    <n v="114"/>
    <x v="3"/>
    <x v="0"/>
    <x v="3"/>
    <n v="39"/>
    <n v="4.9000000000000004"/>
    <b v="0"/>
    <x v="0"/>
    <n v="1110"/>
    <x v="4"/>
    <x v="2"/>
    <x v="3"/>
  </r>
  <r>
    <n v="4019"/>
    <x v="56"/>
    <x v="61"/>
    <x v="27"/>
    <n v="11"/>
    <x v="2"/>
    <n v="175.89000000000001"/>
    <x v="63"/>
    <x v="3"/>
    <x v="1"/>
    <n v="6"/>
    <b v="1"/>
    <n v="334"/>
    <n v="76"/>
    <x v="1"/>
    <x v="2"/>
    <x v="2"/>
    <n v="32"/>
    <n v="3.3"/>
    <b v="0"/>
    <x v="0"/>
    <n v="1911"/>
    <x v="2"/>
    <x v="4"/>
    <x v="3"/>
  </r>
  <r>
    <n v="6178"/>
    <x v="57"/>
    <x v="62"/>
    <x v="28"/>
    <n v="21"/>
    <x v="1"/>
    <n v="251.79"/>
    <x v="64"/>
    <x v="3"/>
    <x v="3"/>
    <n v="5"/>
    <b v="1"/>
    <n v="849"/>
    <n v="68"/>
    <x v="3"/>
    <x v="2"/>
    <x v="5"/>
    <n v="24"/>
    <n v="3"/>
    <b v="0"/>
    <x v="0"/>
    <n v="1721"/>
    <x v="0"/>
    <x v="2"/>
    <x v="2"/>
  </r>
  <r>
    <n v="8673"/>
    <x v="35"/>
    <x v="61"/>
    <x v="11"/>
    <n v="11"/>
    <x v="0"/>
    <n v="87.89"/>
    <x v="65"/>
    <x v="0"/>
    <x v="2"/>
    <n v="3"/>
    <b v="0"/>
    <n v="155"/>
    <n v="69"/>
    <x v="2"/>
    <x v="1"/>
    <x v="3"/>
    <n v="11"/>
    <n v="3.3"/>
    <b v="0"/>
    <x v="0"/>
    <n v="353"/>
    <x v="2"/>
    <x v="4"/>
    <x v="2"/>
  </r>
  <r>
    <n v="8250"/>
    <x v="58"/>
    <x v="63"/>
    <x v="26"/>
    <n v="8"/>
    <x v="2"/>
    <n v="127.92"/>
    <x v="66"/>
    <x v="3"/>
    <x v="0"/>
    <n v="5"/>
    <b v="1"/>
    <n v="406"/>
    <n v="71"/>
    <x v="4"/>
    <x v="3"/>
    <x v="5"/>
    <n v="88"/>
    <n v="4.8"/>
    <b v="1"/>
    <x v="0"/>
    <n v="423"/>
    <x v="4"/>
    <x v="0"/>
    <x v="3"/>
  </r>
  <r>
    <n v="1609"/>
    <x v="59"/>
    <x v="64"/>
    <x v="6"/>
    <n v="20"/>
    <x v="0"/>
    <n v="159.80000000000001"/>
    <x v="2"/>
    <x v="4"/>
    <x v="4"/>
    <n v="4"/>
    <b v="0"/>
    <n v="571"/>
    <n v="54"/>
    <x v="1"/>
    <x v="2"/>
    <x v="1"/>
    <n v="57"/>
    <n v="4.2"/>
    <b v="0"/>
    <x v="0"/>
    <n v="344"/>
    <x v="2"/>
    <x v="4"/>
    <x v="2"/>
  </r>
  <r>
    <n v="3806"/>
    <x v="60"/>
    <x v="65"/>
    <x v="20"/>
    <n v="21"/>
    <x v="2"/>
    <n v="335.79"/>
    <x v="67"/>
    <x v="3"/>
    <x v="0"/>
    <n v="6"/>
    <b v="1"/>
    <n v="56"/>
    <n v="69"/>
    <x v="1"/>
    <x v="0"/>
    <x v="2"/>
    <n v="44"/>
    <n v="3.6"/>
    <b v="1"/>
    <x v="0"/>
    <n v="4117"/>
    <x v="4"/>
    <x v="4"/>
    <x v="2"/>
  </r>
  <r>
    <n v="7973"/>
    <x v="61"/>
    <x v="36"/>
    <x v="25"/>
    <n v="2"/>
    <x v="0"/>
    <n v="15.98"/>
    <x v="66"/>
    <x v="6"/>
    <x v="3"/>
    <n v="2"/>
    <b v="1"/>
    <n v="748"/>
    <n v="147"/>
    <x v="6"/>
    <x v="3"/>
    <x v="0"/>
    <n v="33"/>
    <n v="4.5999999999999996"/>
    <b v="1"/>
    <x v="0"/>
    <n v="3983"/>
    <x v="2"/>
    <x v="4"/>
    <x v="1"/>
  </r>
  <r>
    <n v="7948"/>
    <x v="62"/>
    <x v="66"/>
    <x v="16"/>
    <n v="11"/>
    <x v="2"/>
    <n v="175.89000000000001"/>
    <x v="68"/>
    <x v="2"/>
    <x v="4"/>
    <n v="1"/>
    <b v="0"/>
    <n v="603"/>
    <n v="161"/>
    <x v="5"/>
    <x v="0"/>
    <x v="3"/>
    <n v="68"/>
    <n v="4.4000000000000004"/>
    <b v="0"/>
    <x v="0"/>
    <n v="3941"/>
    <x v="3"/>
    <x v="0"/>
    <x v="3"/>
  </r>
  <r>
    <n v="3195"/>
    <x v="63"/>
    <x v="67"/>
    <x v="6"/>
    <n v="14"/>
    <x v="1"/>
    <n v="167.86"/>
    <x v="69"/>
    <x v="0"/>
    <x v="3"/>
    <n v="5"/>
    <b v="0"/>
    <n v="990"/>
    <n v="72"/>
    <x v="5"/>
    <x v="1"/>
    <x v="3"/>
    <n v="80"/>
    <n v="3.7"/>
    <b v="0"/>
    <x v="0"/>
    <n v="3085"/>
    <x v="0"/>
    <x v="0"/>
    <x v="2"/>
  </r>
  <r>
    <n v="6285"/>
    <x v="64"/>
    <x v="68"/>
    <x v="10"/>
    <n v="15"/>
    <x v="1"/>
    <n v="179.85"/>
    <x v="70"/>
    <x v="3"/>
    <x v="0"/>
    <n v="6"/>
    <b v="1"/>
    <n v="831"/>
    <n v="101"/>
    <x v="0"/>
    <x v="0"/>
    <x v="1"/>
    <n v="94"/>
    <n v="4.4000000000000004"/>
    <b v="1"/>
    <x v="0"/>
    <n v="48"/>
    <x v="2"/>
    <x v="0"/>
    <x v="1"/>
  </r>
  <r>
    <n v="4303"/>
    <x v="59"/>
    <x v="69"/>
    <x v="6"/>
    <n v="15"/>
    <x v="0"/>
    <n v="119.85000000000001"/>
    <x v="71"/>
    <x v="5"/>
    <x v="1"/>
    <n v="4"/>
    <b v="0"/>
    <n v="420"/>
    <n v="85"/>
    <x v="5"/>
    <x v="3"/>
    <x v="2"/>
    <n v="30"/>
    <n v="3.5"/>
    <b v="0"/>
    <x v="0"/>
    <n v="1520"/>
    <x v="2"/>
    <x v="4"/>
    <x v="1"/>
  </r>
  <r>
    <n v="7751"/>
    <x v="65"/>
    <x v="70"/>
    <x v="16"/>
    <n v="4"/>
    <x v="1"/>
    <n v="47.96"/>
    <x v="72"/>
    <x v="2"/>
    <x v="2"/>
    <n v="5"/>
    <b v="1"/>
    <n v="754"/>
    <n v="98"/>
    <x v="1"/>
    <x v="0"/>
    <x v="2"/>
    <n v="53"/>
    <n v="3.6"/>
    <b v="1"/>
    <x v="0"/>
    <n v="935"/>
    <x v="0"/>
    <x v="4"/>
    <x v="1"/>
  </r>
  <r>
    <n v="7813"/>
    <x v="66"/>
    <x v="71"/>
    <x v="18"/>
    <n v="4"/>
    <x v="2"/>
    <n v="63.96"/>
    <x v="73"/>
    <x v="1"/>
    <x v="4"/>
    <n v="4"/>
    <b v="1"/>
    <n v="782"/>
    <n v="7"/>
    <x v="3"/>
    <x v="3"/>
    <x v="3"/>
    <n v="18"/>
    <n v="3.2"/>
    <b v="1"/>
    <x v="0"/>
    <n v="4641"/>
    <x v="2"/>
    <x v="4"/>
    <x v="1"/>
  </r>
  <r>
    <n v="9028"/>
    <x v="67"/>
    <x v="72"/>
    <x v="14"/>
    <n v="11"/>
    <x v="2"/>
    <n v="175.89000000000001"/>
    <x v="74"/>
    <x v="0"/>
    <x v="1"/>
    <n v="4"/>
    <b v="0"/>
    <n v="557"/>
    <n v="165"/>
    <x v="0"/>
    <x v="0"/>
    <x v="5"/>
    <n v="11"/>
    <n v="4"/>
    <b v="1"/>
    <x v="0"/>
    <n v="2941"/>
    <x v="0"/>
    <x v="1"/>
    <x v="0"/>
  </r>
  <r>
    <n v="6109"/>
    <x v="68"/>
    <x v="73"/>
    <x v="27"/>
    <n v="13"/>
    <x v="2"/>
    <n v="207.87"/>
    <x v="75"/>
    <x v="6"/>
    <x v="2"/>
    <n v="2"/>
    <b v="1"/>
    <n v="552"/>
    <n v="27"/>
    <x v="5"/>
    <x v="3"/>
    <x v="4"/>
    <n v="36"/>
    <n v="4"/>
    <b v="1"/>
    <x v="0"/>
    <n v="1325"/>
    <x v="4"/>
    <x v="2"/>
    <x v="0"/>
  </r>
  <r>
    <n v="2565"/>
    <x v="69"/>
    <x v="13"/>
    <x v="13"/>
    <n v="3"/>
    <x v="0"/>
    <n v="23.97"/>
    <x v="71"/>
    <x v="5"/>
    <x v="3"/>
    <n v="4"/>
    <b v="1"/>
    <n v="356"/>
    <n v="81"/>
    <x v="4"/>
    <x v="2"/>
    <x v="5"/>
    <n v="73"/>
    <n v="3.4"/>
    <b v="0"/>
    <x v="0"/>
    <n v="4465"/>
    <x v="4"/>
    <x v="4"/>
    <x v="0"/>
  </r>
  <r>
    <n v="7551"/>
    <x v="70"/>
    <x v="74"/>
    <x v="3"/>
    <n v="11"/>
    <x v="2"/>
    <n v="175.89000000000001"/>
    <x v="76"/>
    <x v="1"/>
    <x v="2"/>
    <n v="4"/>
    <b v="0"/>
    <n v="161"/>
    <n v="110"/>
    <x v="0"/>
    <x v="3"/>
    <x v="5"/>
    <n v="71"/>
    <n v="4.4000000000000004"/>
    <b v="1"/>
    <x v="0"/>
    <n v="3517"/>
    <x v="0"/>
    <x v="1"/>
    <x v="1"/>
  </r>
  <r>
    <n v="6398"/>
    <x v="71"/>
    <x v="75"/>
    <x v="19"/>
    <n v="15"/>
    <x v="0"/>
    <n v="119.85000000000001"/>
    <x v="77"/>
    <x v="6"/>
    <x v="0"/>
    <n v="2"/>
    <b v="1"/>
    <n v="17"/>
    <n v="40"/>
    <x v="2"/>
    <x v="0"/>
    <x v="2"/>
    <n v="48"/>
    <n v="3.7"/>
    <b v="0"/>
    <x v="0"/>
    <n v="1672"/>
    <x v="2"/>
    <x v="3"/>
    <x v="0"/>
  </r>
  <r>
    <n v="4982"/>
    <x v="72"/>
    <x v="22"/>
    <x v="20"/>
    <n v="12"/>
    <x v="1"/>
    <n v="143.88"/>
    <x v="78"/>
    <x v="1"/>
    <x v="4"/>
    <n v="3"/>
    <b v="0"/>
    <n v="366"/>
    <n v="13"/>
    <x v="1"/>
    <x v="0"/>
    <x v="0"/>
    <n v="73"/>
    <n v="4.8"/>
    <b v="1"/>
    <x v="0"/>
    <n v="2164"/>
    <x v="4"/>
    <x v="1"/>
    <x v="3"/>
  </r>
  <r>
    <n v="8108"/>
    <x v="73"/>
    <x v="76"/>
    <x v="10"/>
    <n v="1"/>
    <x v="1"/>
    <n v="11.99"/>
    <x v="79"/>
    <x v="5"/>
    <x v="1"/>
    <n v="2"/>
    <b v="0"/>
    <n v="758"/>
    <n v="32"/>
    <x v="1"/>
    <x v="3"/>
    <x v="1"/>
    <n v="64"/>
    <n v="5"/>
    <b v="0"/>
    <x v="0"/>
    <n v="3663"/>
    <x v="0"/>
    <x v="2"/>
    <x v="1"/>
  </r>
  <r>
    <n v="6779"/>
    <x v="74"/>
    <x v="77"/>
    <x v="25"/>
    <n v="4"/>
    <x v="0"/>
    <n v="31.96"/>
    <x v="80"/>
    <x v="6"/>
    <x v="1"/>
    <n v="6"/>
    <b v="1"/>
    <n v="936"/>
    <n v="152"/>
    <x v="4"/>
    <x v="0"/>
    <x v="2"/>
    <n v="3"/>
    <n v="3.1"/>
    <b v="1"/>
    <x v="0"/>
    <n v="2845"/>
    <x v="0"/>
    <x v="3"/>
    <x v="3"/>
  </r>
  <r>
    <n v="1169"/>
    <x v="47"/>
    <x v="78"/>
    <x v="25"/>
    <n v="3"/>
    <x v="1"/>
    <n v="35.97"/>
    <x v="81"/>
    <x v="1"/>
    <x v="0"/>
    <n v="1"/>
    <b v="0"/>
    <n v="13"/>
    <n v="103"/>
    <x v="4"/>
    <x v="2"/>
    <x v="3"/>
    <n v="11"/>
    <n v="3.7"/>
    <b v="0"/>
    <x v="0"/>
    <n v="2390"/>
    <x v="3"/>
    <x v="2"/>
    <x v="2"/>
  </r>
  <r>
    <n v="5067"/>
    <x v="75"/>
    <x v="79"/>
    <x v="12"/>
    <n v="2"/>
    <x v="0"/>
    <n v="15.98"/>
    <x v="82"/>
    <x v="3"/>
    <x v="3"/>
    <n v="1"/>
    <b v="1"/>
    <n v="305"/>
    <n v="77"/>
    <x v="0"/>
    <x v="3"/>
    <x v="5"/>
    <n v="66"/>
    <n v="3.4"/>
    <b v="0"/>
    <x v="0"/>
    <n v="234"/>
    <x v="0"/>
    <x v="4"/>
    <x v="3"/>
  </r>
  <r>
    <n v="5299"/>
    <x v="76"/>
    <x v="80"/>
    <x v="3"/>
    <n v="19"/>
    <x v="0"/>
    <n v="151.81"/>
    <x v="83"/>
    <x v="5"/>
    <x v="2"/>
    <n v="2"/>
    <b v="1"/>
    <n v="755"/>
    <n v="166"/>
    <x v="5"/>
    <x v="1"/>
    <x v="2"/>
    <n v="45"/>
    <n v="3.9"/>
    <b v="0"/>
    <x v="0"/>
    <n v="3975"/>
    <x v="4"/>
    <x v="0"/>
    <x v="2"/>
  </r>
  <r>
    <n v="3978"/>
    <x v="40"/>
    <x v="24"/>
    <x v="14"/>
    <n v="6"/>
    <x v="0"/>
    <n v="47.94"/>
    <x v="84"/>
    <x v="1"/>
    <x v="0"/>
    <n v="4"/>
    <b v="0"/>
    <n v="27"/>
    <n v="82"/>
    <x v="0"/>
    <x v="1"/>
    <x v="1"/>
    <n v="98"/>
    <n v="3.7"/>
    <b v="1"/>
    <x v="0"/>
    <n v="561"/>
    <x v="4"/>
    <x v="3"/>
    <x v="3"/>
  </r>
  <r>
    <n v="8634"/>
    <x v="77"/>
    <x v="2"/>
    <x v="0"/>
    <n v="16"/>
    <x v="2"/>
    <n v="255.84"/>
    <x v="3"/>
    <x v="1"/>
    <x v="2"/>
    <n v="2"/>
    <b v="0"/>
    <n v="676"/>
    <n v="81"/>
    <x v="0"/>
    <x v="3"/>
    <x v="4"/>
    <n v="65"/>
    <n v="4.5999999999999996"/>
    <b v="0"/>
    <x v="0"/>
    <n v="4647"/>
    <x v="4"/>
    <x v="4"/>
    <x v="0"/>
  </r>
  <r>
    <n v="9635"/>
    <x v="78"/>
    <x v="81"/>
    <x v="29"/>
    <n v="11"/>
    <x v="1"/>
    <n v="131.89000000000001"/>
    <x v="85"/>
    <x v="5"/>
    <x v="2"/>
    <n v="5"/>
    <b v="0"/>
    <n v="734"/>
    <n v="83"/>
    <x v="3"/>
    <x v="1"/>
    <x v="5"/>
    <n v="87"/>
    <n v="3.8"/>
    <b v="1"/>
    <x v="0"/>
    <n v="581"/>
    <x v="4"/>
    <x v="0"/>
    <x v="1"/>
  </r>
  <r>
    <n v="1776"/>
    <x v="79"/>
    <x v="82"/>
    <x v="8"/>
    <n v="12"/>
    <x v="2"/>
    <n v="191.88"/>
    <x v="86"/>
    <x v="5"/>
    <x v="1"/>
    <n v="4"/>
    <b v="0"/>
    <n v="687"/>
    <n v="183"/>
    <x v="6"/>
    <x v="3"/>
    <x v="0"/>
    <n v="46"/>
    <n v="4.2"/>
    <b v="1"/>
    <x v="0"/>
    <n v="1250"/>
    <x v="1"/>
    <x v="4"/>
    <x v="0"/>
  </r>
  <r>
    <n v="9703"/>
    <x v="20"/>
    <x v="83"/>
    <x v="20"/>
    <n v="9"/>
    <x v="1"/>
    <n v="107.91"/>
    <x v="87"/>
    <x v="2"/>
    <x v="0"/>
    <n v="5"/>
    <b v="0"/>
    <n v="826"/>
    <n v="182"/>
    <x v="2"/>
    <x v="3"/>
    <x v="4"/>
    <n v="69"/>
    <n v="4.2"/>
    <b v="0"/>
    <x v="0"/>
    <n v="3441"/>
    <x v="0"/>
    <x v="0"/>
    <x v="1"/>
  </r>
  <r>
    <n v="3498"/>
    <x v="80"/>
    <x v="84"/>
    <x v="15"/>
    <n v="14"/>
    <x v="2"/>
    <n v="223.86"/>
    <x v="88"/>
    <x v="1"/>
    <x v="2"/>
    <n v="4"/>
    <b v="1"/>
    <n v="450"/>
    <n v="67"/>
    <x v="3"/>
    <x v="2"/>
    <x v="1"/>
    <n v="52"/>
    <n v="3.3"/>
    <b v="0"/>
    <x v="0"/>
    <n v="3211"/>
    <x v="0"/>
    <x v="4"/>
    <x v="2"/>
  </r>
  <r>
    <n v="4260"/>
    <x v="81"/>
    <x v="85"/>
    <x v="17"/>
    <n v="5"/>
    <x v="0"/>
    <n v="39.950000000000003"/>
    <x v="89"/>
    <x v="4"/>
    <x v="1"/>
    <n v="1"/>
    <b v="0"/>
    <n v="159"/>
    <n v="98"/>
    <x v="5"/>
    <x v="2"/>
    <x v="3"/>
    <n v="66"/>
    <n v="3.3"/>
    <b v="0"/>
    <x v="0"/>
    <n v="647"/>
    <x v="0"/>
    <x v="4"/>
    <x v="0"/>
  </r>
  <r>
    <n v="7152"/>
    <x v="46"/>
    <x v="86"/>
    <x v="22"/>
    <n v="21"/>
    <x v="1"/>
    <n v="251.79"/>
    <x v="15"/>
    <x v="0"/>
    <x v="3"/>
    <n v="3"/>
    <b v="0"/>
    <n v="367"/>
    <n v="198"/>
    <x v="3"/>
    <x v="1"/>
    <x v="0"/>
    <n v="11"/>
    <n v="4.5999999999999996"/>
    <b v="1"/>
    <x v="0"/>
    <n v="3751"/>
    <x v="3"/>
    <x v="0"/>
    <x v="3"/>
  </r>
  <r>
    <n v="2457"/>
    <x v="59"/>
    <x v="87"/>
    <x v="29"/>
    <n v="13"/>
    <x v="0"/>
    <n v="103.87"/>
    <x v="90"/>
    <x v="5"/>
    <x v="1"/>
    <n v="1"/>
    <b v="0"/>
    <n v="786"/>
    <n v="140"/>
    <x v="1"/>
    <x v="1"/>
    <x v="5"/>
    <n v="95"/>
    <n v="3.4"/>
    <b v="0"/>
    <x v="0"/>
    <n v="2925"/>
    <x v="4"/>
    <x v="1"/>
    <x v="0"/>
  </r>
  <r>
    <n v="8530"/>
    <x v="82"/>
    <x v="45"/>
    <x v="22"/>
    <n v="20"/>
    <x v="1"/>
    <n v="239.8"/>
    <x v="91"/>
    <x v="3"/>
    <x v="1"/>
    <n v="6"/>
    <b v="1"/>
    <n v="962"/>
    <n v="183"/>
    <x v="4"/>
    <x v="1"/>
    <x v="4"/>
    <n v="90"/>
    <n v="5"/>
    <b v="0"/>
    <x v="0"/>
    <n v="4646"/>
    <x v="2"/>
    <x v="4"/>
    <x v="0"/>
  </r>
  <r>
    <n v="9131"/>
    <x v="83"/>
    <x v="88"/>
    <x v="12"/>
    <n v="15"/>
    <x v="0"/>
    <n v="119.85000000000001"/>
    <x v="92"/>
    <x v="2"/>
    <x v="2"/>
    <n v="5"/>
    <b v="0"/>
    <n v="482"/>
    <n v="5"/>
    <x v="3"/>
    <x v="3"/>
    <x v="4"/>
    <n v="99"/>
    <n v="3.6"/>
    <b v="0"/>
    <x v="0"/>
    <n v="2867"/>
    <x v="1"/>
    <x v="1"/>
    <x v="3"/>
  </r>
  <r>
    <n v="9770"/>
    <x v="84"/>
    <x v="89"/>
    <x v="24"/>
    <n v="12"/>
    <x v="0"/>
    <n v="95.88"/>
    <x v="93"/>
    <x v="6"/>
    <x v="4"/>
    <n v="3"/>
    <b v="0"/>
    <n v="451"/>
    <n v="108"/>
    <x v="2"/>
    <x v="0"/>
    <x v="3"/>
    <n v="91"/>
    <n v="3.2"/>
    <b v="1"/>
    <x v="0"/>
    <n v="4131"/>
    <x v="2"/>
    <x v="1"/>
    <x v="1"/>
  </r>
  <r>
    <n v="8095"/>
    <x v="85"/>
    <x v="90"/>
    <x v="11"/>
    <n v="19"/>
    <x v="0"/>
    <n v="151.81"/>
    <x v="94"/>
    <x v="0"/>
    <x v="2"/>
    <n v="5"/>
    <b v="1"/>
    <n v="22"/>
    <n v="14"/>
    <x v="4"/>
    <x v="1"/>
    <x v="4"/>
    <n v="25"/>
    <n v="4.0999999999999996"/>
    <b v="1"/>
    <x v="0"/>
    <n v="2927"/>
    <x v="2"/>
    <x v="0"/>
    <x v="1"/>
  </r>
  <r>
    <n v="3763"/>
    <x v="86"/>
    <x v="91"/>
    <x v="27"/>
    <n v="23"/>
    <x v="1"/>
    <n v="275.77"/>
    <x v="95"/>
    <x v="4"/>
    <x v="4"/>
    <n v="2"/>
    <b v="0"/>
    <n v="848"/>
    <n v="172"/>
    <x v="3"/>
    <x v="3"/>
    <x v="2"/>
    <n v="6"/>
    <n v="3.4"/>
    <b v="0"/>
    <x v="0"/>
    <n v="3314"/>
    <x v="0"/>
    <x v="4"/>
    <x v="2"/>
  </r>
  <r>
    <n v="4346"/>
    <x v="87"/>
    <x v="92"/>
    <x v="20"/>
    <n v="9"/>
    <x v="2"/>
    <n v="143.91"/>
    <x v="70"/>
    <x v="0"/>
    <x v="4"/>
    <n v="2"/>
    <b v="0"/>
    <n v="524"/>
    <n v="162"/>
    <x v="0"/>
    <x v="3"/>
    <x v="1"/>
    <n v="20"/>
    <n v="3"/>
    <b v="1"/>
    <x v="0"/>
    <n v="1782"/>
    <x v="0"/>
    <x v="3"/>
    <x v="2"/>
  </r>
  <r>
    <n v="5866"/>
    <x v="66"/>
    <x v="93"/>
    <x v="29"/>
    <n v="5"/>
    <x v="0"/>
    <n v="39.950000000000003"/>
    <x v="96"/>
    <x v="3"/>
    <x v="2"/>
    <n v="3"/>
    <b v="0"/>
    <n v="76"/>
    <n v="25"/>
    <x v="5"/>
    <x v="0"/>
    <x v="0"/>
    <n v="95"/>
    <n v="4.2"/>
    <b v="1"/>
    <x v="0"/>
    <n v="1938"/>
    <x v="3"/>
    <x v="4"/>
    <x v="3"/>
  </r>
  <r>
    <n v="5865"/>
    <x v="88"/>
    <x v="94"/>
    <x v="24"/>
    <n v="16"/>
    <x v="1"/>
    <n v="191.84"/>
    <x v="97"/>
    <x v="2"/>
    <x v="2"/>
    <n v="3"/>
    <b v="0"/>
    <n v="959"/>
    <n v="183"/>
    <x v="5"/>
    <x v="0"/>
    <x v="0"/>
    <n v="93"/>
    <n v="3.8"/>
    <b v="0"/>
    <x v="0"/>
    <n v="3935"/>
    <x v="2"/>
    <x v="2"/>
    <x v="3"/>
  </r>
  <r>
    <n v="9398"/>
    <x v="89"/>
    <x v="95"/>
    <x v="11"/>
    <n v="1"/>
    <x v="0"/>
    <n v="7.99"/>
    <x v="98"/>
    <x v="5"/>
    <x v="0"/>
    <n v="5"/>
    <b v="1"/>
    <n v="148"/>
    <n v="154"/>
    <x v="2"/>
    <x v="2"/>
    <x v="0"/>
    <n v="21"/>
    <n v="3.1"/>
    <b v="0"/>
    <x v="0"/>
    <n v="3206"/>
    <x v="2"/>
    <x v="3"/>
    <x v="0"/>
  </r>
  <r>
    <n v="9695"/>
    <x v="90"/>
    <x v="96"/>
    <x v="13"/>
    <n v="12"/>
    <x v="0"/>
    <n v="95.88"/>
    <x v="99"/>
    <x v="3"/>
    <x v="4"/>
    <n v="4"/>
    <b v="0"/>
    <n v="338"/>
    <n v="132"/>
    <x v="4"/>
    <x v="0"/>
    <x v="3"/>
    <n v="63"/>
    <n v="3.3"/>
    <b v="0"/>
    <x v="0"/>
    <n v="2523"/>
    <x v="0"/>
    <x v="2"/>
    <x v="0"/>
  </r>
  <r>
    <n v="8805"/>
    <x v="12"/>
    <x v="97"/>
    <x v="27"/>
    <n v="5"/>
    <x v="2"/>
    <n v="79.95"/>
    <x v="36"/>
    <x v="6"/>
    <x v="4"/>
    <n v="2"/>
    <b v="1"/>
    <n v="720"/>
    <n v="37"/>
    <x v="4"/>
    <x v="0"/>
    <x v="3"/>
    <n v="8"/>
    <n v="4"/>
    <b v="1"/>
    <x v="0"/>
    <n v="2727"/>
    <x v="3"/>
    <x v="4"/>
    <x v="1"/>
  </r>
  <r>
    <n v="8353"/>
    <x v="43"/>
    <x v="98"/>
    <x v="4"/>
    <n v="16"/>
    <x v="2"/>
    <n v="255.84"/>
    <x v="100"/>
    <x v="6"/>
    <x v="3"/>
    <n v="3"/>
    <b v="0"/>
    <n v="387"/>
    <n v="81"/>
    <x v="4"/>
    <x v="0"/>
    <x v="4"/>
    <n v="87"/>
    <n v="3.8"/>
    <b v="1"/>
    <x v="0"/>
    <n v="2864"/>
    <x v="4"/>
    <x v="3"/>
    <x v="0"/>
  </r>
  <r>
    <n v="3178"/>
    <x v="91"/>
    <x v="99"/>
    <x v="11"/>
    <n v="8"/>
    <x v="0"/>
    <n v="63.92"/>
    <x v="101"/>
    <x v="4"/>
    <x v="3"/>
    <n v="4"/>
    <b v="0"/>
    <n v="624"/>
    <n v="107"/>
    <x v="3"/>
    <x v="1"/>
    <x v="3"/>
    <n v="4"/>
    <n v="3.1"/>
    <b v="1"/>
    <x v="0"/>
    <n v="3698"/>
    <x v="4"/>
    <x v="3"/>
    <x v="3"/>
  </r>
  <r>
    <n v="4917"/>
    <x v="92"/>
    <x v="65"/>
    <x v="8"/>
    <n v="21"/>
    <x v="1"/>
    <n v="251.79"/>
    <x v="102"/>
    <x v="4"/>
    <x v="1"/>
    <n v="4"/>
    <b v="0"/>
    <n v="636"/>
    <n v="66"/>
    <x v="4"/>
    <x v="0"/>
    <x v="5"/>
    <n v="78"/>
    <n v="3.5"/>
    <b v="0"/>
    <x v="0"/>
    <n v="1531"/>
    <x v="0"/>
    <x v="3"/>
    <x v="2"/>
  </r>
  <r>
    <n v="8878"/>
    <x v="93"/>
    <x v="83"/>
    <x v="18"/>
    <n v="8"/>
    <x v="0"/>
    <n v="63.92"/>
    <x v="103"/>
    <x v="5"/>
    <x v="3"/>
    <n v="1"/>
    <b v="1"/>
    <n v="429"/>
    <n v="190"/>
    <x v="1"/>
    <x v="2"/>
    <x v="2"/>
    <n v="88"/>
    <n v="4.8"/>
    <b v="0"/>
    <x v="0"/>
    <n v="4884"/>
    <x v="0"/>
    <x v="0"/>
    <x v="3"/>
  </r>
  <r>
    <n v="3810"/>
    <x v="94"/>
    <x v="100"/>
    <x v="22"/>
    <n v="21"/>
    <x v="2"/>
    <n v="335.79"/>
    <x v="89"/>
    <x v="4"/>
    <x v="3"/>
    <n v="3"/>
    <b v="0"/>
    <n v="832"/>
    <n v="103"/>
    <x v="4"/>
    <x v="3"/>
    <x v="2"/>
    <n v="79"/>
    <n v="3.3"/>
    <b v="0"/>
    <x v="0"/>
    <n v="3633"/>
    <x v="0"/>
    <x v="1"/>
    <x v="1"/>
  </r>
  <r>
    <n v="9353"/>
    <x v="95"/>
    <x v="101"/>
    <x v="29"/>
    <n v="15"/>
    <x v="0"/>
    <n v="119.85000000000001"/>
    <x v="104"/>
    <x v="3"/>
    <x v="4"/>
    <n v="4"/>
    <b v="1"/>
    <n v="63"/>
    <n v="126"/>
    <x v="5"/>
    <x v="1"/>
    <x v="2"/>
    <n v="77"/>
    <n v="3.9"/>
    <b v="1"/>
    <x v="0"/>
    <n v="4719"/>
    <x v="0"/>
    <x v="1"/>
    <x v="3"/>
  </r>
  <r>
    <n v="1672"/>
    <x v="96"/>
    <x v="102"/>
    <x v="14"/>
    <n v="23"/>
    <x v="2"/>
    <n v="367.77"/>
    <x v="105"/>
    <x v="4"/>
    <x v="4"/>
    <n v="1"/>
    <b v="0"/>
    <n v="52"/>
    <n v="8"/>
    <x v="6"/>
    <x v="2"/>
    <x v="5"/>
    <n v="17"/>
    <n v="3.2"/>
    <b v="1"/>
    <x v="0"/>
    <n v="3161"/>
    <x v="2"/>
    <x v="3"/>
    <x v="2"/>
  </r>
  <r>
    <n v="6650"/>
    <x v="97"/>
    <x v="103"/>
    <x v="29"/>
    <n v="8"/>
    <x v="1"/>
    <n v="95.92"/>
    <x v="106"/>
    <x v="1"/>
    <x v="2"/>
    <n v="3"/>
    <b v="1"/>
    <n v="909"/>
    <n v="165"/>
    <x v="5"/>
    <x v="3"/>
    <x v="3"/>
    <n v="28"/>
    <n v="3.6"/>
    <b v="1"/>
    <x v="0"/>
    <n v="3607"/>
    <x v="1"/>
    <x v="2"/>
    <x v="1"/>
  </r>
  <r>
    <n v="2581"/>
    <x v="98"/>
    <x v="64"/>
    <x v="3"/>
    <n v="19"/>
    <x v="2"/>
    <n v="303.81"/>
    <x v="107"/>
    <x v="3"/>
    <x v="1"/>
    <n v="3"/>
    <b v="0"/>
    <n v="704"/>
    <n v="53"/>
    <x v="2"/>
    <x v="2"/>
    <x v="4"/>
    <n v="94"/>
    <n v="3.4"/>
    <b v="0"/>
    <x v="0"/>
    <n v="944"/>
    <x v="4"/>
    <x v="4"/>
    <x v="1"/>
  </r>
  <r>
    <n v="6860"/>
    <x v="99"/>
    <x v="104"/>
    <x v="17"/>
    <n v="10"/>
    <x v="0"/>
    <n v="79.900000000000006"/>
    <x v="108"/>
    <x v="1"/>
    <x v="3"/>
    <n v="4"/>
    <b v="0"/>
    <n v="751"/>
    <n v="103"/>
    <x v="2"/>
    <x v="3"/>
    <x v="5"/>
    <n v="33"/>
    <n v="3.6"/>
    <b v="0"/>
    <x v="0"/>
    <n v="2757"/>
    <x v="2"/>
    <x v="4"/>
    <x v="0"/>
  </r>
  <r>
    <n v="4584"/>
    <x v="37"/>
    <x v="105"/>
    <x v="2"/>
    <n v="2"/>
    <x v="0"/>
    <n v="15.98"/>
    <x v="109"/>
    <x v="1"/>
    <x v="0"/>
    <n v="6"/>
    <b v="0"/>
    <n v="185"/>
    <n v="134"/>
    <x v="0"/>
    <x v="2"/>
    <x v="3"/>
    <n v="18"/>
    <n v="3.3"/>
    <b v="0"/>
    <x v="0"/>
    <n v="727"/>
    <x v="0"/>
    <x v="3"/>
    <x v="2"/>
  </r>
  <r>
    <n v="3354"/>
    <x v="43"/>
    <x v="106"/>
    <x v="7"/>
    <n v="13"/>
    <x v="1"/>
    <n v="155.87"/>
    <x v="110"/>
    <x v="5"/>
    <x v="2"/>
    <n v="2"/>
    <b v="0"/>
    <n v="503"/>
    <n v="6"/>
    <x v="6"/>
    <x v="0"/>
    <x v="5"/>
    <n v="23"/>
    <n v="3.2"/>
    <b v="1"/>
    <x v="0"/>
    <n v="3496"/>
    <x v="3"/>
    <x v="3"/>
    <x v="3"/>
  </r>
  <r>
    <n v="4668"/>
    <x v="100"/>
    <x v="107"/>
    <x v="28"/>
    <n v="0"/>
    <x v="1"/>
    <n v="0"/>
    <x v="59"/>
    <x v="2"/>
    <x v="3"/>
    <n v="5"/>
    <b v="1"/>
    <n v="549"/>
    <n v="35"/>
    <x v="1"/>
    <x v="0"/>
    <x v="1"/>
    <n v="66"/>
    <n v="3.6"/>
    <b v="1"/>
    <x v="0"/>
    <n v="4293"/>
    <x v="3"/>
    <x v="4"/>
    <x v="2"/>
  </r>
  <r>
    <n v="6684"/>
    <x v="101"/>
    <x v="40"/>
    <x v="11"/>
    <n v="2"/>
    <x v="1"/>
    <n v="23.98"/>
    <x v="111"/>
    <x v="6"/>
    <x v="1"/>
    <n v="6"/>
    <b v="1"/>
    <n v="434"/>
    <n v="182"/>
    <x v="5"/>
    <x v="3"/>
    <x v="3"/>
    <n v="24"/>
    <n v="4.0999999999999996"/>
    <b v="0"/>
    <x v="0"/>
    <n v="1357"/>
    <x v="4"/>
    <x v="3"/>
    <x v="0"/>
  </r>
  <r>
    <n v="8058"/>
    <x v="102"/>
    <x v="108"/>
    <x v="2"/>
    <n v="20"/>
    <x v="2"/>
    <n v="319.8"/>
    <x v="112"/>
    <x v="2"/>
    <x v="4"/>
    <n v="6"/>
    <b v="0"/>
    <n v="832"/>
    <n v="134"/>
    <x v="4"/>
    <x v="3"/>
    <x v="3"/>
    <n v="99"/>
    <n v="4.5999999999999996"/>
    <b v="1"/>
    <x v="0"/>
    <n v="3596"/>
    <x v="1"/>
    <x v="2"/>
    <x v="2"/>
  </r>
  <r>
    <n v="3035"/>
    <x v="47"/>
    <x v="44"/>
    <x v="24"/>
    <n v="18"/>
    <x v="2"/>
    <n v="287.82"/>
    <x v="113"/>
    <x v="6"/>
    <x v="0"/>
    <n v="3"/>
    <b v="1"/>
    <n v="377"/>
    <n v="31"/>
    <x v="5"/>
    <x v="2"/>
    <x v="4"/>
    <n v="85"/>
    <n v="3.5"/>
    <b v="1"/>
    <x v="0"/>
    <n v="613"/>
    <x v="1"/>
    <x v="4"/>
    <x v="0"/>
  </r>
  <r>
    <n v="2146"/>
    <x v="103"/>
    <x v="109"/>
    <x v="7"/>
    <n v="4"/>
    <x v="1"/>
    <n v="47.96"/>
    <x v="114"/>
    <x v="4"/>
    <x v="3"/>
    <n v="4"/>
    <b v="1"/>
    <n v="380"/>
    <n v="125"/>
    <x v="4"/>
    <x v="0"/>
    <x v="1"/>
    <n v="14"/>
    <n v="3.2"/>
    <b v="0"/>
    <x v="0"/>
    <n v="2381"/>
    <x v="4"/>
    <x v="1"/>
    <x v="3"/>
  </r>
  <r>
    <n v="5761"/>
    <x v="104"/>
    <x v="110"/>
    <x v="23"/>
    <n v="10"/>
    <x v="2"/>
    <n v="159.9"/>
    <x v="99"/>
    <x v="1"/>
    <x v="2"/>
    <n v="5"/>
    <b v="0"/>
    <n v="315"/>
    <n v="118"/>
    <x v="3"/>
    <x v="3"/>
    <x v="3"/>
    <n v="28"/>
    <n v="3"/>
    <b v="1"/>
    <x v="0"/>
    <n v="2159"/>
    <x v="1"/>
    <x v="3"/>
    <x v="2"/>
  </r>
  <r>
    <n v="5256"/>
    <x v="105"/>
    <x v="111"/>
    <x v="3"/>
    <n v="0"/>
    <x v="2"/>
    <n v="0"/>
    <x v="115"/>
    <x v="2"/>
    <x v="4"/>
    <n v="4"/>
    <b v="1"/>
    <n v="968"/>
    <n v="24"/>
    <x v="4"/>
    <x v="1"/>
    <x v="2"/>
    <n v="30"/>
    <n v="3"/>
    <b v="1"/>
    <x v="0"/>
    <n v="119"/>
    <x v="4"/>
    <x v="4"/>
    <x v="0"/>
  </r>
  <r>
    <n v="5995"/>
    <x v="91"/>
    <x v="8"/>
    <x v="12"/>
    <n v="17"/>
    <x v="2"/>
    <n v="271.83"/>
    <x v="116"/>
    <x v="0"/>
    <x v="2"/>
    <n v="5"/>
    <b v="1"/>
    <n v="757"/>
    <n v="35"/>
    <x v="2"/>
    <x v="2"/>
    <x v="2"/>
    <n v="81"/>
    <n v="4.5999999999999996"/>
    <b v="0"/>
    <x v="0"/>
    <n v="2798"/>
    <x v="0"/>
    <x v="1"/>
    <x v="0"/>
  </r>
  <r>
    <n v="4155"/>
    <x v="106"/>
    <x v="112"/>
    <x v="27"/>
    <n v="20"/>
    <x v="1"/>
    <n v="239.8"/>
    <x v="117"/>
    <x v="2"/>
    <x v="4"/>
    <n v="2"/>
    <b v="0"/>
    <n v="560"/>
    <n v="98"/>
    <x v="6"/>
    <x v="1"/>
    <x v="2"/>
    <n v="90"/>
    <n v="3.8"/>
    <b v="0"/>
    <x v="0"/>
    <n v="496"/>
    <x v="3"/>
    <x v="2"/>
    <x v="3"/>
  </r>
  <r>
    <n v="1851"/>
    <x v="13"/>
    <x v="113"/>
    <x v="11"/>
    <n v="14"/>
    <x v="1"/>
    <n v="167.86"/>
    <x v="118"/>
    <x v="4"/>
    <x v="0"/>
    <n v="1"/>
    <b v="0"/>
    <n v="456"/>
    <n v="196"/>
    <x v="6"/>
    <x v="2"/>
    <x v="2"/>
    <n v="83"/>
    <n v="5"/>
    <b v="0"/>
    <x v="0"/>
    <n v="3599"/>
    <x v="1"/>
    <x v="3"/>
    <x v="1"/>
  </r>
  <r>
    <n v="8068"/>
    <x v="107"/>
    <x v="114"/>
    <x v="16"/>
    <n v="0"/>
    <x v="2"/>
    <n v="0"/>
    <x v="119"/>
    <x v="1"/>
    <x v="3"/>
    <n v="3"/>
    <b v="0"/>
    <n v="780"/>
    <n v="138"/>
    <x v="3"/>
    <x v="3"/>
    <x v="5"/>
    <n v="66"/>
    <n v="3.4"/>
    <b v="0"/>
    <x v="0"/>
    <n v="1752"/>
    <x v="4"/>
    <x v="2"/>
    <x v="3"/>
  </r>
  <r>
    <n v="8425"/>
    <x v="1"/>
    <x v="115"/>
    <x v="14"/>
    <n v="0"/>
    <x v="0"/>
    <n v="0"/>
    <x v="120"/>
    <x v="5"/>
    <x v="3"/>
    <n v="3"/>
    <b v="1"/>
    <n v="168"/>
    <n v="18"/>
    <x v="4"/>
    <x v="3"/>
    <x v="2"/>
    <n v="32"/>
    <n v="3.5"/>
    <b v="1"/>
    <x v="0"/>
    <n v="3633"/>
    <x v="3"/>
    <x v="1"/>
    <x v="1"/>
  </r>
  <r>
    <n v="4706"/>
    <x v="53"/>
    <x v="116"/>
    <x v="27"/>
    <n v="21"/>
    <x v="1"/>
    <n v="251.79"/>
    <x v="121"/>
    <x v="2"/>
    <x v="1"/>
    <n v="2"/>
    <b v="1"/>
    <n v="350"/>
    <n v="122"/>
    <x v="6"/>
    <x v="0"/>
    <x v="3"/>
    <n v="59"/>
    <n v="4.5999999999999996"/>
    <b v="0"/>
    <x v="0"/>
    <n v="3568"/>
    <x v="1"/>
    <x v="0"/>
    <x v="0"/>
  </r>
  <r>
    <n v="7544"/>
    <x v="108"/>
    <x v="46"/>
    <x v="9"/>
    <n v="14"/>
    <x v="2"/>
    <n v="223.86"/>
    <x v="122"/>
    <x v="4"/>
    <x v="1"/>
    <n v="3"/>
    <b v="0"/>
    <n v="341"/>
    <n v="193"/>
    <x v="2"/>
    <x v="2"/>
    <x v="2"/>
    <n v="95"/>
    <n v="3.7"/>
    <b v="0"/>
    <x v="0"/>
    <n v="4361"/>
    <x v="0"/>
    <x v="3"/>
    <x v="3"/>
  </r>
  <r>
    <n v="4029"/>
    <x v="109"/>
    <x v="117"/>
    <x v="24"/>
    <n v="1"/>
    <x v="1"/>
    <n v="11.99"/>
    <x v="123"/>
    <x v="1"/>
    <x v="2"/>
    <n v="3"/>
    <b v="0"/>
    <n v="392"/>
    <n v="151"/>
    <x v="1"/>
    <x v="1"/>
    <x v="1"/>
    <n v="27"/>
    <n v="4.2"/>
    <b v="1"/>
    <x v="0"/>
    <n v="1176"/>
    <x v="0"/>
    <x v="2"/>
    <x v="1"/>
  </r>
  <r>
    <n v="6117"/>
    <x v="42"/>
    <x v="118"/>
    <x v="12"/>
    <n v="5"/>
    <x v="0"/>
    <n v="39.950000000000003"/>
    <x v="124"/>
    <x v="1"/>
    <x v="3"/>
    <n v="5"/>
    <b v="1"/>
    <n v="95"/>
    <n v="158"/>
    <x v="4"/>
    <x v="2"/>
    <x v="0"/>
    <n v="49"/>
    <n v="3.9"/>
    <b v="0"/>
    <x v="0"/>
    <n v="1849"/>
    <x v="4"/>
    <x v="2"/>
    <x v="1"/>
  </r>
  <r>
    <n v="1408"/>
    <x v="110"/>
    <x v="119"/>
    <x v="8"/>
    <n v="21"/>
    <x v="1"/>
    <n v="251.79"/>
    <x v="125"/>
    <x v="1"/>
    <x v="3"/>
    <n v="6"/>
    <b v="1"/>
    <n v="186"/>
    <n v="129"/>
    <x v="3"/>
    <x v="1"/>
    <x v="0"/>
    <n v="38"/>
    <n v="4"/>
    <b v="1"/>
    <x v="0"/>
    <n v="3953"/>
    <x v="3"/>
    <x v="0"/>
    <x v="1"/>
  </r>
  <r>
    <n v="8396"/>
    <x v="5"/>
    <x v="38"/>
    <x v="11"/>
    <n v="9"/>
    <x v="0"/>
    <n v="71.91"/>
    <x v="126"/>
    <x v="3"/>
    <x v="1"/>
    <n v="5"/>
    <b v="0"/>
    <n v="543"/>
    <n v="111"/>
    <x v="5"/>
    <x v="0"/>
    <x v="5"/>
    <n v="28"/>
    <n v="3.7"/>
    <b v="0"/>
    <x v="0"/>
    <n v="3277"/>
    <x v="2"/>
    <x v="4"/>
    <x v="1"/>
  </r>
  <r>
    <n v="6806"/>
    <x v="111"/>
    <x v="81"/>
    <x v="16"/>
    <n v="11"/>
    <x v="0"/>
    <n v="87.89"/>
    <x v="127"/>
    <x v="0"/>
    <x v="2"/>
    <n v="3"/>
    <b v="1"/>
    <n v="858"/>
    <n v="65"/>
    <x v="5"/>
    <x v="1"/>
    <x v="2"/>
    <n v="5"/>
    <n v="4.5999999999999996"/>
    <b v="1"/>
    <x v="0"/>
    <n v="1572"/>
    <x v="3"/>
    <x v="3"/>
    <x v="3"/>
  </r>
  <r>
    <n v="3496"/>
    <x v="94"/>
    <x v="120"/>
    <x v="11"/>
    <n v="12"/>
    <x v="1"/>
    <n v="143.88"/>
    <x v="128"/>
    <x v="1"/>
    <x v="4"/>
    <n v="6"/>
    <b v="0"/>
    <n v="906"/>
    <n v="43"/>
    <x v="3"/>
    <x v="0"/>
    <x v="1"/>
    <n v="59"/>
    <n v="4.9000000000000004"/>
    <b v="1"/>
    <x v="0"/>
    <n v="2676"/>
    <x v="4"/>
    <x v="1"/>
    <x v="2"/>
  </r>
  <r>
    <n v="7840"/>
    <x v="112"/>
    <x v="121"/>
    <x v="11"/>
    <n v="10"/>
    <x v="2"/>
    <n v="159.9"/>
    <x v="129"/>
    <x v="5"/>
    <x v="3"/>
    <n v="3"/>
    <b v="1"/>
    <n v="808"/>
    <n v="48"/>
    <x v="2"/>
    <x v="0"/>
    <x v="0"/>
    <n v="55"/>
    <n v="3.3"/>
    <b v="1"/>
    <x v="0"/>
    <n v="3053"/>
    <x v="2"/>
    <x v="4"/>
    <x v="3"/>
  </r>
  <r>
    <n v="2099"/>
    <x v="47"/>
    <x v="71"/>
    <x v="16"/>
    <n v="4"/>
    <x v="1"/>
    <n v="47.96"/>
    <x v="28"/>
    <x v="1"/>
    <x v="1"/>
    <n v="6"/>
    <b v="1"/>
    <n v="84"/>
    <n v="73"/>
    <x v="5"/>
    <x v="3"/>
    <x v="0"/>
    <n v="59"/>
    <n v="3.6"/>
    <b v="1"/>
    <x v="0"/>
    <n v="2620"/>
    <x v="1"/>
    <x v="0"/>
    <x v="2"/>
  </r>
  <r>
    <n v="6518"/>
    <x v="113"/>
    <x v="122"/>
    <x v="19"/>
    <n v="0"/>
    <x v="0"/>
    <n v="0"/>
    <x v="130"/>
    <x v="0"/>
    <x v="3"/>
    <n v="3"/>
    <b v="1"/>
    <n v="780"/>
    <n v="78"/>
    <x v="2"/>
    <x v="0"/>
    <x v="3"/>
    <n v="66"/>
    <n v="4"/>
    <b v="0"/>
    <x v="0"/>
    <n v="4068"/>
    <x v="2"/>
    <x v="0"/>
    <x v="2"/>
  </r>
  <r>
    <n v="1976"/>
    <x v="99"/>
    <x v="76"/>
    <x v="17"/>
    <n v="1"/>
    <x v="1"/>
    <n v="11.99"/>
    <x v="91"/>
    <x v="2"/>
    <x v="0"/>
    <n v="1"/>
    <b v="0"/>
    <n v="247"/>
    <n v="30"/>
    <x v="2"/>
    <x v="1"/>
    <x v="2"/>
    <n v="46"/>
    <n v="4.7"/>
    <b v="1"/>
    <x v="0"/>
    <n v="172"/>
    <x v="4"/>
    <x v="1"/>
    <x v="2"/>
  </r>
  <r>
    <n v="8777"/>
    <x v="114"/>
    <x v="104"/>
    <x v="12"/>
    <n v="9"/>
    <x v="1"/>
    <n v="107.91"/>
    <x v="131"/>
    <x v="2"/>
    <x v="4"/>
    <n v="4"/>
    <b v="0"/>
    <n v="190"/>
    <n v="105"/>
    <x v="6"/>
    <x v="2"/>
    <x v="1"/>
    <n v="67"/>
    <n v="4.0999999999999996"/>
    <b v="0"/>
    <x v="0"/>
    <n v="1040"/>
    <x v="0"/>
    <x v="3"/>
    <x v="1"/>
  </r>
  <r>
    <n v="1576"/>
    <x v="51"/>
    <x v="123"/>
    <x v="8"/>
    <n v="20"/>
    <x v="1"/>
    <n v="239.8"/>
    <x v="132"/>
    <x v="1"/>
    <x v="4"/>
    <n v="1"/>
    <b v="1"/>
    <n v="390"/>
    <n v="163"/>
    <x v="4"/>
    <x v="3"/>
    <x v="5"/>
    <n v="43"/>
    <n v="3.3"/>
    <b v="0"/>
    <x v="0"/>
    <n v="3574"/>
    <x v="2"/>
    <x v="1"/>
    <x v="3"/>
  </r>
  <r>
    <n v="7979"/>
    <x v="115"/>
    <x v="124"/>
    <x v="12"/>
    <n v="18"/>
    <x v="1"/>
    <n v="215.82"/>
    <x v="133"/>
    <x v="2"/>
    <x v="4"/>
    <n v="5"/>
    <b v="1"/>
    <n v="203"/>
    <n v="50"/>
    <x v="6"/>
    <x v="0"/>
    <x v="3"/>
    <n v="12"/>
    <n v="3.4"/>
    <b v="1"/>
    <x v="0"/>
    <n v="3659"/>
    <x v="0"/>
    <x v="1"/>
    <x v="2"/>
  </r>
  <r>
    <n v="6300"/>
    <x v="116"/>
    <x v="18"/>
    <x v="28"/>
    <n v="14"/>
    <x v="2"/>
    <n v="223.86"/>
    <x v="9"/>
    <x v="0"/>
    <x v="0"/>
    <n v="5"/>
    <b v="0"/>
    <n v="161"/>
    <n v="77"/>
    <x v="4"/>
    <x v="3"/>
    <x v="1"/>
    <n v="97"/>
    <n v="3.7"/>
    <b v="1"/>
    <x v="0"/>
    <n v="1991"/>
    <x v="3"/>
    <x v="3"/>
    <x v="0"/>
  </r>
  <r>
    <n v="1003"/>
    <x v="117"/>
    <x v="125"/>
    <x v="7"/>
    <n v="0"/>
    <x v="1"/>
    <n v="0"/>
    <x v="134"/>
    <x v="4"/>
    <x v="3"/>
    <n v="4"/>
    <b v="0"/>
    <n v="350"/>
    <n v="2"/>
    <x v="5"/>
    <x v="3"/>
    <x v="3"/>
    <n v="41"/>
    <n v="3.1"/>
    <b v="1"/>
    <x v="0"/>
    <n v="2043"/>
    <x v="0"/>
    <x v="0"/>
    <x v="0"/>
  </r>
  <r>
    <n v="8238"/>
    <x v="118"/>
    <x v="126"/>
    <x v="14"/>
    <n v="10"/>
    <x v="0"/>
    <n v="79.900000000000006"/>
    <x v="135"/>
    <x v="5"/>
    <x v="0"/>
    <n v="5"/>
    <b v="0"/>
    <n v="26"/>
    <n v="2"/>
    <x v="6"/>
    <x v="0"/>
    <x v="1"/>
    <n v="39"/>
    <n v="4.8"/>
    <b v="0"/>
    <x v="0"/>
    <n v="882"/>
    <x v="0"/>
    <x v="3"/>
    <x v="0"/>
  </r>
  <r>
    <n v="8261"/>
    <x v="46"/>
    <x v="127"/>
    <x v="22"/>
    <n v="23"/>
    <x v="0"/>
    <n v="183.77"/>
    <x v="136"/>
    <x v="5"/>
    <x v="1"/>
    <n v="3"/>
    <b v="1"/>
    <n v="819"/>
    <n v="18"/>
    <x v="5"/>
    <x v="1"/>
    <x v="0"/>
    <n v="12"/>
    <n v="3.4"/>
    <b v="1"/>
    <x v="0"/>
    <n v="4243"/>
    <x v="3"/>
    <x v="1"/>
    <x v="2"/>
  </r>
  <r>
    <n v="7729"/>
    <x v="25"/>
    <x v="128"/>
    <x v="11"/>
    <n v="21"/>
    <x v="1"/>
    <n v="251.79"/>
    <x v="137"/>
    <x v="6"/>
    <x v="3"/>
    <n v="4"/>
    <b v="0"/>
    <n v="27"/>
    <n v="175"/>
    <x v="5"/>
    <x v="0"/>
    <x v="0"/>
    <n v="78"/>
    <n v="4"/>
    <b v="1"/>
    <x v="0"/>
    <n v="2218"/>
    <x v="1"/>
    <x v="3"/>
    <x v="3"/>
  </r>
  <r>
    <n v="8616"/>
    <x v="84"/>
    <x v="129"/>
    <x v="22"/>
    <n v="0"/>
    <x v="1"/>
    <n v="0"/>
    <x v="138"/>
    <x v="4"/>
    <x v="4"/>
    <n v="6"/>
    <b v="0"/>
    <n v="543"/>
    <n v="126"/>
    <x v="2"/>
    <x v="1"/>
    <x v="2"/>
    <n v="95"/>
    <n v="3.4"/>
    <b v="1"/>
    <x v="0"/>
    <n v="97"/>
    <x v="0"/>
    <x v="0"/>
    <x v="0"/>
  </r>
  <r>
    <n v="9734"/>
    <x v="24"/>
    <x v="59"/>
    <x v="2"/>
    <n v="0"/>
    <x v="2"/>
    <n v="0"/>
    <x v="139"/>
    <x v="0"/>
    <x v="2"/>
    <n v="2"/>
    <b v="1"/>
    <n v="872"/>
    <n v="8"/>
    <x v="1"/>
    <x v="3"/>
    <x v="5"/>
    <n v="51"/>
    <n v="3.6"/>
    <b v="1"/>
    <x v="0"/>
    <n v="4928"/>
    <x v="3"/>
    <x v="0"/>
    <x v="0"/>
  </r>
  <r>
    <n v="2086"/>
    <x v="119"/>
    <x v="130"/>
    <x v="4"/>
    <n v="18"/>
    <x v="0"/>
    <n v="143.82"/>
    <x v="140"/>
    <x v="1"/>
    <x v="4"/>
    <n v="1"/>
    <b v="0"/>
    <n v="606"/>
    <n v="135"/>
    <x v="0"/>
    <x v="0"/>
    <x v="1"/>
    <n v="50"/>
    <n v="3.8"/>
    <b v="1"/>
    <x v="0"/>
    <n v="1982"/>
    <x v="1"/>
    <x v="4"/>
    <x v="0"/>
  </r>
  <r>
    <n v="8721"/>
    <x v="120"/>
    <x v="131"/>
    <x v="15"/>
    <n v="21"/>
    <x v="2"/>
    <n v="335.79"/>
    <x v="141"/>
    <x v="1"/>
    <x v="0"/>
    <n v="5"/>
    <b v="0"/>
    <n v="394"/>
    <n v="168"/>
    <x v="1"/>
    <x v="3"/>
    <x v="2"/>
    <n v="21"/>
    <n v="4.7"/>
    <b v="1"/>
    <x v="0"/>
    <n v="510"/>
    <x v="2"/>
    <x v="2"/>
    <x v="0"/>
  </r>
  <r>
    <n v="1075"/>
    <x v="121"/>
    <x v="132"/>
    <x v="14"/>
    <n v="18"/>
    <x v="0"/>
    <n v="143.82"/>
    <x v="142"/>
    <x v="6"/>
    <x v="0"/>
    <n v="2"/>
    <b v="1"/>
    <n v="411"/>
    <n v="96"/>
    <x v="0"/>
    <x v="3"/>
    <x v="4"/>
    <n v="1"/>
    <n v="3.1"/>
    <b v="0"/>
    <x v="0"/>
    <n v="2508"/>
    <x v="4"/>
    <x v="2"/>
    <x v="1"/>
  </r>
  <r>
    <n v="2690"/>
    <x v="58"/>
    <x v="133"/>
    <x v="26"/>
    <n v="14"/>
    <x v="2"/>
    <n v="223.86"/>
    <x v="143"/>
    <x v="2"/>
    <x v="0"/>
    <n v="2"/>
    <b v="0"/>
    <n v="977"/>
    <n v="94"/>
    <x v="6"/>
    <x v="3"/>
    <x v="2"/>
    <n v="67"/>
    <n v="3.6"/>
    <b v="1"/>
    <x v="0"/>
    <n v="4004"/>
    <x v="0"/>
    <x v="0"/>
    <x v="3"/>
  </r>
  <r>
    <n v="7654"/>
    <x v="26"/>
    <x v="56"/>
    <x v="12"/>
    <n v="11"/>
    <x v="1"/>
    <n v="131.89000000000001"/>
    <x v="144"/>
    <x v="4"/>
    <x v="3"/>
    <n v="2"/>
    <b v="0"/>
    <n v="406"/>
    <n v="150"/>
    <x v="1"/>
    <x v="1"/>
    <x v="3"/>
    <n v="50"/>
    <n v="3.5"/>
    <b v="0"/>
    <x v="0"/>
    <n v="494"/>
    <x v="2"/>
    <x v="1"/>
    <x v="0"/>
  </r>
  <r>
    <n v="7577"/>
    <x v="122"/>
    <x v="134"/>
    <x v="25"/>
    <n v="1"/>
    <x v="2"/>
    <n v="15.99"/>
    <x v="125"/>
    <x v="2"/>
    <x v="2"/>
    <n v="5"/>
    <b v="1"/>
    <n v="781"/>
    <n v="23"/>
    <x v="6"/>
    <x v="2"/>
    <x v="0"/>
    <n v="89"/>
    <n v="3.3"/>
    <b v="0"/>
    <x v="0"/>
    <n v="460"/>
    <x v="4"/>
    <x v="3"/>
    <x v="2"/>
  </r>
  <r>
    <n v="9814"/>
    <x v="123"/>
    <x v="135"/>
    <x v="12"/>
    <n v="3"/>
    <x v="1"/>
    <n v="35.97"/>
    <x v="145"/>
    <x v="5"/>
    <x v="1"/>
    <n v="6"/>
    <b v="1"/>
    <n v="330"/>
    <n v="63"/>
    <x v="0"/>
    <x v="0"/>
    <x v="5"/>
    <n v="50"/>
    <n v="4.0999999999999996"/>
    <b v="1"/>
    <x v="0"/>
    <n v="1416"/>
    <x v="2"/>
    <x v="3"/>
    <x v="0"/>
  </r>
  <r>
    <n v="5423"/>
    <x v="4"/>
    <x v="136"/>
    <x v="4"/>
    <n v="1"/>
    <x v="0"/>
    <n v="7.99"/>
    <x v="146"/>
    <x v="0"/>
    <x v="1"/>
    <n v="5"/>
    <b v="1"/>
    <n v="163"/>
    <n v="88"/>
    <x v="4"/>
    <x v="0"/>
    <x v="2"/>
    <n v="62"/>
    <n v="3.2"/>
    <b v="0"/>
    <x v="0"/>
    <n v="4798"/>
    <x v="0"/>
    <x v="3"/>
    <x v="3"/>
  </r>
  <r>
    <n v="2660"/>
    <x v="124"/>
    <x v="137"/>
    <x v="22"/>
    <n v="23"/>
    <x v="1"/>
    <n v="275.77"/>
    <x v="147"/>
    <x v="4"/>
    <x v="1"/>
    <n v="1"/>
    <b v="1"/>
    <n v="80"/>
    <n v="70"/>
    <x v="0"/>
    <x v="2"/>
    <x v="1"/>
    <n v="54"/>
    <n v="4.5"/>
    <b v="1"/>
    <x v="0"/>
    <n v="732"/>
    <x v="4"/>
    <x v="0"/>
    <x v="1"/>
  </r>
  <r>
    <n v="4206"/>
    <x v="65"/>
    <x v="138"/>
    <x v="27"/>
    <n v="8"/>
    <x v="1"/>
    <n v="95.92"/>
    <x v="148"/>
    <x v="6"/>
    <x v="1"/>
    <n v="3"/>
    <b v="0"/>
    <n v="885"/>
    <n v="65"/>
    <x v="2"/>
    <x v="2"/>
    <x v="4"/>
    <n v="70"/>
    <n v="4.7"/>
    <b v="0"/>
    <x v="0"/>
    <n v="4008"/>
    <x v="2"/>
    <x v="2"/>
    <x v="3"/>
  </r>
  <r>
    <n v="5269"/>
    <x v="4"/>
    <x v="139"/>
    <x v="22"/>
    <n v="20"/>
    <x v="1"/>
    <n v="239.8"/>
    <x v="90"/>
    <x v="5"/>
    <x v="3"/>
    <n v="4"/>
    <b v="0"/>
    <n v="123"/>
    <n v="34"/>
    <x v="3"/>
    <x v="3"/>
    <x v="4"/>
    <n v="73"/>
    <n v="3.8"/>
    <b v="1"/>
    <x v="0"/>
    <n v="4868"/>
    <x v="4"/>
    <x v="3"/>
    <x v="2"/>
  </r>
  <r>
    <n v="7922"/>
    <x v="125"/>
    <x v="65"/>
    <x v="13"/>
    <n v="21"/>
    <x v="0"/>
    <n v="167.79"/>
    <x v="149"/>
    <x v="3"/>
    <x v="4"/>
    <n v="6"/>
    <b v="1"/>
    <n v="830"/>
    <n v="74"/>
    <x v="2"/>
    <x v="0"/>
    <x v="1"/>
    <n v="66"/>
    <n v="3.5"/>
    <b v="1"/>
    <x v="0"/>
    <n v="2600"/>
    <x v="4"/>
    <x v="0"/>
    <x v="1"/>
  </r>
  <r>
    <n v="7829"/>
    <x v="126"/>
    <x v="140"/>
    <x v="13"/>
    <n v="14"/>
    <x v="0"/>
    <n v="111.86"/>
    <x v="150"/>
    <x v="5"/>
    <x v="1"/>
    <n v="4"/>
    <b v="1"/>
    <n v="770"/>
    <n v="129"/>
    <x v="1"/>
    <x v="0"/>
    <x v="2"/>
    <n v="0"/>
    <n v="3.7"/>
    <b v="1"/>
    <x v="0"/>
    <n v="3247"/>
    <x v="3"/>
    <x v="1"/>
    <x v="2"/>
  </r>
  <r>
    <n v="1715"/>
    <x v="103"/>
    <x v="141"/>
    <x v="22"/>
    <n v="5"/>
    <x v="0"/>
    <n v="39.950000000000003"/>
    <x v="2"/>
    <x v="1"/>
    <x v="0"/>
    <n v="5"/>
    <b v="1"/>
    <n v="753"/>
    <n v="181"/>
    <x v="2"/>
    <x v="1"/>
    <x v="0"/>
    <n v="51"/>
    <n v="3.1"/>
    <b v="1"/>
    <x v="0"/>
    <n v="941"/>
    <x v="0"/>
    <x v="2"/>
    <x v="3"/>
  </r>
  <r>
    <n v="2639"/>
    <x v="127"/>
    <x v="48"/>
    <x v="19"/>
    <n v="5"/>
    <x v="1"/>
    <n v="59.95"/>
    <x v="151"/>
    <x v="1"/>
    <x v="3"/>
    <n v="1"/>
    <b v="1"/>
    <n v="38"/>
    <n v="53"/>
    <x v="4"/>
    <x v="1"/>
    <x v="4"/>
    <n v="37"/>
    <n v="4.5999999999999996"/>
    <b v="0"/>
    <x v="0"/>
    <n v="1934"/>
    <x v="0"/>
    <x v="0"/>
    <x v="1"/>
  </r>
  <r>
    <n v="1801"/>
    <x v="56"/>
    <x v="142"/>
    <x v="0"/>
    <n v="10"/>
    <x v="1"/>
    <n v="119.9"/>
    <x v="152"/>
    <x v="4"/>
    <x v="4"/>
    <n v="5"/>
    <b v="0"/>
    <n v="386"/>
    <n v="122"/>
    <x v="5"/>
    <x v="2"/>
    <x v="1"/>
    <n v="9"/>
    <n v="4.5999999999999996"/>
    <b v="0"/>
    <x v="0"/>
    <n v="4650"/>
    <x v="1"/>
    <x v="3"/>
    <x v="0"/>
  </r>
  <r>
    <n v="9163"/>
    <x v="115"/>
    <x v="42"/>
    <x v="12"/>
    <n v="19"/>
    <x v="1"/>
    <n v="227.81"/>
    <x v="46"/>
    <x v="2"/>
    <x v="4"/>
    <n v="4"/>
    <b v="1"/>
    <n v="874"/>
    <n v="67"/>
    <x v="3"/>
    <x v="1"/>
    <x v="5"/>
    <n v="94"/>
    <n v="3.9"/>
    <b v="1"/>
    <x v="0"/>
    <n v="4450"/>
    <x v="0"/>
    <x v="0"/>
    <x v="3"/>
  </r>
  <r>
    <n v="1284"/>
    <x v="47"/>
    <x v="143"/>
    <x v="15"/>
    <n v="0"/>
    <x v="0"/>
    <n v="0"/>
    <x v="153"/>
    <x v="5"/>
    <x v="4"/>
    <n v="3"/>
    <b v="1"/>
    <n v="695"/>
    <n v="85"/>
    <x v="4"/>
    <x v="2"/>
    <x v="5"/>
    <n v="42"/>
    <n v="3.7"/>
    <b v="0"/>
    <x v="0"/>
    <n v="2395"/>
    <x v="3"/>
    <x v="1"/>
    <x v="2"/>
  </r>
  <r>
    <n v="8774"/>
    <x v="128"/>
    <x v="144"/>
    <x v="23"/>
    <n v="13"/>
    <x v="2"/>
    <n v="207.87"/>
    <x v="24"/>
    <x v="5"/>
    <x v="3"/>
    <n v="6"/>
    <b v="0"/>
    <n v="803"/>
    <n v="130"/>
    <x v="0"/>
    <x v="3"/>
    <x v="5"/>
    <n v="4"/>
    <n v="4.8"/>
    <b v="0"/>
    <x v="0"/>
    <n v="4504"/>
    <x v="2"/>
    <x v="3"/>
    <x v="2"/>
  </r>
  <r>
    <n v="3866"/>
    <x v="129"/>
    <x v="145"/>
    <x v="14"/>
    <n v="9"/>
    <x v="2"/>
    <n v="143.91"/>
    <x v="154"/>
    <x v="2"/>
    <x v="2"/>
    <n v="2"/>
    <b v="0"/>
    <n v="268"/>
    <n v="50"/>
    <x v="5"/>
    <x v="1"/>
    <x v="2"/>
    <n v="3"/>
    <n v="4.4000000000000004"/>
    <b v="1"/>
    <x v="0"/>
    <n v="3015"/>
    <x v="3"/>
    <x v="2"/>
    <x v="1"/>
  </r>
  <r>
    <n v="4477"/>
    <x v="114"/>
    <x v="146"/>
    <x v="16"/>
    <n v="6"/>
    <x v="0"/>
    <n v="47.94"/>
    <x v="155"/>
    <x v="1"/>
    <x v="3"/>
    <n v="1"/>
    <b v="0"/>
    <n v="429"/>
    <n v="52"/>
    <x v="2"/>
    <x v="0"/>
    <x v="1"/>
    <n v="16"/>
    <n v="3.8"/>
    <b v="0"/>
    <x v="0"/>
    <n v="4971"/>
    <x v="0"/>
    <x v="3"/>
    <x v="1"/>
  </r>
  <r>
    <n v="4829"/>
    <x v="130"/>
    <x v="147"/>
    <x v="6"/>
    <n v="2"/>
    <x v="1"/>
    <n v="23.98"/>
    <x v="4"/>
    <x v="2"/>
    <x v="0"/>
    <n v="4"/>
    <b v="0"/>
    <n v="62"/>
    <n v="50"/>
    <x v="5"/>
    <x v="2"/>
    <x v="0"/>
    <n v="44"/>
    <n v="4.7"/>
    <b v="0"/>
    <x v="0"/>
    <n v="2377"/>
    <x v="0"/>
    <x v="0"/>
    <x v="2"/>
  </r>
  <r>
    <n v="1257"/>
    <x v="105"/>
    <x v="116"/>
    <x v="23"/>
    <n v="22"/>
    <x v="0"/>
    <n v="175.78"/>
    <x v="156"/>
    <x v="0"/>
    <x v="0"/>
    <n v="4"/>
    <b v="0"/>
    <n v="831"/>
    <n v="15"/>
    <x v="1"/>
    <x v="0"/>
    <x v="1"/>
    <n v="64"/>
    <n v="4.9000000000000004"/>
    <b v="0"/>
    <x v="0"/>
    <n v="212"/>
    <x v="4"/>
    <x v="3"/>
    <x v="3"/>
  </r>
  <r>
    <n v="1897"/>
    <x v="131"/>
    <x v="123"/>
    <x v="17"/>
    <n v="20"/>
    <x v="1"/>
    <n v="239.8"/>
    <x v="43"/>
    <x v="4"/>
    <x v="3"/>
    <n v="5"/>
    <b v="1"/>
    <n v="737"/>
    <n v="85"/>
    <x v="3"/>
    <x v="0"/>
    <x v="5"/>
    <n v="80"/>
    <n v="3.6"/>
    <b v="1"/>
    <x v="0"/>
    <n v="188"/>
    <x v="0"/>
    <x v="4"/>
    <x v="3"/>
  </r>
  <r>
    <n v="3603"/>
    <x v="132"/>
    <x v="42"/>
    <x v="8"/>
    <n v="19"/>
    <x v="0"/>
    <n v="151.81"/>
    <x v="157"/>
    <x v="3"/>
    <x v="4"/>
    <n v="3"/>
    <b v="1"/>
    <n v="923"/>
    <n v="143"/>
    <x v="0"/>
    <x v="2"/>
    <x v="2"/>
    <n v="20"/>
    <n v="3.4"/>
    <b v="0"/>
    <x v="0"/>
    <n v="4435"/>
    <x v="1"/>
    <x v="4"/>
    <x v="0"/>
  </r>
  <r>
    <n v="9256"/>
    <x v="105"/>
    <x v="148"/>
    <x v="7"/>
    <n v="21"/>
    <x v="0"/>
    <n v="167.79"/>
    <x v="69"/>
    <x v="6"/>
    <x v="3"/>
    <n v="1"/>
    <b v="0"/>
    <n v="85"/>
    <n v="117"/>
    <x v="6"/>
    <x v="2"/>
    <x v="5"/>
    <n v="21"/>
    <n v="4.8"/>
    <b v="1"/>
    <x v="0"/>
    <n v="1454"/>
    <x v="2"/>
    <x v="1"/>
    <x v="3"/>
  </r>
  <r>
    <n v="9469"/>
    <x v="18"/>
    <x v="149"/>
    <x v="9"/>
    <n v="17"/>
    <x v="1"/>
    <n v="203.83"/>
    <x v="13"/>
    <x v="2"/>
    <x v="2"/>
    <n v="3"/>
    <b v="0"/>
    <n v="59"/>
    <n v="38"/>
    <x v="5"/>
    <x v="2"/>
    <x v="1"/>
    <n v="94"/>
    <n v="3"/>
    <b v="1"/>
    <x v="0"/>
    <n v="2841"/>
    <x v="3"/>
    <x v="3"/>
    <x v="1"/>
  </r>
  <r>
    <n v="7136"/>
    <x v="40"/>
    <x v="150"/>
    <x v="2"/>
    <n v="6"/>
    <x v="0"/>
    <n v="47.94"/>
    <x v="158"/>
    <x v="0"/>
    <x v="3"/>
    <n v="1"/>
    <b v="0"/>
    <n v="590"/>
    <n v="105"/>
    <x v="6"/>
    <x v="0"/>
    <x v="0"/>
    <n v="56"/>
    <n v="3.3"/>
    <b v="0"/>
    <x v="0"/>
    <n v="1626"/>
    <x v="0"/>
    <x v="1"/>
    <x v="3"/>
  </r>
  <r>
    <n v="2321"/>
    <x v="133"/>
    <x v="151"/>
    <x v="2"/>
    <n v="9"/>
    <x v="2"/>
    <n v="143.91"/>
    <x v="127"/>
    <x v="1"/>
    <x v="0"/>
    <n v="1"/>
    <b v="0"/>
    <n v="348"/>
    <n v="49"/>
    <x v="6"/>
    <x v="1"/>
    <x v="0"/>
    <n v="14"/>
    <n v="4.2"/>
    <b v="0"/>
    <x v="0"/>
    <n v="111"/>
    <x v="1"/>
    <x v="0"/>
    <x v="2"/>
  </r>
  <r>
    <n v="4243"/>
    <x v="114"/>
    <x v="152"/>
    <x v="26"/>
    <n v="20"/>
    <x v="2"/>
    <n v="319.8"/>
    <x v="159"/>
    <x v="0"/>
    <x v="2"/>
    <n v="1"/>
    <b v="1"/>
    <n v="561"/>
    <n v="153"/>
    <x v="1"/>
    <x v="3"/>
    <x v="4"/>
    <n v="7"/>
    <n v="4.0999999999999996"/>
    <b v="0"/>
    <x v="0"/>
    <n v="450"/>
    <x v="4"/>
    <x v="4"/>
    <x v="2"/>
  </r>
  <r>
    <n v="8015"/>
    <x v="134"/>
    <x v="89"/>
    <x v="13"/>
    <n v="13"/>
    <x v="0"/>
    <n v="103.87"/>
    <x v="130"/>
    <x v="0"/>
    <x v="2"/>
    <n v="2"/>
    <b v="1"/>
    <n v="214"/>
    <n v="191"/>
    <x v="2"/>
    <x v="1"/>
    <x v="3"/>
    <n v="44"/>
    <n v="3.6"/>
    <b v="0"/>
    <x v="0"/>
    <n v="3325"/>
    <x v="1"/>
    <x v="0"/>
    <x v="3"/>
  </r>
  <r>
    <n v="3440"/>
    <x v="18"/>
    <x v="153"/>
    <x v="7"/>
    <n v="20"/>
    <x v="0"/>
    <n v="159.80000000000001"/>
    <x v="160"/>
    <x v="3"/>
    <x v="0"/>
    <n v="4"/>
    <b v="0"/>
    <n v="964"/>
    <n v="111"/>
    <x v="6"/>
    <x v="0"/>
    <x v="2"/>
    <n v="52"/>
    <n v="3.1"/>
    <b v="1"/>
    <x v="0"/>
    <n v="3059"/>
    <x v="4"/>
    <x v="2"/>
    <x v="2"/>
  </r>
  <r>
    <n v="9914"/>
    <x v="70"/>
    <x v="154"/>
    <x v="23"/>
    <n v="13"/>
    <x v="1"/>
    <n v="155.87"/>
    <x v="19"/>
    <x v="5"/>
    <x v="2"/>
    <n v="1"/>
    <b v="1"/>
    <n v="897"/>
    <n v="62"/>
    <x v="5"/>
    <x v="0"/>
    <x v="4"/>
    <n v="18"/>
    <n v="4.4000000000000004"/>
    <b v="0"/>
    <x v="0"/>
    <n v="1065"/>
    <x v="0"/>
    <x v="0"/>
    <x v="3"/>
  </r>
  <r>
    <n v="5045"/>
    <x v="38"/>
    <x v="6"/>
    <x v="18"/>
    <n v="2"/>
    <x v="1"/>
    <n v="23.98"/>
    <x v="161"/>
    <x v="5"/>
    <x v="4"/>
    <n v="1"/>
    <b v="1"/>
    <n v="983"/>
    <n v="191"/>
    <x v="6"/>
    <x v="0"/>
    <x v="2"/>
    <n v="53"/>
    <n v="4.5"/>
    <b v="0"/>
    <x v="0"/>
    <n v="2575"/>
    <x v="4"/>
    <x v="2"/>
    <x v="3"/>
  </r>
  <r>
    <n v="1379"/>
    <x v="92"/>
    <x v="155"/>
    <x v="21"/>
    <n v="19"/>
    <x v="1"/>
    <n v="227.81"/>
    <x v="19"/>
    <x v="1"/>
    <x v="3"/>
    <n v="4"/>
    <b v="1"/>
    <n v="432"/>
    <n v="73"/>
    <x v="2"/>
    <x v="0"/>
    <x v="4"/>
    <n v="88"/>
    <n v="4.5999999999999996"/>
    <b v="0"/>
    <x v="0"/>
    <n v="1690"/>
    <x v="3"/>
    <x v="0"/>
    <x v="1"/>
  </r>
  <r>
    <n v="6099"/>
    <x v="135"/>
    <x v="156"/>
    <x v="12"/>
    <n v="9"/>
    <x v="1"/>
    <n v="107.91"/>
    <x v="162"/>
    <x v="5"/>
    <x v="0"/>
    <n v="1"/>
    <b v="1"/>
    <n v="881"/>
    <n v="189"/>
    <x v="1"/>
    <x v="1"/>
    <x v="5"/>
    <n v="32"/>
    <n v="3.9"/>
    <b v="0"/>
    <x v="0"/>
    <n v="1382"/>
    <x v="0"/>
    <x v="0"/>
    <x v="2"/>
  </r>
  <r>
    <n v="4696"/>
    <x v="136"/>
    <x v="157"/>
    <x v="22"/>
    <n v="17"/>
    <x v="2"/>
    <n v="271.83"/>
    <x v="163"/>
    <x v="0"/>
    <x v="3"/>
    <n v="2"/>
    <b v="0"/>
    <n v="331"/>
    <n v="93"/>
    <x v="0"/>
    <x v="3"/>
    <x v="5"/>
    <n v="66"/>
    <n v="3.7"/>
    <b v="0"/>
    <x v="0"/>
    <n v="1050"/>
    <x v="3"/>
    <x v="1"/>
    <x v="0"/>
  </r>
  <r>
    <n v="4808"/>
    <x v="119"/>
    <x v="158"/>
    <x v="12"/>
    <n v="8"/>
    <x v="0"/>
    <n v="63.92"/>
    <x v="164"/>
    <x v="6"/>
    <x v="1"/>
    <n v="1"/>
    <b v="1"/>
    <n v="819"/>
    <n v="71"/>
    <x v="1"/>
    <x v="0"/>
    <x v="3"/>
    <n v="36"/>
    <n v="4.0999999999999996"/>
    <b v="1"/>
    <x v="0"/>
    <n v="2328"/>
    <x v="1"/>
    <x v="3"/>
    <x v="0"/>
  </r>
  <r>
    <n v="3633"/>
    <x v="137"/>
    <x v="159"/>
    <x v="5"/>
    <n v="0"/>
    <x v="0"/>
    <n v="0"/>
    <x v="149"/>
    <x v="0"/>
    <x v="3"/>
    <n v="1"/>
    <b v="1"/>
    <n v="936"/>
    <n v="11"/>
    <x v="6"/>
    <x v="3"/>
    <x v="4"/>
    <n v="42"/>
    <n v="3.2"/>
    <b v="0"/>
    <x v="0"/>
    <n v="4414"/>
    <x v="0"/>
    <x v="0"/>
    <x v="0"/>
  </r>
  <r>
    <n v="4979"/>
    <x v="104"/>
    <x v="160"/>
    <x v="24"/>
    <n v="0"/>
    <x v="2"/>
    <n v="0"/>
    <x v="32"/>
    <x v="1"/>
    <x v="4"/>
    <n v="4"/>
    <b v="0"/>
    <n v="321"/>
    <n v="19"/>
    <x v="4"/>
    <x v="0"/>
    <x v="3"/>
    <n v="18"/>
    <n v="4.3"/>
    <b v="1"/>
    <x v="0"/>
    <n v="3980"/>
    <x v="3"/>
    <x v="1"/>
    <x v="1"/>
  </r>
  <r>
    <n v="2214"/>
    <x v="138"/>
    <x v="161"/>
    <x v="24"/>
    <n v="1"/>
    <x v="0"/>
    <n v="7.99"/>
    <x v="78"/>
    <x v="6"/>
    <x v="1"/>
    <n v="1"/>
    <b v="1"/>
    <n v="244"/>
    <n v="106"/>
    <x v="3"/>
    <x v="0"/>
    <x v="5"/>
    <n v="16"/>
    <n v="3.9"/>
    <b v="1"/>
    <x v="0"/>
    <n v="3596"/>
    <x v="0"/>
    <x v="1"/>
    <x v="0"/>
  </r>
  <r>
    <n v="6606"/>
    <x v="135"/>
    <x v="162"/>
    <x v="26"/>
    <n v="10"/>
    <x v="2"/>
    <n v="159.9"/>
    <x v="165"/>
    <x v="2"/>
    <x v="0"/>
    <n v="5"/>
    <b v="1"/>
    <n v="826"/>
    <n v="160"/>
    <x v="6"/>
    <x v="3"/>
    <x v="4"/>
    <n v="96"/>
    <n v="3.6"/>
    <b v="1"/>
    <x v="0"/>
    <n v="1150"/>
    <x v="0"/>
    <x v="1"/>
    <x v="0"/>
  </r>
  <r>
    <n v="4246"/>
    <x v="106"/>
    <x v="163"/>
    <x v="1"/>
    <n v="14"/>
    <x v="0"/>
    <n v="111.86"/>
    <x v="159"/>
    <x v="1"/>
    <x v="3"/>
    <n v="1"/>
    <b v="0"/>
    <n v="159"/>
    <n v="14"/>
    <x v="2"/>
    <x v="0"/>
    <x v="3"/>
    <n v="85"/>
    <n v="4.4000000000000004"/>
    <b v="0"/>
    <x v="0"/>
    <n v="1858"/>
    <x v="2"/>
    <x v="0"/>
    <x v="0"/>
  </r>
  <r>
    <n v="2836"/>
    <x v="88"/>
    <x v="164"/>
    <x v="6"/>
    <n v="10"/>
    <x v="0"/>
    <n v="79.900000000000006"/>
    <x v="101"/>
    <x v="4"/>
    <x v="2"/>
    <n v="6"/>
    <b v="0"/>
    <n v="305"/>
    <n v="81"/>
    <x v="4"/>
    <x v="3"/>
    <x v="1"/>
    <n v="28"/>
    <n v="3.3"/>
    <b v="0"/>
    <x v="0"/>
    <n v="1926"/>
    <x v="1"/>
    <x v="4"/>
    <x v="2"/>
  </r>
  <r>
    <n v="6963"/>
    <x v="139"/>
    <x v="165"/>
    <x v="26"/>
    <n v="16"/>
    <x v="2"/>
    <n v="255.84"/>
    <x v="166"/>
    <x v="5"/>
    <x v="2"/>
    <n v="6"/>
    <b v="0"/>
    <n v="841"/>
    <n v="83"/>
    <x v="2"/>
    <x v="0"/>
    <x v="5"/>
    <n v="44"/>
    <n v="5"/>
    <b v="1"/>
    <x v="0"/>
    <n v="2933"/>
    <x v="4"/>
    <x v="1"/>
    <x v="1"/>
  </r>
  <r>
    <n v="2243"/>
    <x v="140"/>
    <x v="166"/>
    <x v="3"/>
    <n v="4"/>
    <x v="1"/>
    <n v="47.96"/>
    <x v="167"/>
    <x v="5"/>
    <x v="0"/>
    <n v="3"/>
    <b v="1"/>
    <n v="123"/>
    <n v="183"/>
    <x v="6"/>
    <x v="3"/>
    <x v="1"/>
    <n v="45"/>
    <n v="4.4000000000000004"/>
    <b v="0"/>
    <x v="0"/>
    <n v="2397"/>
    <x v="1"/>
    <x v="2"/>
    <x v="1"/>
  </r>
  <r>
    <n v="5081"/>
    <x v="141"/>
    <x v="167"/>
    <x v="8"/>
    <n v="0"/>
    <x v="1"/>
    <n v="0"/>
    <x v="160"/>
    <x v="6"/>
    <x v="1"/>
    <n v="5"/>
    <b v="1"/>
    <n v="803"/>
    <n v="196"/>
    <x v="4"/>
    <x v="3"/>
    <x v="0"/>
    <n v="90"/>
    <n v="4.3"/>
    <b v="1"/>
    <x v="0"/>
    <n v="1946"/>
    <x v="2"/>
    <x v="3"/>
    <x v="0"/>
  </r>
  <r>
    <n v="4171"/>
    <x v="84"/>
    <x v="168"/>
    <x v="2"/>
    <n v="5"/>
    <x v="1"/>
    <n v="59.95"/>
    <x v="168"/>
    <x v="2"/>
    <x v="2"/>
    <n v="1"/>
    <b v="1"/>
    <n v="380"/>
    <n v="106"/>
    <x v="1"/>
    <x v="0"/>
    <x v="3"/>
    <n v="22"/>
    <n v="4.0999999999999996"/>
    <b v="0"/>
    <x v="0"/>
    <n v="2576"/>
    <x v="2"/>
    <x v="3"/>
    <x v="1"/>
  </r>
  <r>
    <n v="7399"/>
    <x v="72"/>
    <x v="169"/>
    <x v="28"/>
    <n v="3"/>
    <x v="1"/>
    <n v="35.97"/>
    <x v="169"/>
    <x v="6"/>
    <x v="2"/>
    <n v="5"/>
    <b v="1"/>
    <n v="344"/>
    <n v="93"/>
    <x v="5"/>
    <x v="1"/>
    <x v="0"/>
    <n v="0"/>
    <n v="4.2"/>
    <b v="0"/>
    <x v="0"/>
    <n v="2259"/>
    <x v="4"/>
    <x v="3"/>
    <x v="0"/>
  </r>
  <r>
    <n v="1110"/>
    <x v="97"/>
    <x v="170"/>
    <x v="22"/>
    <n v="6"/>
    <x v="1"/>
    <n v="71.94"/>
    <x v="170"/>
    <x v="0"/>
    <x v="2"/>
    <n v="3"/>
    <b v="1"/>
    <n v="908"/>
    <n v="128"/>
    <x v="0"/>
    <x v="0"/>
    <x v="3"/>
    <n v="86"/>
    <n v="3.2"/>
    <b v="1"/>
    <x v="0"/>
    <n v="1068"/>
    <x v="4"/>
    <x v="0"/>
    <x v="1"/>
  </r>
  <r>
    <n v="5630"/>
    <x v="142"/>
    <x v="171"/>
    <x v="24"/>
    <n v="11"/>
    <x v="0"/>
    <n v="87.89"/>
    <x v="91"/>
    <x v="1"/>
    <x v="4"/>
    <n v="6"/>
    <b v="1"/>
    <n v="782"/>
    <n v="180"/>
    <x v="0"/>
    <x v="1"/>
    <x v="5"/>
    <n v="86"/>
    <n v="5"/>
    <b v="1"/>
    <x v="0"/>
    <n v="2928"/>
    <x v="2"/>
    <x v="3"/>
    <x v="0"/>
  </r>
  <r>
    <n v="9430"/>
    <x v="143"/>
    <x v="144"/>
    <x v="18"/>
    <n v="12"/>
    <x v="0"/>
    <n v="95.88"/>
    <x v="32"/>
    <x v="2"/>
    <x v="4"/>
    <n v="1"/>
    <b v="0"/>
    <n v="769"/>
    <n v="140"/>
    <x v="2"/>
    <x v="1"/>
    <x v="2"/>
    <n v="94"/>
    <n v="4.8"/>
    <b v="1"/>
    <x v="0"/>
    <n v="3674"/>
    <x v="2"/>
    <x v="3"/>
    <x v="1"/>
  </r>
  <r>
    <n v="7436"/>
    <x v="144"/>
    <x v="172"/>
    <x v="6"/>
    <n v="9"/>
    <x v="2"/>
    <n v="143.91"/>
    <x v="70"/>
    <x v="2"/>
    <x v="4"/>
    <n v="1"/>
    <b v="1"/>
    <n v="233"/>
    <n v="102"/>
    <x v="1"/>
    <x v="1"/>
    <x v="0"/>
    <n v="78"/>
    <n v="3.1"/>
    <b v="0"/>
    <x v="0"/>
    <n v="130"/>
    <x v="2"/>
    <x v="4"/>
    <x v="0"/>
  </r>
  <r>
    <n v="2147"/>
    <x v="145"/>
    <x v="126"/>
    <x v="11"/>
    <n v="10"/>
    <x v="1"/>
    <n v="119.9"/>
    <x v="171"/>
    <x v="0"/>
    <x v="4"/>
    <n v="6"/>
    <b v="1"/>
    <n v="170"/>
    <n v="164"/>
    <x v="6"/>
    <x v="1"/>
    <x v="4"/>
    <n v="71"/>
    <n v="3.3"/>
    <b v="1"/>
    <x v="0"/>
    <n v="4873"/>
    <x v="3"/>
    <x v="3"/>
    <x v="2"/>
  </r>
  <r>
    <n v="3264"/>
    <x v="25"/>
    <x v="173"/>
    <x v="28"/>
    <n v="18"/>
    <x v="1"/>
    <n v="215.82"/>
    <x v="85"/>
    <x v="5"/>
    <x v="1"/>
    <n v="6"/>
    <b v="1"/>
    <n v="945"/>
    <n v="114"/>
    <x v="2"/>
    <x v="2"/>
    <x v="1"/>
    <n v="44"/>
    <n v="3"/>
    <b v="0"/>
    <x v="0"/>
    <n v="96"/>
    <x v="0"/>
    <x v="4"/>
    <x v="0"/>
  </r>
  <r>
    <n v="1214"/>
    <x v="146"/>
    <x v="174"/>
    <x v="11"/>
    <n v="18"/>
    <x v="1"/>
    <n v="215.82"/>
    <x v="172"/>
    <x v="0"/>
    <x v="3"/>
    <n v="6"/>
    <b v="1"/>
    <n v="945"/>
    <n v="108"/>
    <x v="5"/>
    <x v="0"/>
    <x v="4"/>
    <n v="98"/>
    <n v="3.8"/>
    <b v="1"/>
    <x v="0"/>
    <n v="110"/>
    <x v="3"/>
    <x v="2"/>
    <x v="3"/>
  </r>
  <r>
    <n v="6050"/>
    <x v="147"/>
    <x v="175"/>
    <x v="16"/>
    <n v="3"/>
    <x v="1"/>
    <n v="35.97"/>
    <x v="172"/>
    <x v="4"/>
    <x v="3"/>
    <n v="3"/>
    <b v="0"/>
    <n v="217"/>
    <n v="162"/>
    <x v="0"/>
    <x v="1"/>
    <x v="2"/>
    <n v="0"/>
    <n v="3.4"/>
    <b v="0"/>
    <x v="0"/>
    <n v="225"/>
    <x v="0"/>
    <x v="3"/>
    <x v="0"/>
  </r>
  <r>
    <n v="7395"/>
    <x v="32"/>
    <x v="66"/>
    <x v="21"/>
    <n v="12"/>
    <x v="1"/>
    <n v="143.88"/>
    <x v="173"/>
    <x v="0"/>
    <x v="1"/>
    <n v="1"/>
    <b v="1"/>
    <n v="664"/>
    <n v="123"/>
    <x v="4"/>
    <x v="1"/>
    <x v="1"/>
    <n v="70"/>
    <n v="4.4000000000000004"/>
    <b v="1"/>
    <x v="0"/>
    <n v="4083"/>
    <x v="2"/>
    <x v="1"/>
    <x v="0"/>
  </r>
  <r>
    <n v="3904"/>
    <x v="84"/>
    <x v="48"/>
    <x v="28"/>
    <n v="5"/>
    <x v="1"/>
    <n v="59.95"/>
    <x v="174"/>
    <x v="4"/>
    <x v="0"/>
    <n v="1"/>
    <b v="1"/>
    <n v="679"/>
    <n v="1"/>
    <x v="6"/>
    <x v="1"/>
    <x v="5"/>
    <n v="100"/>
    <n v="4.7"/>
    <b v="0"/>
    <x v="0"/>
    <n v="2714"/>
    <x v="4"/>
    <x v="0"/>
    <x v="1"/>
  </r>
  <r>
    <n v="6545"/>
    <x v="42"/>
    <x v="21"/>
    <x v="23"/>
    <n v="5"/>
    <x v="0"/>
    <n v="39.950000000000003"/>
    <x v="175"/>
    <x v="1"/>
    <x v="1"/>
    <n v="5"/>
    <b v="1"/>
    <n v="242"/>
    <n v="200"/>
    <x v="5"/>
    <x v="3"/>
    <x v="2"/>
    <n v="53"/>
    <n v="4.8"/>
    <b v="1"/>
    <x v="0"/>
    <n v="674"/>
    <x v="3"/>
    <x v="0"/>
    <x v="0"/>
  </r>
  <r>
    <n v="3131"/>
    <x v="46"/>
    <x v="176"/>
    <x v="18"/>
    <n v="17"/>
    <x v="2"/>
    <n v="271.83"/>
    <x v="176"/>
    <x v="2"/>
    <x v="0"/>
    <n v="5"/>
    <b v="0"/>
    <n v="541"/>
    <n v="158"/>
    <x v="2"/>
    <x v="1"/>
    <x v="5"/>
    <n v="4"/>
    <n v="4.9000000000000004"/>
    <b v="1"/>
    <x v="0"/>
    <n v="948"/>
    <x v="3"/>
    <x v="4"/>
    <x v="2"/>
  </r>
  <r>
    <n v="8589"/>
    <x v="75"/>
    <x v="177"/>
    <x v="8"/>
    <n v="22"/>
    <x v="1"/>
    <n v="263.78000000000003"/>
    <x v="177"/>
    <x v="6"/>
    <x v="2"/>
    <n v="1"/>
    <b v="1"/>
    <n v="108"/>
    <n v="105"/>
    <x v="6"/>
    <x v="0"/>
    <x v="4"/>
    <n v="76"/>
    <n v="4.7"/>
    <b v="0"/>
    <x v="0"/>
    <n v="933"/>
    <x v="1"/>
    <x v="0"/>
    <x v="3"/>
  </r>
  <r>
    <n v="2908"/>
    <x v="98"/>
    <x v="105"/>
    <x v="7"/>
    <n v="1"/>
    <x v="1"/>
    <n v="11.99"/>
    <x v="91"/>
    <x v="2"/>
    <x v="4"/>
    <n v="2"/>
    <b v="1"/>
    <n v="343"/>
    <n v="163"/>
    <x v="6"/>
    <x v="3"/>
    <x v="1"/>
    <n v="89"/>
    <n v="5"/>
    <b v="1"/>
    <x v="0"/>
    <n v="2914"/>
    <x v="2"/>
    <x v="4"/>
    <x v="1"/>
  </r>
  <r>
    <n v="5209"/>
    <x v="91"/>
    <x v="178"/>
    <x v="4"/>
    <n v="18"/>
    <x v="1"/>
    <n v="215.82"/>
    <x v="178"/>
    <x v="6"/>
    <x v="3"/>
    <n v="3"/>
    <b v="1"/>
    <n v="477"/>
    <n v="38"/>
    <x v="6"/>
    <x v="2"/>
    <x v="4"/>
    <n v="71"/>
    <n v="3.9"/>
    <b v="1"/>
    <x v="0"/>
    <n v="3928"/>
    <x v="0"/>
    <x v="3"/>
    <x v="1"/>
  </r>
  <r>
    <n v="2319"/>
    <x v="44"/>
    <x v="179"/>
    <x v="8"/>
    <n v="17"/>
    <x v="2"/>
    <n v="271.83"/>
    <x v="179"/>
    <x v="1"/>
    <x v="3"/>
    <n v="4"/>
    <b v="0"/>
    <n v="767"/>
    <n v="190"/>
    <x v="6"/>
    <x v="2"/>
    <x v="3"/>
    <n v="7"/>
    <n v="4.0999999999999996"/>
    <b v="0"/>
    <x v="0"/>
    <n v="2559"/>
    <x v="0"/>
    <x v="0"/>
    <x v="1"/>
  </r>
  <r>
    <n v="9026"/>
    <x v="70"/>
    <x v="180"/>
    <x v="7"/>
    <n v="6"/>
    <x v="1"/>
    <n v="71.94"/>
    <x v="180"/>
    <x v="5"/>
    <x v="1"/>
    <n v="5"/>
    <b v="1"/>
    <n v="12"/>
    <n v="9"/>
    <x v="2"/>
    <x v="2"/>
    <x v="3"/>
    <n v="21"/>
    <n v="4.8"/>
    <b v="1"/>
    <x v="0"/>
    <n v="2571"/>
    <x v="4"/>
    <x v="0"/>
    <x v="1"/>
  </r>
  <r>
    <n v="2723"/>
    <x v="148"/>
    <x v="46"/>
    <x v="24"/>
    <n v="14"/>
    <x v="2"/>
    <n v="223.86"/>
    <x v="181"/>
    <x v="0"/>
    <x v="1"/>
    <n v="2"/>
    <b v="1"/>
    <n v="920"/>
    <n v="79"/>
    <x v="3"/>
    <x v="1"/>
    <x v="5"/>
    <n v="20"/>
    <n v="4.4000000000000004"/>
    <b v="0"/>
    <x v="0"/>
    <n v="3834"/>
    <x v="0"/>
    <x v="4"/>
    <x v="1"/>
  </r>
  <r>
    <n v="5487"/>
    <x v="43"/>
    <x v="181"/>
    <x v="17"/>
    <n v="8"/>
    <x v="0"/>
    <n v="63.92"/>
    <x v="182"/>
    <x v="5"/>
    <x v="2"/>
    <n v="2"/>
    <b v="0"/>
    <n v="819"/>
    <n v="174"/>
    <x v="0"/>
    <x v="0"/>
    <x v="0"/>
    <n v="34"/>
    <n v="4.0999999999999996"/>
    <b v="0"/>
    <x v="0"/>
    <n v="4714"/>
    <x v="3"/>
    <x v="1"/>
    <x v="1"/>
  </r>
  <r>
    <n v="4656"/>
    <x v="75"/>
    <x v="182"/>
    <x v="26"/>
    <n v="18"/>
    <x v="0"/>
    <n v="143.82"/>
    <x v="183"/>
    <x v="0"/>
    <x v="0"/>
    <n v="5"/>
    <b v="0"/>
    <n v="607"/>
    <n v="94"/>
    <x v="1"/>
    <x v="3"/>
    <x v="1"/>
    <n v="57"/>
    <n v="3.8"/>
    <b v="1"/>
    <x v="0"/>
    <n v="4800"/>
    <x v="2"/>
    <x v="1"/>
    <x v="3"/>
  </r>
  <r>
    <n v="5718"/>
    <x v="149"/>
    <x v="183"/>
    <x v="14"/>
    <n v="5"/>
    <x v="2"/>
    <n v="79.95"/>
    <x v="182"/>
    <x v="2"/>
    <x v="1"/>
    <n v="6"/>
    <b v="1"/>
    <n v="346"/>
    <n v="76"/>
    <x v="1"/>
    <x v="0"/>
    <x v="3"/>
    <n v="28"/>
    <n v="3.3"/>
    <b v="0"/>
    <x v="0"/>
    <n v="1610"/>
    <x v="0"/>
    <x v="3"/>
    <x v="3"/>
  </r>
  <r>
    <n v="1215"/>
    <x v="150"/>
    <x v="184"/>
    <x v="12"/>
    <n v="15"/>
    <x v="0"/>
    <n v="119.85000000000001"/>
    <x v="184"/>
    <x v="3"/>
    <x v="0"/>
    <n v="1"/>
    <b v="1"/>
    <n v="668"/>
    <n v="17"/>
    <x v="1"/>
    <x v="2"/>
    <x v="3"/>
    <n v="7"/>
    <n v="4"/>
    <b v="1"/>
    <x v="0"/>
    <n v="2780"/>
    <x v="4"/>
    <x v="1"/>
    <x v="1"/>
  </r>
  <r>
    <n v="3427"/>
    <x v="151"/>
    <x v="185"/>
    <x v="19"/>
    <n v="11"/>
    <x v="2"/>
    <n v="175.89000000000001"/>
    <x v="88"/>
    <x v="2"/>
    <x v="3"/>
    <n v="2"/>
    <b v="1"/>
    <n v="317"/>
    <n v="116"/>
    <x v="0"/>
    <x v="2"/>
    <x v="1"/>
    <n v="78"/>
    <n v="3.8"/>
    <b v="1"/>
    <x v="0"/>
    <n v="639"/>
    <x v="4"/>
    <x v="1"/>
    <x v="2"/>
  </r>
  <r>
    <n v="2428"/>
    <x v="152"/>
    <x v="186"/>
    <x v="18"/>
    <n v="8"/>
    <x v="0"/>
    <n v="63.92"/>
    <x v="185"/>
    <x v="5"/>
    <x v="2"/>
    <n v="4"/>
    <b v="1"/>
    <n v="297"/>
    <n v="19"/>
    <x v="6"/>
    <x v="2"/>
    <x v="0"/>
    <n v="84"/>
    <n v="4.9000000000000004"/>
    <b v="0"/>
    <x v="0"/>
    <n v="1960"/>
    <x v="0"/>
    <x v="2"/>
    <x v="3"/>
  </r>
  <r>
    <n v="1947"/>
    <x v="153"/>
    <x v="187"/>
    <x v="24"/>
    <n v="2"/>
    <x v="1"/>
    <n v="23.98"/>
    <x v="66"/>
    <x v="0"/>
    <x v="4"/>
    <n v="6"/>
    <b v="1"/>
    <n v="866"/>
    <n v="120"/>
    <x v="1"/>
    <x v="2"/>
    <x v="4"/>
    <n v="92"/>
    <n v="3.6"/>
    <b v="1"/>
    <x v="0"/>
    <n v="1764"/>
    <x v="2"/>
    <x v="2"/>
    <x v="0"/>
  </r>
  <r>
    <n v="5036"/>
    <x v="125"/>
    <x v="188"/>
    <x v="26"/>
    <n v="3"/>
    <x v="2"/>
    <n v="47.97"/>
    <x v="186"/>
    <x v="4"/>
    <x v="3"/>
    <n v="1"/>
    <b v="1"/>
    <n v="286"/>
    <n v="121"/>
    <x v="1"/>
    <x v="3"/>
    <x v="5"/>
    <n v="57"/>
    <n v="4.0999999999999996"/>
    <b v="1"/>
    <x v="0"/>
    <n v="967"/>
    <x v="0"/>
    <x v="2"/>
    <x v="3"/>
  </r>
  <r>
    <n v="5857"/>
    <x v="13"/>
    <x v="189"/>
    <x v="1"/>
    <n v="0"/>
    <x v="2"/>
    <n v="0"/>
    <x v="187"/>
    <x v="4"/>
    <x v="3"/>
    <n v="5"/>
    <b v="0"/>
    <n v="95"/>
    <n v="149"/>
    <x v="5"/>
    <x v="2"/>
    <x v="5"/>
    <n v="17"/>
    <n v="4"/>
    <b v="1"/>
    <x v="0"/>
    <n v="2086"/>
    <x v="2"/>
    <x v="4"/>
    <x v="3"/>
  </r>
  <r>
    <n v="8770"/>
    <x v="20"/>
    <x v="190"/>
    <x v="18"/>
    <n v="15"/>
    <x v="0"/>
    <n v="119.85000000000001"/>
    <x v="163"/>
    <x v="1"/>
    <x v="4"/>
    <n v="2"/>
    <b v="0"/>
    <n v="938"/>
    <n v="92"/>
    <x v="1"/>
    <x v="3"/>
    <x v="5"/>
    <n v="99"/>
    <n v="4.2"/>
    <b v="1"/>
    <x v="0"/>
    <n v="3288"/>
    <x v="2"/>
    <x v="4"/>
    <x v="0"/>
  </r>
  <r>
    <n v="4118"/>
    <x v="154"/>
    <x v="191"/>
    <x v="4"/>
    <n v="18"/>
    <x v="1"/>
    <n v="215.82"/>
    <x v="31"/>
    <x v="3"/>
    <x v="0"/>
    <n v="4"/>
    <b v="0"/>
    <n v="264"/>
    <n v="55"/>
    <x v="4"/>
    <x v="0"/>
    <x v="2"/>
    <n v="58"/>
    <n v="3.6"/>
    <b v="0"/>
    <x v="0"/>
    <n v="1486"/>
    <x v="0"/>
    <x v="4"/>
    <x v="3"/>
  </r>
  <r>
    <n v="7162"/>
    <x v="155"/>
    <x v="78"/>
    <x v="2"/>
    <n v="3"/>
    <x v="2"/>
    <n v="47.97"/>
    <x v="27"/>
    <x v="2"/>
    <x v="1"/>
    <n v="3"/>
    <b v="1"/>
    <n v="44"/>
    <n v="10"/>
    <x v="6"/>
    <x v="1"/>
    <x v="5"/>
    <n v="91"/>
    <n v="3.3"/>
    <b v="0"/>
    <x v="0"/>
    <n v="223"/>
    <x v="2"/>
    <x v="4"/>
    <x v="3"/>
  </r>
  <r>
    <n v="9278"/>
    <x v="133"/>
    <x v="192"/>
    <x v="2"/>
    <n v="2"/>
    <x v="0"/>
    <n v="15.98"/>
    <x v="188"/>
    <x v="1"/>
    <x v="3"/>
    <n v="4"/>
    <b v="0"/>
    <n v="944"/>
    <n v="165"/>
    <x v="6"/>
    <x v="0"/>
    <x v="5"/>
    <n v="12"/>
    <n v="4.7"/>
    <b v="1"/>
    <x v="0"/>
    <n v="2394"/>
    <x v="4"/>
    <x v="3"/>
    <x v="2"/>
  </r>
  <r>
    <n v="5406"/>
    <x v="156"/>
    <x v="193"/>
    <x v="19"/>
    <n v="1"/>
    <x v="0"/>
    <n v="7.99"/>
    <x v="189"/>
    <x v="1"/>
    <x v="3"/>
    <n v="5"/>
    <b v="0"/>
    <n v="542"/>
    <n v="152"/>
    <x v="1"/>
    <x v="2"/>
    <x v="2"/>
    <n v="6"/>
    <n v="3.1"/>
    <b v="0"/>
    <x v="0"/>
    <n v="4329"/>
    <x v="0"/>
    <x v="2"/>
    <x v="2"/>
  </r>
  <r>
    <n v="4641"/>
    <x v="135"/>
    <x v="194"/>
    <x v="23"/>
    <n v="2"/>
    <x v="2"/>
    <n v="31.98"/>
    <x v="190"/>
    <x v="6"/>
    <x v="4"/>
    <n v="6"/>
    <b v="1"/>
    <n v="350"/>
    <n v="17"/>
    <x v="4"/>
    <x v="0"/>
    <x v="2"/>
    <n v="11"/>
    <n v="3.4"/>
    <b v="1"/>
    <x v="0"/>
    <n v="2193"/>
    <x v="4"/>
    <x v="0"/>
    <x v="3"/>
  </r>
  <r>
    <n v="3969"/>
    <x v="143"/>
    <x v="195"/>
    <x v="20"/>
    <n v="18"/>
    <x v="2"/>
    <n v="287.82"/>
    <x v="191"/>
    <x v="2"/>
    <x v="2"/>
    <n v="6"/>
    <b v="1"/>
    <n v="31"/>
    <n v="173"/>
    <x v="1"/>
    <x v="0"/>
    <x v="3"/>
    <n v="84"/>
    <n v="3.5"/>
    <b v="1"/>
    <x v="0"/>
    <n v="3730"/>
    <x v="4"/>
    <x v="1"/>
    <x v="2"/>
  </r>
  <r>
    <n v="3078"/>
    <x v="157"/>
    <x v="60"/>
    <x v="2"/>
    <n v="17"/>
    <x v="0"/>
    <n v="135.83000000000001"/>
    <x v="192"/>
    <x v="0"/>
    <x v="0"/>
    <n v="3"/>
    <b v="0"/>
    <n v="358"/>
    <n v="158"/>
    <x v="5"/>
    <x v="2"/>
    <x v="0"/>
    <n v="18"/>
    <n v="3.8"/>
    <b v="0"/>
    <x v="0"/>
    <n v="2234"/>
    <x v="2"/>
    <x v="2"/>
    <x v="3"/>
  </r>
  <r>
    <n v="2808"/>
    <x v="58"/>
    <x v="196"/>
    <x v="2"/>
    <n v="13"/>
    <x v="2"/>
    <n v="207.87"/>
    <x v="159"/>
    <x v="4"/>
    <x v="0"/>
    <n v="6"/>
    <b v="0"/>
    <n v="961"/>
    <n v="170"/>
    <x v="0"/>
    <x v="0"/>
    <x v="2"/>
    <n v="87"/>
    <n v="4.2"/>
    <b v="0"/>
    <x v="0"/>
    <n v="718"/>
    <x v="2"/>
    <x v="1"/>
    <x v="3"/>
  </r>
  <r>
    <n v="7484"/>
    <x v="149"/>
    <x v="197"/>
    <x v="18"/>
    <n v="0"/>
    <x v="1"/>
    <n v="0"/>
    <x v="122"/>
    <x v="6"/>
    <x v="3"/>
    <n v="1"/>
    <b v="0"/>
    <n v="623"/>
    <n v="180"/>
    <x v="1"/>
    <x v="3"/>
    <x v="5"/>
    <n v="89"/>
    <n v="4.5"/>
    <b v="1"/>
    <x v="0"/>
    <n v="1594"/>
    <x v="0"/>
    <x v="1"/>
    <x v="0"/>
  </r>
  <r>
    <n v="2396"/>
    <x v="114"/>
    <x v="9"/>
    <x v="9"/>
    <n v="11"/>
    <x v="1"/>
    <n v="131.89000000000001"/>
    <x v="44"/>
    <x v="0"/>
    <x v="0"/>
    <n v="5"/>
    <b v="0"/>
    <n v="466"/>
    <n v="139"/>
    <x v="2"/>
    <x v="0"/>
    <x v="0"/>
    <n v="62"/>
    <n v="4"/>
    <b v="1"/>
    <x v="0"/>
    <n v="681"/>
    <x v="3"/>
    <x v="0"/>
    <x v="1"/>
  </r>
  <r>
    <n v="2472"/>
    <x v="141"/>
    <x v="198"/>
    <x v="9"/>
    <n v="12"/>
    <x v="0"/>
    <n v="95.88"/>
    <x v="175"/>
    <x v="5"/>
    <x v="0"/>
    <n v="4"/>
    <b v="0"/>
    <n v="860"/>
    <n v="145"/>
    <x v="3"/>
    <x v="1"/>
    <x v="3"/>
    <n v="82"/>
    <n v="4.7"/>
    <b v="1"/>
    <x v="0"/>
    <n v="428"/>
    <x v="4"/>
    <x v="4"/>
    <x v="0"/>
  </r>
  <r>
    <n v="7939"/>
    <x v="158"/>
    <x v="199"/>
    <x v="9"/>
    <n v="14"/>
    <x v="1"/>
    <n v="167.86"/>
    <x v="87"/>
    <x v="5"/>
    <x v="3"/>
    <n v="6"/>
    <b v="0"/>
    <n v="410"/>
    <n v="125"/>
    <x v="6"/>
    <x v="0"/>
    <x v="1"/>
    <n v="68"/>
    <n v="4.7"/>
    <b v="0"/>
    <x v="0"/>
    <n v="2542"/>
    <x v="1"/>
    <x v="1"/>
    <x v="2"/>
  </r>
  <r>
    <n v="8269"/>
    <x v="13"/>
    <x v="200"/>
    <x v="6"/>
    <n v="9"/>
    <x v="0"/>
    <n v="71.91"/>
    <x v="91"/>
    <x v="0"/>
    <x v="0"/>
    <n v="1"/>
    <b v="0"/>
    <n v="69"/>
    <n v="75"/>
    <x v="3"/>
    <x v="2"/>
    <x v="1"/>
    <n v="80"/>
    <n v="4.0999999999999996"/>
    <b v="0"/>
    <x v="0"/>
    <n v="4763"/>
    <x v="2"/>
    <x v="4"/>
    <x v="1"/>
  </r>
  <r>
    <n v="9073"/>
    <x v="19"/>
    <x v="201"/>
    <x v="28"/>
    <n v="16"/>
    <x v="2"/>
    <n v="255.84"/>
    <x v="193"/>
    <x v="3"/>
    <x v="0"/>
    <n v="4"/>
    <b v="1"/>
    <n v="424"/>
    <n v="74"/>
    <x v="4"/>
    <x v="2"/>
    <x v="5"/>
    <n v="3"/>
    <n v="3"/>
    <b v="0"/>
    <x v="0"/>
    <n v="486"/>
    <x v="4"/>
    <x v="3"/>
    <x v="1"/>
  </r>
  <r>
    <n v="9879"/>
    <x v="40"/>
    <x v="202"/>
    <x v="22"/>
    <n v="22"/>
    <x v="0"/>
    <n v="175.78"/>
    <x v="139"/>
    <x v="4"/>
    <x v="0"/>
    <n v="3"/>
    <b v="0"/>
    <n v="377"/>
    <n v="136"/>
    <x v="1"/>
    <x v="0"/>
    <x v="2"/>
    <n v="8"/>
    <n v="4.2"/>
    <b v="1"/>
    <x v="0"/>
    <n v="4327"/>
    <x v="4"/>
    <x v="1"/>
    <x v="0"/>
  </r>
  <r>
    <n v="3822"/>
    <x v="159"/>
    <x v="88"/>
    <x v="22"/>
    <n v="16"/>
    <x v="2"/>
    <n v="255.84"/>
    <x v="185"/>
    <x v="0"/>
    <x v="0"/>
    <n v="4"/>
    <b v="0"/>
    <n v="132"/>
    <n v="127"/>
    <x v="0"/>
    <x v="2"/>
    <x v="4"/>
    <n v="79"/>
    <n v="4.8"/>
    <b v="1"/>
    <x v="0"/>
    <n v="2938"/>
    <x v="0"/>
    <x v="0"/>
    <x v="3"/>
  </r>
  <r>
    <n v="9183"/>
    <x v="18"/>
    <x v="44"/>
    <x v="28"/>
    <n v="19"/>
    <x v="2"/>
    <n v="303.81"/>
    <x v="74"/>
    <x v="2"/>
    <x v="1"/>
    <n v="1"/>
    <b v="0"/>
    <n v="818"/>
    <n v="45"/>
    <x v="5"/>
    <x v="0"/>
    <x v="3"/>
    <n v="97"/>
    <n v="4.9000000000000004"/>
    <b v="0"/>
    <x v="0"/>
    <n v="1429"/>
    <x v="1"/>
    <x v="2"/>
    <x v="3"/>
  </r>
  <r>
    <n v="8674"/>
    <x v="160"/>
    <x v="203"/>
    <x v="8"/>
    <n v="22"/>
    <x v="2"/>
    <n v="351.78000000000003"/>
    <x v="60"/>
    <x v="5"/>
    <x v="3"/>
    <n v="6"/>
    <b v="1"/>
    <n v="813"/>
    <n v="155"/>
    <x v="1"/>
    <x v="3"/>
    <x v="5"/>
    <n v="85"/>
    <n v="3.6"/>
    <b v="1"/>
    <x v="0"/>
    <n v="2897"/>
    <x v="2"/>
    <x v="1"/>
    <x v="2"/>
  </r>
  <r>
    <n v="2481"/>
    <x v="161"/>
    <x v="204"/>
    <x v="8"/>
    <n v="7"/>
    <x v="0"/>
    <n v="55.93"/>
    <x v="102"/>
    <x v="6"/>
    <x v="2"/>
    <n v="6"/>
    <b v="0"/>
    <n v="362"/>
    <n v="130"/>
    <x v="6"/>
    <x v="3"/>
    <x v="4"/>
    <n v="36"/>
    <n v="3.3"/>
    <b v="1"/>
    <x v="0"/>
    <n v="274"/>
    <x v="2"/>
    <x v="3"/>
    <x v="2"/>
  </r>
  <r>
    <n v="8729"/>
    <x v="162"/>
    <x v="205"/>
    <x v="0"/>
    <n v="11"/>
    <x v="0"/>
    <n v="87.89"/>
    <x v="194"/>
    <x v="3"/>
    <x v="2"/>
    <n v="4"/>
    <b v="0"/>
    <n v="573"/>
    <n v="190"/>
    <x v="4"/>
    <x v="0"/>
    <x v="3"/>
    <n v="81"/>
    <n v="4.3"/>
    <b v="0"/>
    <x v="0"/>
    <n v="3910"/>
    <x v="3"/>
    <x v="3"/>
    <x v="2"/>
  </r>
  <r>
    <n v="5534"/>
    <x v="163"/>
    <x v="206"/>
    <x v="0"/>
    <n v="21"/>
    <x v="0"/>
    <n v="167.79"/>
    <x v="195"/>
    <x v="1"/>
    <x v="2"/>
    <n v="1"/>
    <b v="0"/>
    <n v="657"/>
    <n v="88"/>
    <x v="1"/>
    <x v="1"/>
    <x v="2"/>
    <n v="40"/>
    <n v="3.8"/>
    <b v="0"/>
    <x v="0"/>
    <n v="130"/>
    <x v="1"/>
    <x v="2"/>
    <x v="2"/>
  </r>
  <r>
    <n v="9785"/>
    <x v="106"/>
    <x v="207"/>
    <x v="13"/>
    <n v="11"/>
    <x v="1"/>
    <n v="131.89000000000001"/>
    <x v="196"/>
    <x v="0"/>
    <x v="3"/>
    <n v="4"/>
    <b v="0"/>
    <n v="659"/>
    <n v="2"/>
    <x v="5"/>
    <x v="0"/>
    <x v="2"/>
    <n v="82"/>
    <n v="4.3"/>
    <b v="1"/>
    <x v="0"/>
    <n v="2557"/>
    <x v="1"/>
    <x v="0"/>
    <x v="2"/>
  </r>
  <r>
    <n v="9609"/>
    <x v="151"/>
    <x v="208"/>
    <x v="12"/>
    <n v="14"/>
    <x v="1"/>
    <n v="167.86"/>
    <x v="197"/>
    <x v="6"/>
    <x v="0"/>
    <n v="4"/>
    <b v="1"/>
    <n v="653"/>
    <n v="173"/>
    <x v="4"/>
    <x v="1"/>
    <x v="0"/>
    <n v="8"/>
    <n v="3.5"/>
    <b v="0"/>
    <x v="0"/>
    <n v="3823"/>
    <x v="1"/>
    <x v="3"/>
    <x v="1"/>
  </r>
  <r>
    <n v="2829"/>
    <x v="164"/>
    <x v="209"/>
    <x v="28"/>
    <n v="2"/>
    <x v="2"/>
    <n v="31.98"/>
    <x v="198"/>
    <x v="0"/>
    <x v="2"/>
    <n v="2"/>
    <b v="0"/>
    <n v="577"/>
    <n v="131"/>
    <x v="6"/>
    <x v="2"/>
    <x v="1"/>
    <n v="14"/>
    <n v="3.9"/>
    <b v="0"/>
    <x v="0"/>
    <n v="4048"/>
    <x v="3"/>
    <x v="1"/>
    <x v="3"/>
  </r>
  <r>
    <n v="1714"/>
    <x v="165"/>
    <x v="210"/>
    <x v="29"/>
    <n v="14"/>
    <x v="1"/>
    <n v="167.86"/>
    <x v="137"/>
    <x v="4"/>
    <x v="0"/>
    <n v="1"/>
    <b v="1"/>
    <n v="802"/>
    <n v="177"/>
    <x v="6"/>
    <x v="2"/>
    <x v="1"/>
    <n v="21"/>
    <n v="3.5"/>
    <b v="1"/>
    <x v="0"/>
    <n v="3173"/>
    <x v="2"/>
    <x v="0"/>
    <x v="2"/>
  </r>
  <r>
    <n v="4475"/>
    <x v="166"/>
    <x v="211"/>
    <x v="20"/>
    <n v="11"/>
    <x v="0"/>
    <n v="87.89"/>
    <x v="199"/>
    <x v="0"/>
    <x v="2"/>
    <n v="4"/>
    <b v="0"/>
    <n v="702"/>
    <n v="130"/>
    <x v="1"/>
    <x v="0"/>
    <x v="5"/>
    <n v="36"/>
    <n v="4.3"/>
    <b v="0"/>
    <x v="0"/>
    <n v="3289"/>
    <x v="3"/>
    <x v="1"/>
    <x v="1"/>
  </r>
  <r>
    <n v="9820"/>
    <x v="46"/>
    <x v="161"/>
    <x v="12"/>
    <n v="1"/>
    <x v="0"/>
    <n v="7.99"/>
    <x v="200"/>
    <x v="3"/>
    <x v="2"/>
    <n v="1"/>
    <b v="1"/>
    <n v="92"/>
    <n v="184"/>
    <x v="2"/>
    <x v="2"/>
    <x v="2"/>
    <n v="66"/>
    <n v="4.0999999999999996"/>
    <b v="1"/>
    <x v="0"/>
    <n v="4377"/>
    <x v="2"/>
    <x v="1"/>
    <x v="3"/>
  </r>
  <r>
    <n v="3261"/>
    <x v="59"/>
    <x v="53"/>
    <x v="0"/>
    <n v="23"/>
    <x v="1"/>
    <n v="275.77"/>
    <x v="174"/>
    <x v="2"/>
    <x v="1"/>
    <n v="5"/>
    <b v="1"/>
    <n v="582"/>
    <n v="162"/>
    <x v="4"/>
    <x v="3"/>
    <x v="0"/>
    <n v="8"/>
    <n v="3.3"/>
    <b v="0"/>
    <x v="0"/>
    <n v="995"/>
    <x v="3"/>
    <x v="1"/>
    <x v="1"/>
  </r>
  <r>
    <n v="6130"/>
    <x v="47"/>
    <x v="212"/>
    <x v="17"/>
    <n v="7"/>
    <x v="1"/>
    <n v="83.93"/>
    <x v="201"/>
    <x v="6"/>
    <x v="1"/>
    <n v="2"/>
    <b v="1"/>
    <n v="161"/>
    <n v="93"/>
    <x v="3"/>
    <x v="1"/>
    <x v="3"/>
    <n v="30"/>
    <n v="3.3"/>
    <b v="1"/>
    <x v="0"/>
    <n v="2299"/>
    <x v="1"/>
    <x v="4"/>
    <x v="3"/>
  </r>
  <r>
    <n v="9399"/>
    <x v="61"/>
    <x v="213"/>
    <x v="14"/>
    <n v="19"/>
    <x v="0"/>
    <n v="151.81"/>
    <x v="92"/>
    <x v="0"/>
    <x v="2"/>
    <n v="2"/>
    <b v="0"/>
    <n v="842"/>
    <n v="24"/>
    <x v="1"/>
    <x v="3"/>
    <x v="3"/>
    <n v="72"/>
    <n v="3.2"/>
    <b v="1"/>
    <x v="0"/>
    <n v="4644"/>
    <x v="0"/>
    <x v="1"/>
    <x v="0"/>
  </r>
  <r>
    <n v="6047"/>
    <x v="122"/>
    <x v="214"/>
    <x v="3"/>
    <n v="0"/>
    <x v="2"/>
    <n v="0"/>
    <x v="202"/>
    <x v="4"/>
    <x v="0"/>
    <n v="2"/>
    <b v="1"/>
    <n v="609"/>
    <n v="6"/>
    <x v="1"/>
    <x v="0"/>
    <x v="2"/>
    <n v="57"/>
    <n v="3"/>
    <b v="1"/>
    <x v="0"/>
    <n v="746"/>
    <x v="4"/>
    <x v="4"/>
    <x v="0"/>
  </r>
  <r>
    <n v="7789"/>
    <x v="26"/>
    <x v="49"/>
    <x v="24"/>
    <n v="15"/>
    <x v="0"/>
    <n v="119.85000000000001"/>
    <x v="203"/>
    <x v="1"/>
    <x v="1"/>
    <n v="6"/>
    <b v="0"/>
    <n v="391"/>
    <n v="17"/>
    <x v="0"/>
    <x v="3"/>
    <x v="0"/>
    <n v="21"/>
    <n v="3.4"/>
    <b v="1"/>
    <x v="0"/>
    <n v="2835"/>
    <x v="4"/>
    <x v="3"/>
    <x v="1"/>
  </r>
  <r>
    <n v="6111"/>
    <x v="57"/>
    <x v="215"/>
    <x v="0"/>
    <n v="13"/>
    <x v="1"/>
    <n v="155.87"/>
    <x v="204"/>
    <x v="6"/>
    <x v="1"/>
    <n v="2"/>
    <b v="0"/>
    <n v="247"/>
    <n v="172"/>
    <x v="6"/>
    <x v="3"/>
    <x v="5"/>
    <n v="98"/>
    <n v="3.5"/>
    <b v="0"/>
    <x v="0"/>
    <n v="3626"/>
    <x v="2"/>
    <x v="0"/>
    <x v="1"/>
  </r>
  <r>
    <n v="4968"/>
    <x v="167"/>
    <x v="43"/>
    <x v="29"/>
    <n v="7"/>
    <x v="0"/>
    <n v="55.93"/>
    <x v="205"/>
    <x v="5"/>
    <x v="3"/>
    <n v="1"/>
    <b v="0"/>
    <n v="559"/>
    <n v="113"/>
    <x v="3"/>
    <x v="2"/>
    <x v="4"/>
    <n v="92"/>
    <n v="4.5999999999999996"/>
    <b v="0"/>
    <x v="0"/>
    <n v="1000"/>
    <x v="3"/>
    <x v="4"/>
    <x v="1"/>
  </r>
  <r>
    <n v="2739"/>
    <x v="168"/>
    <x v="213"/>
    <x v="8"/>
    <n v="18"/>
    <x v="2"/>
    <n v="287.82"/>
    <x v="81"/>
    <x v="3"/>
    <x v="1"/>
    <n v="3"/>
    <b v="0"/>
    <n v="706"/>
    <n v="22"/>
    <x v="2"/>
    <x v="0"/>
    <x v="2"/>
    <n v="4"/>
    <n v="3.4"/>
    <b v="1"/>
    <x v="0"/>
    <n v="368"/>
    <x v="1"/>
    <x v="1"/>
    <x v="0"/>
  </r>
  <r>
    <n v="6974"/>
    <x v="9"/>
    <x v="216"/>
    <x v="14"/>
    <n v="14"/>
    <x v="1"/>
    <n v="167.86"/>
    <x v="206"/>
    <x v="5"/>
    <x v="1"/>
    <n v="2"/>
    <b v="0"/>
    <n v="1000"/>
    <n v="159"/>
    <x v="3"/>
    <x v="3"/>
    <x v="1"/>
    <n v="22"/>
    <n v="4.8"/>
    <b v="0"/>
    <x v="0"/>
    <n v="2229"/>
    <x v="2"/>
    <x v="1"/>
    <x v="2"/>
  </r>
  <r>
    <n v="1784"/>
    <x v="95"/>
    <x v="176"/>
    <x v="17"/>
    <n v="18"/>
    <x v="2"/>
    <n v="287.82"/>
    <x v="161"/>
    <x v="1"/>
    <x v="3"/>
    <n v="1"/>
    <b v="1"/>
    <n v="586"/>
    <n v="32"/>
    <x v="6"/>
    <x v="2"/>
    <x v="0"/>
    <n v="100"/>
    <n v="3.6"/>
    <b v="1"/>
    <x v="0"/>
    <n v="2643"/>
    <x v="1"/>
    <x v="1"/>
    <x v="3"/>
  </r>
  <r>
    <n v="8077"/>
    <x v="31"/>
    <x v="217"/>
    <x v="13"/>
    <n v="6"/>
    <x v="1"/>
    <n v="71.94"/>
    <x v="140"/>
    <x v="3"/>
    <x v="4"/>
    <n v="6"/>
    <b v="0"/>
    <n v="450"/>
    <n v="92"/>
    <x v="5"/>
    <x v="1"/>
    <x v="0"/>
    <n v="71"/>
    <n v="4.0999999999999996"/>
    <b v="0"/>
    <x v="0"/>
    <n v="2647"/>
    <x v="0"/>
    <x v="1"/>
    <x v="2"/>
  </r>
  <r>
    <n v="2727"/>
    <x v="169"/>
    <x v="218"/>
    <x v="23"/>
    <n v="10"/>
    <x v="0"/>
    <n v="79.900000000000006"/>
    <x v="187"/>
    <x v="6"/>
    <x v="1"/>
    <n v="4"/>
    <b v="1"/>
    <n v="468"/>
    <n v="95"/>
    <x v="3"/>
    <x v="1"/>
    <x v="4"/>
    <n v="87"/>
    <n v="3.5"/>
    <b v="0"/>
    <x v="0"/>
    <n v="4497"/>
    <x v="4"/>
    <x v="1"/>
    <x v="1"/>
  </r>
  <r>
    <n v="7661"/>
    <x v="170"/>
    <x v="75"/>
    <x v="2"/>
    <n v="15"/>
    <x v="1"/>
    <n v="179.85"/>
    <x v="207"/>
    <x v="0"/>
    <x v="1"/>
    <n v="1"/>
    <b v="0"/>
    <n v="370"/>
    <n v="130"/>
    <x v="0"/>
    <x v="1"/>
    <x v="0"/>
    <n v="49"/>
    <n v="4.0999999999999996"/>
    <b v="1"/>
    <x v="0"/>
    <n v="1121"/>
    <x v="2"/>
    <x v="3"/>
    <x v="3"/>
  </r>
  <r>
    <n v="5083"/>
    <x v="43"/>
    <x v="59"/>
    <x v="16"/>
    <n v="0"/>
    <x v="2"/>
    <n v="0"/>
    <x v="54"/>
    <x v="6"/>
    <x v="0"/>
    <n v="2"/>
    <b v="1"/>
    <n v="781"/>
    <n v="179"/>
    <x v="1"/>
    <x v="1"/>
    <x v="1"/>
    <n v="8"/>
    <n v="4.3"/>
    <b v="0"/>
    <x v="0"/>
    <n v="1525"/>
    <x v="3"/>
    <x v="3"/>
    <x v="1"/>
  </r>
  <r>
    <n v="7275"/>
    <x v="171"/>
    <x v="219"/>
    <x v="19"/>
    <n v="3"/>
    <x v="1"/>
    <n v="35.97"/>
    <x v="127"/>
    <x v="6"/>
    <x v="3"/>
    <n v="4"/>
    <b v="1"/>
    <n v="829"/>
    <n v="62"/>
    <x v="5"/>
    <x v="0"/>
    <x v="1"/>
    <n v="65"/>
    <n v="3.4"/>
    <b v="0"/>
    <x v="0"/>
    <n v="3488"/>
    <x v="2"/>
    <x v="4"/>
    <x v="0"/>
  </r>
  <r>
    <n v="7316"/>
    <x v="172"/>
    <x v="220"/>
    <x v="1"/>
    <n v="21"/>
    <x v="1"/>
    <n v="251.79"/>
    <x v="8"/>
    <x v="1"/>
    <x v="0"/>
    <n v="5"/>
    <b v="0"/>
    <n v="944"/>
    <n v="94"/>
    <x v="1"/>
    <x v="0"/>
    <x v="4"/>
    <n v="72"/>
    <n v="4.7"/>
    <b v="0"/>
    <x v="0"/>
    <n v="3009"/>
    <x v="2"/>
    <x v="3"/>
    <x v="0"/>
  </r>
  <r>
    <n v="4497"/>
    <x v="173"/>
    <x v="221"/>
    <x v="1"/>
    <n v="23"/>
    <x v="2"/>
    <n v="367.77"/>
    <x v="208"/>
    <x v="0"/>
    <x v="4"/>
    <n v="4"/>
    <b v="0"/>
    <n v="670"/>
    <n v="72"/>
    <x v="0"/>
    <x v="0"/>
    <x v="3"/>
    <n v="27"/>
    <n v="4.8"/>
    <b v="0"/>
    <x v="0"/>
    <n v="15"/>
    <x v="0"/>
    <x v="0"/>
    <x v="1"/>
  </r>
  <r>
    <n v="8685"/>
    <x v="37"/>
    <x v="222"/>
    <x v="8"/>
    <n v="8"/>
    <x v="1"/>
    <n v="95.92"/>
    <x v="109"/>
    <x v="3"/>
    <x v="3"/>
    <n v="3"/>
    <b v="1"/>
    <n v="831"/>
    <n v="37"/>
    <x v="6"/>
    <x v="0"/>
    <x v="4"/>
    <n v="54"/>
    <n v="3.3"/>
    <b v="1"/>
    <x v="0"/>
    <n v="3007"/>
    <x v="2"/>
    <x v="3"/>
    <x v="1"/>
  </r>
  <r>
    <n v="8583"/>
    <x v="25"/>
    <x v="160"/>
    <x v="12"/>
    <n v="0"/>
    <x v="2"/>
    <n v="0"/>
    <x v="42"/>
    <x v="2"/>
    <x v="0"/>
    <n v="3"/>
    <b v="0"/>
    <n v="154"/>
    <n v="148"/>
    <x v="6"/>
    <x v="1"/>
    <x v="4"/>
    <n v="39"/>
    <n v="4.7"/>
    <b v="1"/>
    <x v="0"/>
    <n v="4588"/>
    <x v="3"/>
    <x v="0"/>
    <x v="2"/>
  </r>
  <r>
    <n v="1062"/>
    <x v="59"/>
    <x v="34"/>
    <x v="0"/>
    <n v="2"/>
    <x v="0"/>
    <n v="15.98"/>
    <x v="209"/>
    <x v="2"/>
    <x v="2"/>
    <n v="6"/>
    <b v="0"/>
    <n v="707"/>
    <n v="162"/>
    <x v="0"/>
    <x v="1"/>
    <x v="1"/>
    <n v="95"/>
    <n v="3.5"/>
    <b v="1"/>
    <x v="0"/>
    <n v="73"/>
    <x v="0"/>
    <x v="4"/>
    <x v="0"/>
  </r>
  <r>
    <n v="2593"/>
    <x v="32"/>
    <x v="102"/>
    <x v="11"/>
    <n v="23"/>
    <x v="0"/>
    <n v="183.77"/>
    <x v="210"/>
    <x v="4"/>
    <x v="3"/>
    <n v="6"/>
    <b v="0"/>
    <n v="587"/>
    <n v="140"/>
    <x v="3"/>
    <x v="0"/>
    <x v="2"/>
    <n v="43"/>
    <n v="3.6"/>
    <b v="1"/>
    <x v="0"/>
    <n v="4635"/>
    <x v="0"/>
    <x v="2"/>
    <x v="3"/>
  </r>
  <r>
    <n v="3951"/>
    <x v="174"/>
    <x v="223"/>
    <x v="27"/>
    <n v="17"/>
    <x v="1"/>
    <n v="203.83"/>
    <x v="211"/>
    <x v="2"/>
    <x v="0"/>
    <n v="6"/>
    <b v="1"/>
    <n v="158"/>
    <n v="119"/>
    <x v="3"/>
    <x v="2"/>
    <x v="3"/>
    <n v="60"/>
    <n v="3.7"/>
    <b v="0"/>
    <x v="0"/>
    <n v="1882"/>
    <x v="4"/>
    <x v="3"/>
    <x v="0"/>
  </r>
  <r>
    <n v="8580"/>
    <x v="175"/>
    <x v="224"/>
    <x v="5"/>
    <n v="6"/>
    <x v="2"/>
    <n v="95.94"/>
    <x v="169"/>
    <x v="6"/>
    <x v="4"/>
    <n v="2"/>
    <b v="0"/>
    <n v="936"/>
    <n v="188"/>
    <x v="0"/>
    <x v="3"/>
    <x v="2"/>
    <n v="59"/>
    <n v="4.0999999999999996"/>
    <b v="1"/>
    <x v="0"/>
    <n v="1690"/>
    <x v="1"/>
    <x v="1"/>
    <x v="3"/>
  </r>
  <r>
    <n v="4372"/>
    <x v="47"/>
    <x v="225"/>
    <x v="21"/>
    <n v="22"/>
    <x v="2"/>
    <n v="351.78000000000003"/>
    <x v="212"/>
    <x v="2"/>
    <x v="2"/>
    <n v="1"/>
    <b v="0"/>
    <n v="670"/>
    <n v="94"/>
    <x v="2"/>
    <x v="0"/>
    <x v="0"/>
    <n v="61"/>
    <n v="3"/>
    <b v="0"/>
    <x v="0"/>
    <n v="2572"/>
    <x v="3"/>
    <x v="0"/>
    <x v="2"/>
  </r>
  <r>
    <n v="4463"/>
    <x v="176"/>
    <x v="226"/>
    <x v="24"/>
    <n v="13"/>
    <x v="2"/>
    <n v="207.87"/>
    <x v="213"/>
    <x v="4"/>
    <x v="3"/>
    <n v="5"/>
    <b v="1"/>
    <n v="636"/>
    <n v="186"/>
    <x v="2"/>
    <x v="2"/>
    <x v="2"/>
    <n v="95"/>
    <n v="3.6"/>
    <b v="0"/>
    <x v="0"/>
    <n v="3865"/>
    <x v="3"/>
    <x v="2"/>
    <x v="0"/>
  </r>
  <r>
    <n v="7498"/>
    <x v="177"/>
    <x v="227"/>
    <x v="24"/>
    <n v="21"/>
    <x v="1"/>
    <n v="251.79"/>
    <x v="86"/>
    <x v="3"/>
    <x v="1"/>
    <n v="3"/>
    <b v="1"/>
    <n v="700"/>
    <n v="64"/>
    <x v="4"/>
    <x v="3"/>
    <x v="3"/>
    <n v="35"/>
    <n v="4.7"/>
    <b v="0"/>
    <x v="0"/>
    <n v="380"/>
    <x v="3"/>
    <x v="1"/>
    <x v="0"/>
  </r>
  <r>
    <n v="9618"/>
    <x v="89"/>
    <x v="228"/>
    <x v="10"/>
    <n v="0"/>
    <x v="1"/>
    <n v="0"/>
    <x v="202"/>
    <x v="5"/>
    <x v="3"/>
    <n v="4"/>
    <b v="1"/>
    <n v="310"/>
    <n v="162"/>
    <x v="4"/>
    <x v="1"/>
    <x v="1"/>
    <n v="30"/>
    <n v="3.1"/>
    <b v="1"/>
    <x v="0"/>
    <n v="3566"/>
    <x v="2"/>
    <x v="1"/>
    <x v="1"/>
  </r>
  <r>
    <n v="1813"/>
    <x v="178"/>
    <x v="229"/>
    <x v="26"/>
    <n v="5"/>
    <x v="1"/>
    <n v="59.95"/>
    <x v="214"/>
    <x v="4"/>
    <x v="2"/>
    <n v="4"/>
    <b v="0"/>
    <n v="237"/>
    <n v="32"/>
    <x v="4"/>
    <x v="3"/>
    <x v="5"/>
    <n v="39"/>
    <n v="4.8"/>
    <b v="0"/>
    <x v="0"/>
    <n v="1835"/>
    <x v="1"/>
    <x v="3"/>
    <x v="2"/>
  </r>
  <r>
    <n v="3009"/>
    <x v="179"/>
    <x v="230"/>
    <x v="0"/>
    <n v="2"/>
    <x v="2"/>
    <n v="31.98"/>
    <x v="215"/>
    <x v="3"/>
    <x v="4"/>
    <n v="3"/>
    <b v="0"/>
    <n v="774"/>
    <n v="88"/>
    <x v="4"/>
    <x v="1"/>
    <x v="2"/>
    <n v="64"/>
    <n v="3.3"/>
    <b v="0"/>
    <x v="0"/>
    <n v="1882"/>
    <x v="1"/>
    <x v="2"/>
    <x v="2"/>
  </r>
  <r>
    <n v="8210"/>
    <x v="23"/>
    <x v="231"/>
    <x v="7"/>
    <n v="22"/>
    <x v="2"/>
    <n v="351.78000000000003"/>
    <x v="216"/>
    <x v="4"/>
    <x v="2"/>
    <n v="6"/>
    <b v="1"/>
    <n v="532"/>
    <n v="110"/>
    <x v="5"/>
    <x v="0"/>
    <x v="3"/>
    <n v="73"/>
    <n v="4.7"/>
    <b v="0"/>
    <x v="0"/>
    <n v="525"/>
    <x v="0"/>
    <x v="3"/>
    <x v="3"/>
  </r>
  <r>
    <n v="8439"/>
    <x v="180"/>
    <x v="232"/>
    <x v="18"/>
    <n v="15"/>
    <x v="1"/>
    <n v="179.85"/>
    <x v="217"/>
    <x v="4"/>
    <x v="4"/>
    <n v="1"/>
    <b v="1"/>
    <n v="813"/>
    <n v="2"/>
    <x v="2"/>
    <x v="3"/>
    <x v="4"/>
    <n v="57"/>
    <n v="3"/>
    <b v="1"/>
    <x v="0"/>
    <n v="1025"/>
    <x v="1"/>
    <x v="2"/>
    <x v="3"/>
  </r>
  <r>
    <n v="8310"/>
    <x v="151"/>
    <x v="233"/>
    <x v="11"/>
    <n v="18"/>
    <x v="1"/>
    <n v="215.82"/>
    <x v="218"/>
    <x v="1"/>
    <x v="3"/>
    <n v="4"/>
    <b v="0"/>
    <n v="727"/>
    <n v="26"/>
    <x v="5"/>
    <x v="0"/>
    <x v="4"/>
    <n v="67"/>
    <n v="3.4"/>
    <b v="0"/>
    <x v="0"/>
    <n v="2508"/>
    <x v="0"/>
    <x v="3"/>
    <x v="3"/>
  </r>
  <r>
    <n v="6369"/>
    <x v="40"/>
    <x v="234"/>
    <x v="12"/>
    <n v="13"/>
    <x v="0"/>
    <n v="103.87"/>
    <x v="219"/>
    <x v="4"/>
    <x v="4"/>
    <n v="6"/>
    <b v="1"/>
    <n v="271"/>
    <n v="51"/>
    <x v="3"/>
    <x v="0"/>
    <x v="1"/>
    <n v="8"/>
    <n v="4.3"/>
    <b v="0"/>
    <x v="0"/>
    <n v="1546"/>
    <x v="1"/>
    <x v="1"/>
    <x v="1"/>
  </r>
  <r>
    <n v="5721"/>
    <x v="181"/>
    <x v="176"/>
    <x v="20"/>
    <n v="18"/>
    <x v="2"/>
    <n v="287.82"/>
    <x v="27"/>
    <x v="3"/>
    <x v="2"/>
    <n v="1"/>
    <b v="0"/>
    <n v="958"/>
    <n v="192"/>
    <x v="0"/>
    <x v="2"/>
    <x v="1"/>
    <n v="22"/>
    <n v="4.8"/>
    <b v="1"/>
    <x v="0"/>
    <n v="1955"/>
    <x v="4"/>
    <x v="0"/>
    <x v="3"/>
  </r>
  <r>
    <n v="4204"/>
    <x v="52"/>
    <x v="196"/>
    <x v="2"/>
    <n v="13"/>
    <x v="1"/>
    <n v="155.87"/>
    <x v="220"/>
    <x v="4"/>
    <x v="3"/>
    <n v="6"/>
    <b v="1"/>
    <n v="202"/>
    <n v="163"/>
    <x v="2"/>
    <x v="1"/>
    <x v="3"/>
    <n v="61"/>
    <n v="4"/>
    <b v="1"/>
    <x v="0"/>
    <n v="4889"/>
    <x v="4"/>
    <x v="0"/>
    <x v="2"/>
  </r>
  <r>
    <n v="5666"/>
    <x v="114"/>
    <x v="235"/>
    <x v="8"/>
    <n v="18"/>
    <x v="0"/>
    <n v="143.82"/>
    <x v="221"/>
    <x v="1"/>
    <x v="4"/>
    <n v="4"/>
    <b v="1"/>
    <n v="899"/>
    <n v="11"/>
    <x v="2"/>
    <x v="2"/>
    <x v="1"/>
    <n v="63"/>
    <n v="4.3"/>
    <b v="0"/>
    <x v="0"/>
    <n v="1185"/>
    <x v="3"/>
    <x v="2"/>
    <x v="0"/>
  </r>
  <r>
    <n v="5943"/>
    <x v="182"/>
    <x v="81"/>
    <x v="19"/>
    <n v="11"/>
    <x v="0"/>
    <n v="87.89"/>
    <x v="105"/>
    <x v="6"/>
    <x v="1"/>
    <n v="2"/>
    <b v="0"/>
    <n v="465"/>
    <n v="35"/>
    <x v="3"/>
    <x v="3"/>
    <x v="2"/>
    <n v="29"/>
    <n v="4.7"/>
    <b v="1"/>
    <x v="0"/>
    <n v="3040"/>
    <x v="1"/>
    <x v="4"/>
    <x v="1"/>
  </r>
  <r>
    <n v="3202"/>
    <x v="5"/>
    <x v="156"/>
    <x v="22"/>
    <n v="9"/>
    <x v="1"/>
    <n v="107.91"/>
    <x v="165"/>
    <x v="2"/>
    <x v="4"/>
    <n v="1"/>
    <b v="1"/>
    <n v="459"/>
    <n v="105"/>
    <x v="2"/>
    <x v="3"/>
    <x v="1"/>
    <n v="3"/>
    <n v="3.7"/>
    <b v="1"/>
    <x v="0"/>
    <n v="4729"/>
    <x v="0"/>
    <x v="3"/>
    <x v="3"/>
  </r>
  <r>
    <n v="4512"/>
    <x v="106"/>
    <x v="236"/>
    <x v="10"/>
    <n v="21"/>
    <x v="1"/>
    <n v="251.79"/>
    <x v="215"/>
    <x v="3"/>
    <x v="3"/>
    <n v="2"/>
    <b v="0"/>
    <n v="611"/>
    <n v="170"/>
    <x v="2"/>
    <x v="2"/>
    <x v="4"/>
    <n v="71"/>
    <n v="3.9"/>
    <b v="0"/>
    <x v="0"/>
    <n v="4193"/>
    <x v="0"/>
    <x v="1"/>
    <x v="1"/>
  </r>
  <r>
    <n v="2075"/>
    <x v="153"/>
    <x v="237"/>
    <x v="28"/>
    <n v="1"/>
    <x v="0"/>
    <n v="7.99"/>
    <x v="222"/>
    <x v="1"/>
    <x v="2"/>
    <n v="3"/>
    <b v="1"/>
    <n v="49"/>
    <n v="146"/>
    <x v="0"/>
    <x v="1"/>
    <x v="2"/>
    <n v="48"/>
    <n v="4.5999999999999996"/>
    <b v="0"/>
    <x v="0"/>
    <n v="4626"/>
    <x v="2"/>
    <x v="4"/>
    <x v="2"/>
  </r>
  <r>
    <n v="4057"/>
    <x v="183"/>
    <x v="238"/>
    <x v="14"/>
    <n v="6"/>
    <x v="2"/>
    <n v="95.94"/>
    <x v="223"/>
    <x v="5"/>
    <x v="3"/>
    <n v="3"/>
    <b v="0"/>
    <n v="929"/>
    <n v="89"/>
    <x v="1"/>
    <x v="0"/>
    <x v="3"/>
    <n v="89"/>
    <n v="3.3"/>
    <b v="0"/>
    <x v="0"/>
    <n v="60"/>
    <x v="0"/>
    <x v="4"/>
    <x v="2"/>
  </r>
  <r>
    <n v="5537"/>
    <x v="78"/>
    <x v="194"/>
    <x v="4"/>
    <n v="2"/>
    <x v="1"/>
    <n v="23.98"/>
    <x v="224"/>
    <x v="3"/>
    <x v="1"/>
    <n v="3"/>
    <b v="0"/>
    <n v="39"/>
    <n v="89"/>
    <x v="1"/>
    <x v="1"/>
    <x v="0"/>
    <n v="37"/>
    <n v="3.5"/>
    <b v="1"/>
    <x v="0"/>
    <n v="2597"/>
    <x v="4"/>
    <x v="3"/>
    <x v="2"/>
  </r>
  <r>
    <n v="9520"/>
    <x v="184"/>
    <x v="239"/>
    <x v="15"/>
    <n v="15"/>
    <x v="1"/>
    <n v="179.85"/>
    <x v="53"/>
    <x v="6"/>
    <x v="1"/>
    <n v="2"/>
    <b v="0"/>
    <n v="520"/>
    <n v="170"/>
    <x v="5"/>
    <x v="0"/>
    <x v="1"/>
    <n v="100"/>
    <n v="5"/>
    <b v="0"/>
    <x v="0"/>
    <n v="260"/>
    <x v="4"/>
    <x v="4"/>
    <x v="2"/>
  </r>
  <r>
    <n v="1081"/>
    <x v="185"/>
    <x v="240"/>
    <x v="26"/>
    <n v="4"/>
    <x v="2"/>
    <n v="63.96"/>
    <x v="225"/>
    <x v="1"/>
    <x v="0"/>
    <n v="4"/>
    <b v="0"/>
    <n v="501"/>
    <n v="64"/>
    <x v="1"/>
    <x v="1"/>
    <x v="4"/>
    <n v="98"/>
    <n v="3.3"/>
    <b v="0"/>
    <x v="0"/>
    <n v="1544"/>
    <x v="4"/>
    <x v="0"/>
    <x v="0"/>
  </r>
  <r>
    <n v="7621"/>
    <x v="184"/>
    <x v="69"/>
    <x v="27"/>
    <n v="15"/>
    <x v="0"/>
    <n v="119.85000000000001"/>
    <x v="186"/>
    <x v="1"/>
    <x v="3"/>
    <n v="6"/>
    <b v="0"/>
    <n v="593"/>
    <n v="46"/>
    <x v="4"/>
    <x v="1"/>
    <x v="4"/>
    <n v="10"/>
    <n v="4.5999999999999996"/>
    <b v="1"/>
    <x v="0"/>
    <n v="4528"/>
    <x v="4"/>
    <x v="4"/>
    <x v="1"/>
  </r>
  <r>
    <n v="4558"/>
    <x v="74"/>
    <x v="225"/>
    <x v="8"/>
    <n v="22"/>
    <x v="1"/>
    <n v="263.78000000000003"/>
    <x v="197"/>
    <x v="1"/>
    <x v="4"/>
    <n v="2"/>
    <b v="1"/>
    <n v="109"/>
    <n v="68"/>
    <x v="5"/>
    <x v="2"/>
    <x v="4"/>
    <n v="95"/>
    <n v="4.3"/>
    <b v="0"/>
    <x v="0"/>
    <n v="1127"/>
    <x v="3"/>
    <x v="4"/>
    <x v="1"/>
  </r>
  <r>
    <n v="6628"/>
    <x v="158"/>
    <x v="10"/>
    <x v="1"/>
    <n v="20"/>
    <x v="1"/>
    <n v="239.8"/>
    <x v="127"/>
    <x v="6"/>
    <x v="4"/>
    <n v="3"/>
    <b v="0"/>
    <n v="472"/>
    <n v="65"/>
    <x v="3"/>
    <x v="1"/>
    <x v="3"/>
    <n v="92"/>
    <n v="4"/>
    <b v="0"/>
    <x v="0"/>
    <n v="4542"/>
    <x v="0"/>
    <x v="3"/>
    <x v="1"/>
  </r>
  <r>
    <n v="7643"/>
    <x v="186"/>
    <x v="241"/>
    <x v="25"/>
    <n v="4"/>
    <x v="2"/>
    <n v="63.96"/>
    <x v="140"/>
    <x v="2"/>
    <x v="1"/>
    <n v="6"/>
    <b v="1"/>
    <n v="229"/>
    <n v="120"/>
    <x v="0"/>
    <x v="0"/>
    <x v="5"/>
    <n v="38"/>
    <n v="3.3"/>
    <b v="1"/>
    <x v="0"/>
    <n v="1436"/>
    <x v="0"/>
    <x v="4"/>
    <x v="2"/>
  </r>
  <r>
    <n v="4709"/>
    <x v="187"/>
    <x v="23"/>
    <x v="24"/>
    <n v="14"/>
    <x v="1"/>
    <n v="167.86"/>
    <x v="226"/>
    <x v="5"/>
    <x v="3"/>
    <n v="1"/>
    <b v="0"/>
    <n v="487"/>
    <n v="107"/>
    <x v="4"/>
    <x v="1"/>
    <x v="1"/>
    <n v="66"/>
    <n v="4"/>
    <b v="0"/>
    <x v="0"/>
    <n v="4438"/>
    <x v="1"/>
    <x v="3"/>
    <x v="0"/>
  </r>
  <r>
    <n v="8408"/>
    <x v="57"/>
    <x v="242"/>
    <x v="20"/>
    <n v="16"/>
    <x v="0"/>
    <n v="127.84"/>
    <x v="108"/>
    <x v="3"/>
    <x v="2"/>
    <n v="5"/>
    <b v="1"/>
    <n v="543"/>
    <n v="16"/>
    <x v="0"/>
    <x v="2"/>
    <x v="2"/>
    <n v="8"/>
    <n v="3.7"/>
    <b v="1"/>
    <x v="0"/>
    <n v="3130"/>
    <x v="0"/>
    <x v="0"/>
    <x v="3"/>
  </r>
  <r>
    <n v="3530"/>
    <x v="188"/>
    <x v="243"/>
    <x v="27"/>
    <n v="1"/>
    <x v="2"/>
    <n v="15.99"/>
    <x v="227"/>
    <x v="1"/>
    <x v="3"/>
    <n v="6"/>
    <b v="0"/>
    <n v="105"/>
    <n v="35"/>
    <x v="3"/>
    <x v="1"/>
    <x v="4"/>
    <n v="6"/>
    <n v="3.9"/>
    <b v="1"/>
    <x v="0"/>
    <n v="3379"/>
    <x v="1"/>
    <x v="1"/>
    <x v="0"/>
  </r>
  <r>
    <n v="3779"/>
    <x v="126"/>
    <x v="229"/>
    <x v="1"/>
    <n v="5"/>
    <x v="1"/>
    <n v="59.95"/>
    <x v="28"/>
    <x v="1"/>
    <x v="2"/>
    <n v="4"/>
    <b v="0"/>
    <n v="334"/>
    <n v="151"/>
    <x v="2"/>
    <x v="3"/>
    <x v="3"/>
    <n v="88"/>
    <n v="3.4"/>
    <b v="0"/>
    <x v="0"/>
    <n v="3696"/>
    <x v="4"/>
    <x v="1"/>
    <x v="1"/>
  </r>
  <r>
    <n v="8564"/>
    <x v="73"/>
    <x v="244"/>
    <x v="15"/>
    <n v="19"/>
    <x v="0"/>
    <n v="151.81"/>
    <x v="228"/>
    <x v="6"/>
    <x v="1"/>
    <n v="2"/>
    <b v="1"/>
    <n v="871"/>
    <n v="187"/>
    <x v="0"/>
    <x v="1"/>
    <x v="2"/>
    <n v="96"/>
    <n v="4.5"/>
    <b v="1"/>
    <x v="0"/>
    <n v="2416"/>
    <x v="0"/>
    <x v="3"/>
    <x v="0"/>
  </r>
  <r>
    <n v="8731"/>
    <x v="58"/>
    <x v="74"/>
    <x v="3"/>
    <n v="11"/>
    <x v="2"/>
    <n v="175.89000000000001"/>
    <x v="229"/>
    <x v="6"/>
    <x v="3"/>
    <n v="5"/>
    <b v="0"/>
    <n v="206"/>
    <n v="194"/>
    <x v="1"/>
    <x v="0"/>
    <x v="0"/>
    <n v="62"/>
    <n v="3.9"/>
    <b v="0"/>
    <x v="0"/>
    <n v="2856"/>
    <x v="0"/>
    <x v="3"/>
    <x v="1"/>
  </r>
  <r>
    <n v="5000"/>
    <x v="44"/>
    <x v="245"/>
    <x v="24"/>
    <n v="21"/>
    <x v="2"/>
    <n v="335.79"/>
    <x v="71"/>
    <x v="4"/>
    <x v="0"/>
    <n v="5"/>
    <b v="1"/>
    <n v="701"/>
    <n v="173"/>
    <x v="3"/>
    <x v="2"/>
    <x v="1"/>
    <n v="65"/>
    <n v="3.4"/>
    <b v="1"/>
    <x v="0"/>
    <n v="4177"/>
    <x v="0"/>
    <x v="2"/>
    <x v="2"/>
  </r>
  <r>
    <n v="3882"/>
    <x v="138"/>
    <x v="129"/>
    <x v="1"/>
    <n v="0"/>
    <x v="2"/>
    <n v="0"/>
    <x v="192"/>
    <x v="1"/>
    <x v="0"/>
    <n v="3"/>
    <b v="0"/>
    <n v="505"/>
    <n v="129"/>
    <x v="1"/>
    <x v="2"/>
    <x v="4"/>
    <n v="82"/>
    <n v="4.9000000000000004"/>
    <b v="0"/>
    <x v="0"/>
    <n v="1912"/>
    <x v="3"/>
    <x v="2"/>
    <x v="1"/>
  </r>
  <r>
    <n v="4551"/>
    <x v="189"/>
    <x v="246"/>
    <x v="4"/>
    <n v="10"/>
    <x v="1"/>
    <n v="119.9"/>
    <x v="230"/>
    <x v="6"/>
    <x v="1"/>
    <n v="6"/>
    <b v="1"/>
    <n v="239"/>
    <n v="175"/>
    <x v="0"/>
    <x v="2"/>
    <x v="4"/>
    <n v="65"/>
    <n v="3.7"/>
    <b v="0"/>
    <x v="0"/>
    <n v="2388"/>
    <x v="4"/>
    <x v="2"/>
    <x v="2"/>
  </r>
  <r>
    <n v="7970"/>
    <x v="52"/>
    <x v="247"/>
    <x v="4"/>
    <n v="15"/>
    <x v="2"/>
    <n v="239.85"/>
    <x v="68"/>
    <x v="5"/>
    <x v="0"/>
    <n v="1"/>
    <b v="1"/>
    <n v="115"/>
    <n v="168"/>
    <x v="5"/>
    <x v="0"/>
    <x v="0"/>
    <n v="27"/>
    <n v="3"/>
    <b v="0"/>
    <x v="0"/>
    <n v="4216"/>
    <x v="0"/>
    <x v="4"/>
    <x v="2"/>
  </r>
  <r>
    <n v="2466"/>
    <x v="190"/>
    <x v="248"/>
    <x v="25"/>
    <n v="1"/>
    <x v="1"/>
    <n v="11.99"/>
    <x v="118"/>
    <x v="3"/>
    <x v="3"/>
    <n v="2"/>
    <b v="0"/>
    <n v="142"/>
    <n v="113"/>
    <x v="0"/>
    <x v="0"/>
    <x v="1"/>
    <n v="100"/>
    <n v="4.5999999999999996"/>
    <b v="1"/>
    <x v="0"/>
    <n v="599"/>
    <x v="3"/>
    <x v="1"/>
    <x v="3"/>
  </r>
  <r>
    <n v="1303"/>
    <x v="38"/>
    <x v="8"/>
    <x v="22"/>
    <n v="17"/>
    <x v="1"/>
    <n v="203.83"/>
    <x v="231"/>
    <x v="6"/>
    <x v="2"/>
    <n v="1"/>
    <b v="1"/>
    <n v="744"/>
    <n v="33"/>
    <x v="4"/>
    <x v="3"/>
    <x v="4"/>
    <n v="29"/>
    <n v="4.9000000000000004"/>
    <b v="1"/>
    <x v="0"/>
    <n v="804"/>
    <x v="1"/>
    <x v="1"/>
    <x v="1"/>
  </r>
  <r>
    <n v="9832"/>
    <x v="135"/>
    <x v="102"/>
    <x v="18"/>
    <n v="23"/>
    <x v="0"/>
    <n v="183.77"/>
    <x v="96"/>
    <x v="1"/>
    <x v="2"/>
    <n v="5"/>
    <b v="1"/>
    <n v="820"/>
    <n v="17"/>
    <x v="4"/>
    <x v="0"/>
    <x v="5"/>
    <n v="93"/>
    <n v="3"/>
    <b v="0"/>
    <x v="0"/>
    <n v="4565"/>
    <x v="3"/>
    <x v="1"/>
    <x v="1"/>
  </r>
  <r>
    <n v="3618"/>
    <x v="122"/>
    <x v="249"/>
    <x v="25"/>
    <n v="10"/>
    <x v="1"/>
    <n v="119.9"/>
    <x v="11"/>
    <x v="0"/>
    <x v="2"/>
    <n v="1"/>
    <b v="0"/>
    <n v="940"/>
    <n v="50"/>
    <x v="4"/>
    <x v="3"/>
    <x v="1"/>
    <n v="71"/>
    <n v="3"/>
    <b v="0"/>
    <x v="0"/>
    <n v="1095"/>
    <x v="1"/>
    <x v="4"/>
    <x v="0"/>
  </r>
  <r>
    <n v="7424"/>
    <x v="43"/>
    <x v="250"/>
    <x v="0"/>
    <n v="16"/>
    <x v="0"/>
    <n v="127.84"/>
    <x v="77"/>
    <x v="5"/>
    <x v="4"/>
    <n v="6"/>
    <b v="1"/>
    <n v="135"/>
    <n v="138"/>
    <x v="5"/>
    <x v="2"/>
    <x v="5"/>
    <n v="5"/>
    <n v="3.4"/>
    <b v="0"/>
    <x v="0"/>
    <n v="1512"/>
    <x v="4"/>
    <x v="3"/>
    <x v="1"/>
  </r>
  <r>
    <n v="8414"/>
    <x v="43"/>
    <x v="251"/>
    <x v="7"/>
    <n v="10"/>
    <x v="1"/>
    <n v="119.9"/>
    <x v="232"/>
    <x v="1"/>
    <x v="2"/>
    <n v="3"/>
    <b v="1"/>
    <n v="803"/>
    <n v="51"/>
    <x v="3"/>
    <x v="3"/>
    <x v="2"/>
    <n v="24"/>
    <n v="3.8"/>
    <b v="0"/>
    <x v="0"/>
    <n v="1422"/>
    <x v="3"/>
    <x v="4"/>
    <x v="3"/>
  </r>
  <r>
    <n v="5688"/>
    <x v="38"/>
    <x v="252"/>
    <x v="10"/>
    <n v="2"/>
    <x v="0"/>
    <n v="15.98"/>
    <x v="223"/>
    <x v="1"/>
    <x v="0"/>
    <n v="3"/>
    <b v="0"/>
    <n v="322"/>
    <n v="199"/>
    <x v="1"/>
    <x v="2"/>
    <x v="4"/>
    <n v="65"/>
    <n v="4.5"/>
    <b v="0"/>
    <x v="0"/>
    <n v="147"/>
    <x v="0"/>
    <x v="3"/>
    <x v="2"/>
  </r>
  <r>
    <n v="2062"/>
    <x v="191"/>
    <x v="85"/>
    <x v="24"/>
    <n v="5"/>
    <x v="2"/>
    <n v="79.95"/>
    <x v="233"/>
    <x v="3"/>
    <x v="3"/>
    <n v="6"/>
    <b v="1"/>
    <n v="424"/>
    <n v="111"/>
    <x v="6"/>
    <x v="2"/>
    <x v="1"/>
    <n v="64"/>
    <n v="3.5"/>
    <b v="1"/>
    <x v="0"/>
    <n v="4317"/>
    <x v="2"/>
    <x v="3"/>
    <x v="0"/>
  </r>
  <r>
    <n v="5031"/>
    <x v="192"/>
    <x v="253"/>
    <x v="12"/>
    <n v="15"/>
    <x v="0"/>
    <n v="119.85000000000001"/>
    <x v="234"/>
    <x v="0"/>
    <x v="2"/>
    <n v="6"/>
    <b v="1"/>
    <n v="60"/>
    <n v="159"/>
    <x v="2"/>
    <x v="0"/>
    <x v="1"/>
    <n v="51"/>
    <n v="3"/>
    <b v="1"/>
    <x v="0"/>
    <n v="3197"/>
    <x v="1"/>
    <x v="2"/>
    <x v="0"/>
  </r>
  <r>
    <n v="1162"/>
    <x v="127"/>
    <x v="254"/>
    <x v="26"/>
    <n v="22"/>
    <x v="2"/>
    <n v="351.78000000000003"/>
    <x v="129"/>
    <x v="2"/>
    <x v="0"/>
    <n v="3"/>
    <b v="0"/>
    <n v="865"/>
    <n v="8"/>
    <x v="3"/>
    <x v="1"/>
    <x v="3"/>
    <n v="78"/>
    <n v="4.5999999999999996"/>
    <b v="0"/>
    <x v="0"/>
    <n v="1413"/>
    <x v="2"/>
    <x v="3"/>
    <x v="3"/>
  </r>
  <r>
    <n v="6564"/>
    <x v="46"/>
    <x v="234"/>
    <x v="19"/>
    <n v="13"/>
    <x v="1"/>
    <n v="155.87"/>
    <x v="235"/>
    <x v="1"/>
    <x v="3"/>
    <n v="2"/>
    <b v="1"/>
    <n v="526"/>
    <n v="144"/>
    <x v="0"/>
    <x v="1"/>
    <x v="4"/>
    <n v="10"/>
    <n v="3.9"/>
    <b v="1"/>
    <x v="0"/>
    <n v="747"/>
    <x v="3"/>
    <x v="1"/>
    <x v="3"/>
  </r>
  <r>
    <n v="9298"/>
    <x v="56"/>
    <x v="224"/>
    <x v="22"/>
    <n v="6"/>
    <x v="1"/>
    <n v="71.94"/>
    <x v="236"/>
    <x v="5"/>
    <x v="3"/>
    <n v="4"/>
    <b v="0"/>
    <n v="389"/>
    <n v="177"/>
    <x v="6"/>
    <x v="0"/>
    <x v="4"/>
    <n v="19"/>
    <n v="4.3"/>
    <b v="0"/>
    <x v="0"/>
    <n v="1099"/>
    <x v="4"/>
    <x v="4"/>
    <x v="1"/>
  </r>
  <r>
    <n v="4216"/>
    <x v="193"/>
    <x v="255"/>
    <x v="4"/>
    <n v="8"/>
    <x v="1"/>
    <n v="95.92"/>
    <x v="237"/>
    <x v="0"/>
    <x v="0"/>
    <n v="3"/>
    <b v="0"/>
    <n v="922"/>
    <n v="106"/>
    <x v="4"/>
    <x v="1"/>
    <x v="0"/>
    <n v="56"/>
    <n v="4.3"/>
    <b v="1"/>
    <x v="0"/>
    <n v="585"/>
    <x v="0"/>
    <x v="1"/>
    <x v="0"/>
  </r>
  <r>
    <n v="3677"/>
    <x v="85"/>
    <x v="256"/>
    <x v="26"/>
    <n v="20"/>
    <x v="0"/>
    <n v="159.80000000000001"/>
    <x v="125"/>
    <x v="2"/>
    <x v="4"/>
    <n v="2"/>
    <b v="1"/>
    <n v="485"/>
    <n v="37"/>
    <x v="1"/>
    <x v="0"/>
    <x v="2"/>
    <n v="47"/>
    <n v="3.4"/>
    <b v="1"/>
    <x v="0"/>
    <n v="615"/>
    <x v="0"/>
    <x v="1"/>
    <x v="3"/>
  </r>
  <r>
    <n v="8453"/>
    <x v="151"/>
    <x v="257"/>
    <x v="12"/>
    <n v="6"/>
    <x v="1"/>
    <n v="71.94"/>
    <x v="238"/>
    <x v="6"/>
    <x v="2"/>
    <n v="5"/>
    <b v="1"/>
    <n v="112"/>
    <n v="181"/>
    <x v="3"/>
    <x v="3"/>
    <x v="0"/>
    <n v="15"/>
    <n v="3.6"/>
    <b v="0"/>
    <x v="0"/>
    <n v="2634"/>
    <x v="3"/>
    <x v="2"/>
    <x v="2"/>
  </r>
  <r>
    <n v="6231"/>
    <x v="63"/>
    <x v="258"/>
    <x v="19"/>
    <n v="22"/>
    <x v="2"/>
    <n v="351.78000000000003"/>
    <x v="39"/>
    <x v="4"/>
    <x v="1"/>
    <n v="6"/>
    <b v="0"/>
    <n v="181"/>
    <n v="13"/>
    <x v="6"/>
    <x v="2"/>
    <x v="3"/>
    <n v="43"/>
    <n v="4.9000000000000004"/>
    <b v="1"/>
    <x v="0"/>
    <n v="136"/>
    <x v="3"/>
    <x v="3"/>
    <x v="0"/>
  </r>
  <r>
    <n v="1481"/>
    <x v="5"/>
    <x v="128"/>
    <x v="15"/>
    <n v="21"/>
    <x v="0"/>
    <n v="167.79"/>
    <x v="185"/>
    <x v="3"/>
    <x v="0"/>
    <n v="4"/>
    <b v="0"/>
    <n v="936"/>
    <n v="166"/>
    <x v="2"/>
    <x v="1"/>
    <x v="4"/>
    <n v="71"/>
    <n v="4.9000000000000004"/>
    <b v="1"/>
    <x v="0"/>
    <n v="4566"/>
    <x v="0"/>
    <x v="3"/>
    <x v="2"/>
  </r>
  <r>
    <n v="7400"/>
    <x v="194"/>
    <x v="259"/>
    <x v="1"/>
    <n v="7"/>
    <x v="1"/>
    <n v="83.93"/>
    <x v="239"/>
    <x v="0"/>
    <x v="4"/>
    <n v="1"/>
    <b v="1"/>
    <n v="406"/>
    <n v="47"/>
    <x v="4"/>
    <x v="1"/>
    <x v="2"/>
    <n v="5"/>
    <n v="3.6"/>
    <b v="0"/>
    <x v="0"/>
    <n v="3281"/>
    <x v="1"/>
    <x v="3"/>
    <x v="0"/>
  </r>
  <r>
    <n v="7447"/>
    <x v="32"/>
    <x v="260"/>
    <x v="8"/>
    <n v="17"/>
    <x v="0"/>
    <n v="135.83000000000001"/>
    <x v="240"/>
    <x v="1"/>
    <x v="2"/>
    <n v="1"/>
    <b v="0"/>
    <n v="717"/>
    <n v="84"/>
    <x v="5"/>
    <x v="0"/>
    <x v="0"/>
    <n v="82"/>
    <n v="3.9"/>
    <b v="0"/>
    <x v="0"/>
    <n v="1559"/>
    <x v="2"/>
    <x v="0"/>
    <x v="0"/>
  </r>
  <r>
    <n v="4597"/>
    <x v="95"/>
    <x v="261"/>
    <x v="0"/>
    <n v="4"/>
    <x v="0"/>
    <n v="31.96"/>
    <x v="8"/>
    <x v="3"/>
    <x v="4"/>
    <n v="5"/>
    <b v="0"/>
    <n v="833"/>
    <n v="154"/>
    <x v="6"/>
    <x v="0"/>
    <x v="1"/>
    <n v="46"/>
    <n v="3.9"/>
    <b v="0"/>
    <x v="0"/>
    <n v="3113"/>
    <x v="4"/>
    <x v="0"/>
    <x v="1"/>
  </r>
  <r>
    <n v="3173"/>
    <x v="90"/>
    <x v="262"/>
    <x v="28"/>
    <n v="2"/>
    <x v="0"/>
    <n v="15.98"/>
    <x v="36"/>
    <x v="2"/>
    <x v="2"/>
    <n v="4"/>
    <b v="1"/>
    <n v="304"/>
    <n v="49"/>
    <x v="6"/>
    <x v="3"/>
    <x v="4"/>
    <n v="57"/>
    <n v="4.3"/>
    <b v="0"/>
    <x v="0"/>
    <n v="3836"/>
    <x v="1"/>
    <x v="1"/>
    <x v="1"/>
  </r>
  <r>
    <n v="9514"/>
    <x v="195"/>
    <x v="4"/>
    <x v="5"/>
    <n v="18"/>
    <x v="0"/>
    <n v="143.82"/>
    <x v="241"/>
    <x v="4"/>
    <x v="0"/>
    <n v="3"/>
    <b v="1"/>
    <n v="802"/>
    <n v="31"/>
    <x v="2"/>
    <x v="1"/>
    <x v="0"/>
    <n v="16"/>
    <n v="4"/>
    <b v="1"/>
    <x v="0"/>
    <n v="1522"/>
    <x v="3"/>
    <x v="1"/>
    <x v="1"/>
  </r>
  <r>
    <n v="4985"/>
    <x v="47"/>
    <x v="263"/>
    <x v="15"/>
    <n v="15"/>
    <x v="0"/>
    <n v="119.85000000000001"/>
    <x v="242"/>
    <x v="2"/>
    <x v="3"/>
    <n v="4"/>
    <b v="0"/>
    <n v="522"/>
    <n v="160"/>
    <x v="2"/>
    <x v="3"/>
    <x v="2"/>
    <n v="94"/>
    <n v="4.0999999999999996"/>
    <b v="1"/>
    <x v="0"/>
    <n v="1756"/>
    <x v="1"/>
    <x v="2"/>
    <x v="0"/>
  </r>
  <r>
    <n v="4486"/>
    <x v="180"/>
    <x v="264"/>
    <x v="0"/>
    <n v="11"/>
    <x v="0"/>
    <n v="87.89"/>
    <x v="52"/>
    <x v="1"/>
    <x v="1"/>
    <n v="1"/>
    <b v="0"/>
    <n v="177"/>
    <n v="3"/>
    <x v="4"/>
    <x v="3"/>
    <x v="4"/>
    <n v="69"/>
    <n v="4.8"/>
    <b v="0"/>
    <x v="0"/>
    <n v="1542"/>
    <x v="1"/>
    <x v="4"/>
    <x v="0"/>
  </r>
  <r>
    <n v="8756"/>
    <x v="40"/>
    <x v="265"/>
    <x v="28"/>
    <n v="11"/>
    <x v="0"/>
    <n v="87.89"/>
    <x v="243"/>
    <x v="1"/>
    <x v="0"/>
    <n v="2"/>
    <b v="1"/>
    <n v="811"/>
    <n v="37"/>
    <x v="4"/>
    <x v="1"/>
    <x v="2"/>
    <n v="36"/>
    <n v="3.6"/>
    <b v="0"/>
    <x v="0"/>
    <n v="77"/>
    <x v="0"/>
    <x v="0"/>
    <x v="1"/>
  </r>
  <r>
    <n v="9121"/>
    <x v="108"/>
    <x v="157"/>
    <x v="20"/>
    <n v="17"/>
    <x v="0"/>
    <n v="135.83000000000001"/>
    <x v="244"/>
    <x v="4"/>
    <x v="1"/>
    <n v="4"/>
    <b v="0"/>
    <n v="239"/>
    <n v="126"/>
    <x v="1"/>
    <x v="3"/>
    <x v="4"/>
    <n v="86"/>
    <n v="3.9"/>
    <b v="0"/>
    <x v="0"/>
    <n v="4356"/>
    <x v="3"/>
    <x v="3"/>
    <x v="1"/>
  </r>
  <r>
    <n v="6471"/>
    <x v="13"/>
    <x v="266"/>
    <x v="9"/>
    <n v="10"/>
    <x v="0"/>
    <n v="79.900000000000006"/>
    <x v="245"/>
    <x v="5"/>
    <x v="4"/>
    <n v="3"/>
    <b v="1"/>
    <n v="49"/>
    <n v="71"/>
    <x v="4"/>
    <x v="2"/>
    <x v="5"/>
    <n v="8"/>
    <n v="3.6"/>
    <b v="0"/>
    <x v="0"/>
    <n v="1989"/>
    <x v="1"/>
    <x v="3"/>
    <x v="3"/>
  </r>
  <r>
    <n v="6601"/>
    <x v="196"/>
    <x v="195"/>
    <x v="13"/>
    <n v="18"/>
    <x v="0"/>
    <n v="143.82"/>
    <x v="44"/>
    <x v="0"/>
    <x v="1"/>
    <n v="5"/>
    <b v="1"/>
    <n v="407"/>
    <n v="15"/>
    <x v="6"/>
    <x v="1"/>
    <x v="5"/>
    <n v="26"/>
    <n v="3.1"/>
    <b v="1"/>
    <x v="0"/>
    <n v="906"/>
    <x v="2"/>
    <x v="4"/>
    <x v="3"/>
  </r>
  <r>
    <n v="4340"/>
    <x v="197"/>
    <x v="267"/>
    <x v="19"/>
    <n v="20"/>
    <x v="2"/>
    <n v="319.8"/>
    <x v="246"/>
    <x v="2"/>
    <x v="4"/>
    <n v="5"/>
    <b v="1"/>
    <n v="804"/>
    <n v="106"/>
    <x v="2"/>
    <x v="0"/>
    <x v="4"/>
    <n v="60"/>
    <n v="4.8"/>
    <b v="0"/>
    <x v="0"/>
    <n v="4108"/>
    <x v="3"/>
    <x v="4"/>
    <x v="0"/>
  </r>
  <r>
    <n v="5112"/>
    <x v="86"/>
    <x v="268"/>
    <x v="2"/>
    <n v="1"/>
    <x v="2"/>
    <n v="15.99"/>
    <x v="247"/>
    <x v="4"/>
    <x v="2"/>
    <n v="6"/>
    <b v="1"/>
    <n v="564"/>
    <n v="121"/>
    <x v="0"/>
    <x v="3"/>
    <x v="0"/>
    <n v="40"/>
    <n v="3.5"/>
    <b v="1"/>
    <x v="0"/>
    <n v="333"/>
    <x v="2"/>
    <x v="1"/>
    <x v="1"/>
  </r>
  <r>
    <n v="5700"/>
    <x v="94"/>
    <x v="269"/>
    <x v="28"/>
    <n v="18"/>
    <x v="1"/>
    <n v="215.82"/>
    <x v="88"/>
    <x v="2"/>
    <x v="1"/>
    <n v="5"/>
    <b v="1"/>
    <n v="625"/>
    <n v="165"/>
    <x v="6"/>
    <x v="2"/>
    <x v="3"/>
    <n v="41"/>
    <n v="4.3"/>
    <b v="0"/>
    <x v="0"/>
    <n v="3847"/>
    <x v="3"/>
    <x v="2"/>
    <x v="3"/>
  </r>
  <r>
    <n v="8617"/>
    <x v="38"/>
    <x v="270"/>
    <x v="11"/>
    <n v="1"/>
    <x v="2"/>
    <n v="15.99"/>
    <x v="20"/>
    <x v="5"/>
    <x v="1"/>
    <n v="2"/>
    <b v="1"/>
    <n v="260"/>
    <n v="53"/>
    <x v="4"/>
    <x v="3"/>
    <x v="4"/>
    <n v="13"/>
    <n v="3.9"/>
    <b v="1"/>
    <x v="0"/>
    <n v="1423"/>
    <x v="3"/>
    <x v="4"/>
    <x v="1"/>
  </r>
  <r>
    <n v="9149"/>
    <x v="198"/>
    <x v="231"/>
    <x v="6"/>
    <n v="23"/>
    <x v="2"/>
    <n v="367.77"/>
    <x v="12"/>
    <x v="3"/>
    <x v="2"/>
    <n v="6"/>
    <b v="1"/>
    <n v="378"/>
    <n v="56"/>
    <x v="4"/>
    <x v="1"/>
    <x v="3"/>
    <n v="9"/>
    <n v="4.5"/>
    <b v="1"/>
    <x v="0"/>
    <n v="595"/>
    <x v="2"/>
    <x v="2"/>
    <x v="3"/>
  </r>
  <r>
    <n v="8651"/>
    <x v="121"/>
    <x v="271"/>
    <x v="29"/>
    <n v="3"/>
    <x v="2"/>
    <n v="47.97"/>
    <x v="96"/>
    <x v="6"/>
    <x v="3"/>
    <n v="5"/>
    <b v="0"/>
    <n v="334"/>
    <n v="175"/>
    <x v="6"/>
    <x v="2"/>
    <x v="1"/>
    <n v="69"/>
    <n v="3.1"/>
    <b v="0"/>
    <x v="0"/>
    <n v="4445"/>
    <x v="4"/>
    <x v="4"/>
    <x v="0"/>
  </r>
  <r>
    <n v="1495"/>
    <x v="199"/>
    <x v="271"/>
    <x v="7"/>
    <n v="3"/>
    <x v="2"/>
    <n v="47.97"/>
    <x v="239"/>
    <x v="6"/>
    <x v="0"/>
    <n v="2"/>
    <b v="0"/>
    <n v="544"/>
    <n v="89"/>
    <x v="6"/>
    <x v="1"/>
    <x v="4"/>
    <n v="97"/>
    <n v="3.1"/>
    <b v="0"/>
    <x v="0"/>
    <n v="144"/>
    <x v="0"/>
    <x v="1"/>
    <x v="0"/>
  </r>
  <r>
    <n v="7359"/>
    <x v="65"/>
    <x v="272"/>
    <x v="6"/>
    <n v="20"/>
    <x v="2"/>
    <n v="319.8"/>
    <x v="248"/>
    <x v="0"/>
    <x v="2"/>
    <n v="3"/>
    <b v="1"/>
    <n v="899"/>
    <n v="97"/>
    <x v="0"/>
    <x v="2"/>
    <x v="4"/>
    <n v="42"/>
    <n v="4.7"/>
    <b v="1"/>
    <x v="0"/>
    <n v="3428"/>
    <x v="3"/>
    <x v="3"/>
    <x v="2"/>
  </r>
  <r>
    <n v="6525"/>
    <x v="122"/>
    <x v="273"/>
    <x v="7"/>
    <n v="21"/>
    <x v="2"/>
    <n v="335.79"/>
    <x v="132"/>
    <x v="5"/>
    <x v="0"/>
    <n v="1"/>
    <b v="0"/>
    <n v="807"/>
    <n v="188"/>
    <x v="0"/>
    <x v="2"/>
    <x v="5"/>
    <n v="3"/>
    <n v="3.4"/>
    <b v="0"/>
    <x v="0"/>
    <n v="4919"/>
    <x v="4"/>
    <x v="0"/>
    <x v="3"/>
  </r>
  <r>
    <n v="7207"/>
    <x v="174"/>
    <x v="271"/>
    <x v="6"/>
    <n v="3"/>
    <x v="0"/>
    <n v="23.97"/>
    <x v="79"/>
    <x v="2"/>
    <x v="1"/>
    <n v="2"/>
    <b v="0"/>
    <n v="235"/>
    <n v="25"/>
    <x v="4"/>
    <x v="2"/>
    <x v="5"/>
    <n v="31"/>
    <n v="3.9"/>
    <b v="0"/>
    <x v="0"/>
    <n v="4905"/>
    <x v="3"/>
    <x v="0"/>
    <x v="0"/>
  </r>
  <r>
    <n v="2361"/>
    <x v="200"/>
    <x v="267"/>
    <x v="9"/>
    <n v="20"/>
    <x v="2"/>
    <n v="319.8"/>
    <x v="249"/>
    <x v="0"/>
    <x v="2"/>
    <n v="3"/>
    <b v="0"/>
    <n v="763"/>
    <n v="16"/>
    <x v="2"/>
    <x v="0"/>
    <x v="3"/>
    <n v="17"/>
    <n v="3.4"/>
    <b v="1"/>
    <x v="0"/>
    <n v="428"/>
    <x v="4"/>
    <x v="1"/>
    <x v="1"/>
  </r>
  <r>
    <n v="8766"/>
    <x v="201"/>
    <x v="274"/>
    <x v="12"/>
    <n v="13"/>
    <x v="2"/>
    <n v="207.87"/>
    <x v="250"/>
    <x v="3"/>
    <x v="1"/>
    <n v="4"/>
    <b v="1"/>
    <n v="475"/>
    <n v="151"/>
    <x v="1"/>
    <x v="2"/>
    <x v="5"/>
    <n v="16"/>
    <n v="4.7"/>
    <b v="1"/>
    <x v="0"/>
    <n v="1634"/>
    <x v="2"/>
    <x v="3"/>
    <x v="0"/>
  </r>
  <r>
    <n v="7236"/>
    <x v="5"/>
    <x v="275"/>
    <x v="5"/>
    <n v="7"/>
    <x v="0"/>
    <n v="55.93"/>
    <x v="251"/>
    <x v="6"/>
    <x v="0"/>
    <n v="6"/>
    <b v="1"/>
    <n v="453"/>
    <n v="113"/>
    <x v="2"/>
    <x v="3"/>
    <x v="5"/>
    <n v="74"/>
    <n v="3.5"/>
    <b v="1"/>
    <x v="0"/>
    <n v="4085"/>
    <x v="3"/>
    <x v="1"/>
    <x v="1"/>
  </r>
  <r>
    <n v="8605"/>
    <x v="40"/>
    <x v="260"/>
    <x v="15"/>
    <n v="18"/>
    <x v="1"/>
    <n v="215.82"/>
    <x v="252"/>
    <x v="4"/>
    <x v="2"/>
    <n v="2"/>
    <b v="1"/>
    <n v="40"/>
    <n v="106"/>
    <x v="3"/>
    <x v="1"/>
    <x v="5"/>
    <n v="44"/>
    <n v="4.4000000000000004"/>
    <b v="1"/>
    <x v="0"/>
    <n v="2790"/>
    <x v="4"/>
    <x v="1"/>
    <x v="3"/>
  </r>
  <r>
    <n v="1055"/>
    <x v="116"/>
    <x v="128"/>
    <x v="20"/>
    <n v="21"/>
    <x v="2"/>
    <n v="335.79"/>
    <x v="253"/>
    <x v="4"/>
    <x v="3"/>
    <n v="5"/>
    <b v="1"/>
    <n v="112"/>
    <n v="30"/>
    <x v="6"/>
    <x v="2"/>
    <x v="0"/>
    <n v="60"/>
    <n v="3.1"/>
    <b v="1"/>
    <x v="0"/>
    <n v="2440"/>
    <x v="1"/>
    <x v="0"/>
    <x v="1"/>
  </r>
  <r>
    <n v="7986"/>
    <x v="62"/>
    <x v="119"/>
    <x v="5"/>
    <n v="22"/>
    <x v="2"/>
    <n v="351.78000000000003"/>
    <x v="80"/>
    <x v="5"/>
    <x v="2"/>
    <n v="2"/>
    <b v="1"/>
    <n v="102"/>
    <n v="66"/>
    <x v="4"/>
    <x v="3"/>
    <x v="3"/>
    <n v="11"/>
    <n v="3.7"/>
    <b v="0"/>
    <x v="0"/>
    <n v="2741"/>
    <x v="4"/>
    <x v="3"/>
    <x v="3"/>
  </r>
  <r>
    <n v="6170"/>
    <x v="95"/>
    <x v="229"/>
    <x v="7"/>
    <n v="5"/>
    <x v="2"/>
    <n v="79.95"/>
    <x v="68"/>
    <x v="4"/>
    <x v="3"/>
    <n v="1"/>
    <b v="1"/>
    <n v="943"/>
    <n v="187"/>
    <x v="2"/>
    <x v="3"/>
    <x v="3"/>
    <n v="60"/>
    <n v="3.7"/>
    <b v="0"/>
    <x v="0"/>
    <n v="4338"/>
    <x v="1"/>
    <x v="3"/>
    <x v="0"/>
  </r>
  <r>
    <n v="7172"/>
    <x v="202"/>
    <x v="276"/>
    <x v="7"/>
    <n v="16"/>
    <x v="1"/>
    <n v="191.84"/>
    <x v="248"/>
    <x v="3"/>
    <x v="3"/>
    <n v="4"/>
    <b v="0"/>
    <n v="426"/>
    <n v="137"/>
    <x v="6"/>
    <x v="2"/>
    <x v="0"/>
    <n v="31"/>
    <n v="5"/>
    <b v="0"/>
    <x v="0"/>
    <n v="2039"/>
    <x v="2"/>
    <x v="3"/>
    <x v="2"/>
  </r>
  <r>
    <n v="7408"/>
    <x v="90"/>
    <x v="277"/>
    <x v="24"/>
    <n v="22"/>
    <x v="2"/>
    <n v="351.78000000000003"/>
    <x v="123"/>
    <x v="6"/>
    <x v="1"/>
    <n v="2"/>
    <b v="1"/>
    <n v="202"/>
    <n v="12"/>
    <x v="3"/>
    <x v="3"/>
    <x v="3"/>
    <n v="21"/>
    <n v="4.5"/>
    <b v="0"/>
    <x v="0"/>
    <n v="2097"/>
    <x v="1"/>
    <x v="1"/>
    <x v="2"/>
  </r>
  <r>
    <n v="7274"/>
    <x v="133"/>
    <x v="278"/>
    <x v="27"/>
    <n v="19"/>
    <x v="1"/>
    <n v="227.81"/>
    <x v="251"/>
    <x v="3"/>
    <x v="4"/>
    <n v="4"/>
    <b v="0"/>
    <n v="364"/>
    <n v="181"/>
    <x v="6"/>
    <x v="2"/>
    <x v="4"/>
    <n v="51"/>
    <n v="4.7"/>
    <b v="0"/>
    <x v="0"/>
    <n v="2384"/>
    <x v="1"/>
    <x v="4"/>
    <x v="3"/>
  </r>
  <r>
    <n v="6001"/>
    <x v="117"/>
    <x v="279"/>
    <x v="14"/>
    <n v="2"/>
    <x v="2"/>
    <n v="31.98"/>
    <x v="206"/>
    <x v="3"/>
    <x v="0"/>
    <n v="3"/>
    <b v="1"/>
    <n v="562"/>
    <n v="67"/>
    <x v="0"/>
    <x v="1"/>
    <x v="4"/>
    <n v="2"/>
    <n v="3.2"/>
    <b v="1"/>
    <x v="0"/>
    <n v="4159"/>
    <x v="2"/>
    <x v="3"/>
    <x v="1"/>
  </r>
  <r>
    <n v="9418"/>
    <x v="203"/>
    <x v="280"/>
    <x v="29"/>
    <n v="4"/>
    <x v="0"/>
    <n v="31.96"/>
    <x v="254"/>
    <x v="0"/>
    <x v="3"/>
    <n v="6"/>
    <b v="1"/>
    <n v="481"/>
    <n v="128"/>
    <x v="3"/>
    <x v="2"/>
    <x v="1"/>
    <n v="89"/>
    <n v="3.3"/>
    <b v="1"/>
    <x v="0"/>
    <n v="2002"/>
    <x v="4"/>
    <x v="2"/>
    <x v="2"/>
  </r>
  <r>
    <n v="9354"/>
    <x v="199"/>
    <x v="247"/>
    <x v="10"/>
    <n v="16"/>
    <x v="1"/>
    <n v="191.84"/>
    <x v="255"/>
    <x v="0"/>
    <x v="4"/>
    <n v="6"/>
    <b v="0"/>
    <n v="469"/>
    <n v="182"/>
    <x v="4"/>
    <x v="0"/>
    <x v="4"/>
    <n v="85"/>
    <n v="4.4000000000000004"/>
    <b v="0"/>
    <x v="0"/>
    <n v="782"/>
    <x v="4"/>
    <x v="0"/>
    <x v="3"/>
  </r>
  <r>
    <n v="8122"/>
    <x v="204"/>
    <x v="281"/>
    <x v="26"/>
    <n v="2"/>
    <x v="2"/>
    <n v="31.98"/>
    <x v="145"/>
    <x v="2"/>
    <x v="3"/>
    <n v="2"/>
    <b v="0"/>
    <n v="708"/>
    <n v="4"/>
    <x v="2"/>
    <x v="2"/>
    <x v="5"/>
    <n v="62"/>
    <n v="4.3"/>
    <b v="1"/>
    <x v="0"/>
    <n v="4056"/>
    <x v="0"/>
    <x v="4"/>
    <x v="1"/>
  </r>
  <r>
    <n v="1765"/>
    <x v="205"/>
    <x v="282"/>
    <x v="24"/>
    <n v="2"/>
    <x v="1"/>
    <n v="23.98"/>
    <x v="256"/>
    <x v="3"/>
    <x v="4"/>
    <n v="1"/>
    <b v="1"/>
    <n v="990"/>
    <n v="88"/>
    <x v="2"/>
    <x v="2"/>
    <x v="5"/>
    <n v="97"/>
    <n v="5"/>
    <b v="0"/>
    <x v="0"/>
    <n v="1341"/>
    <x v="4"/>
    <x v="0"/>
    <x v="0"/>
  </r>
  <r>
    <n v="5352"/>
    <x v="125"/>
    <x v="283"/>
    <x v="2"/>
    <n v="10"/>
    <x v="2"/>
    <n v="159.9"/>
    <x v="257"/>
    <x v="1"/>
    <x v="3"/>
    <n v="3"/>
    <b v="1"/>
    <n v="236"/>
    <n v="121"/>
    <x v="0"/>
    <x v="3"/>
    <x v="2"/>
    <n v="1"/>
    <n v="3.7"/>
    <b v="0"/>
    <x v="0"/>
    <n v="3028"/>
    <x v="1"/>
    <x v="4"/>
    <x v="2"/>
  </r>
  <r>
    <n v="7578"/>
    <x v="32"/>
    <x v="113"/>
    <x v="25"/>
    <n v="14"/>
    <x v="1"/>
    <n v="167.86"/>
    <x v="258"/>
    <x v="1"/>
    <x v="2"/>
    <n v="5"/>
    <b v="1"/>
    <n v="784"/>
    <n v="29"/>
    <x v="0"/>
    <x v="1"/>
    <x v="1"/>
    <n v="76"/>
    <n v="4.3"/>
    <b v="1"/>
    <x v="0"/>
    <n v="4799"/>
    <x v="1"/>
    <x v="2"/>
    <x v="2"/>
  </r>
  <r>
    <n v="8912"/>
    <x v="52"/>
    <x v="219"/>
    <x v="18"/>
    <n v="2"/>
    <x v="2"/>
    <n v="31.98"/>
    <x v="259"/>
    <x v="6"/>
    <x v="0"/>
    <n v="6"/>
    <b v="0"/>
    <n v="714"/>
    <n v="3"/>
    <x v="3"/>
    <x v="1"/>
    <x v="2"/>
    <n v="45"/>
    <n v="4.3"/>
    <b v="1"/>
    <x v="0"/>
    <n v="4556"/>
    <x v="4"/>
    <x v="3"/>
    <x v="2"/>
  </r>
  <r>
    <n v="6641"/>
    <x v="38"/>
    <x v="71"/>
    <x v="23"/>
    <n v="4"/>
    <x v="0"/>
    <n v="31.96"/>
    <x v="260"/>
    <x v="4"/>
    <x v="4"/>
    <n v="3"/>
    <b v="0"/>
    <n v="420"/>
    <n v="87"/>
    <x v="2"/>
    <x v="3"/>
    <x v="2"/>
    <n v="41"/>
    <n v="3.3"/>
    <b v="1"/>
    <x v="0"/>
    <n v="2965"/>
    <x v="3"/>
    <x v="4"/>
    <x v="1"/>
  </r>
  <r>
    <n v="9664"/>
    <x v="206"/>
    <x v="201"/>
    <x v="7"/>
    <n v="16"/>
    <x v="1"/>
    <n v="191.84"/>
    <x v="261"/>
    <x v="5"/>
    <x v="3"/>
    <n v="4"/>
    <b v="0"/>
    <n v="961"/>
    <n v="9"/>
    <x v="2"/>
    <x v="3"/>
    <x v="3"/>
    <n v="62"/>
    <n v="3.4"/>
    <b v="1"/>
    <x v="0"/>
    <n v="3556"/>
    <x v="3"/>
    <x v="2"/>
    <x v="1"/>
  </r>
  <r>
    <n v="9134"/>
    <x v="32"/>
    <x v="284"/>
    <x v="4"/>
    <n v="21"/>
    <x v="2"/>
    <n v="335.79"/>
    <x v="262"/>
    <x v="2"/>
    <x v="1"/>
    <n v="5"/>
    <b v="1"/>
    <n v="775"/>
    <n v="194"/>
    <x v="6"/>
    <x v="1"/>
    <x v="0"/>
    <n v="94"/>
    <n v="3.1"/>
    <b v="0"/>
    <x v="0"/>
    <n v="2901"/>
    <x v="3"/>
    <x v="4"/>
    <x v="2"/>
  </r>
  <r>
    <n v="6663"/>
    <x v="62"/>
    <x v="150"/>
    <x v="19"/>
    <n v="6"/>
    <x v="0"/>
    <n v="47.94"/>
    <x v="74"/>
    <x v="3"/>
    <x v="4"/>
    <n v="1"/>
    <b v="1"/>
    <n v="773"/>
    <n v="139"/>
    <x v="5"/>
    <x v="1"/>
    <x v="1"/>
    <n v="45"/>
    <n v="4.0999999999999996"/>
    <b v="0"/>
    <x v="0"/>
    <n v="3520"/>
    <x v="4"/>
    <x v="4"/>
    <x v="1"/>
  </r>
  <r>
    <n v="9800"/>
    <x v="207"/>
    <x v="53"/>
    <x v="21"/>
    <n v="23"/>
    <x v="2"/>
    <n v="367.77"/>
    <x v="263"/>
    <x v="4"/>
    <x v="1"/>
    <n v="1"/>
    <b v="1"/>
    <n v="841"/>
    <n v="45"/>
    <x v="2"/>
    <x v="0"/>
    <x v="0"/>
    <n v="76"/>
    <n v="4.3"/>
    <b v="1"/>
    <x v="0"/>
    <n v="3983"/>
    <x v="0"/>
    <x v="0"/>
    <x v="0"/>
  </r>
  <r>
    <n v="2363"/>
    <x v="186"/>
    <x v="285"/>
    <x v="15"/>
    <n v="18"/>
    <x v="0"/>
    <n v="143.82"/>
    <x v="10"/>
    <x v="3"/>
    <x v="0"/>
    <n v="2"/>
    <b v="1"/>
    <n v="412"/>
    <n v="20"/>
    <x v="4"/>
    <x v="0"/>
    <x v="3"/>
    <n v="94"/>
    <n v="4.7"/>
    <b v="1"/>
    <x v="0"/>
    <n v="4632"/>
    <x v="0"/>
    <x v="1"/>
    <x v="1"/>
  </r>
  <r>
    <n v="4875"/>
    <x v="114"/>
    <x v="286"/>
    <x v="16"/>
    <n v="7"/>
    <x v="0"/>
    <n v="55.93"/>
    <x v="66"/>
    <x v="5"/>
    <x v="2"/>
    <n v="1"/>
    <b v="0"/>
    <n v="160"/>
    <n v="79"/>
    <x v="5"/>
    <x v="1"/>
    <x v="5"/>
    <n v="57"/>
    <n v="4.5"/>
    <b v="1"/>
    <x v="0"/>
    <n v="314"/>
    <x v="0"/>
    <x v="1"/>
    <x v="0"/>
  </r>
  <r>
    <n v="8961"/>
    <x v="36"/>
    <x v="276"/>
    <x v="19"/>
    <n v="16"/>
    <x v="1"/>
    <n v="191.84"/>
    <x v="241"/>
    <x v="4"/>
    <x v="0"/>
    <n v="6"/>
    <b v="0"/>
    <n v="346"/>
    <n v="125"/>
    <x v="0"/>
    <x v="3"/>
    <x v="1"/>
    <n v="25"/>
    <n v="4.0999999999999996"/>
    <b v="0"/>
    <x v="0"/>
    <n v="4012"/>
    <x v="1"/>
    <x v="1"/>
    <x v="2"/>
  </r>
  <r>
    <n v="1539"/>
    <x v="9"/>
    <x v="287"/>
    <x v="26"/>
    <n v="3"/>
    <x v="2"/>
    <n v="47.97"/>
    <x v="12"/>
    <x v="1"/>
    <x v="1"/>
    <n v="5"/>
    <b v="1"/>
    <n v="266"/>
    <n v="94"/>
    <x v="4"/>
    <x v="1"/>
    <x v="4"/>
    <n v="82"/>
    <n v="4.3"/>
    <b v="1"/>
    <x v="0"/>
    <n v="2356"/>
    <x v="3"/>
    <x v="3"/>
    <x v="2"/>
  </r>
  <r>
    <n v="4037"/>
    <x v="184"/>
    <x v="288"/>
    <x v="2"/>
    <n v="12"/>
    <x v="1"/>
    <n v="143.88"/>
    <x v="264"/>
    <x v="6"/>
    <x v="4"/>
    <n v="4"/>
    <b v="0"/>
    <n v="305"/>
    <n v="191"/>
    <x v="1"/>
    <x v="0"/>
    <x v="5"/>
    <n v="98"/>
    <n v="4.7"/>
    <b v="1"/>
    <x v="0"/>
    <n v="1824"/>
    <x v="4"/>
    <x v="2"/>
    <x v="3"/>
  </r>
  <r>
    <n v="4239"/>
    <x v="114"/>
    <x v="111"/>
    <x v="16"/>
    <n v="0"/>
    <x v="0"/>
    <n v="0"/>
    <x v="265"/>
    <x v="5"/>
    <x v="2"/>
    <n v="3"/>
    <b v="0"/>
    <n v="89"/>
    <n v="135"/>
    <x v="3"/>
    <x v="1"/>
    <x v="2"/>
    <n v="45"/>
    <n v="4.5"/>
    <b v="0"/>
    <x v="0"/>
    <n v="4236"/>
    <x v="0"/>
    <x v="2"/>
    <x v="2"/>
  </r>
  <r>
    <n v="4364"/>
    <x v="157"/>
    <x v="167"/>
    <x v="15"/>
    <n v="1"/>
    <x v="0"/>
    <n v="7.99"/>
    <x v="262"/>
    <x v="6"/>
    <x v="0"/>
    <n v="6"/>
    <b v="0"/>
    <n v="905"/>
    <n v="127"/>
    <x v="3"/>
    <x v="0"/>
    <x v="3"/>
    <n v="93"/>
    <n v="4"/>
    <b v="0"/>
    <x v="0"/>
    <n v="2102"/>
    <x v="1"/>
    <x v="0"/>
    <x v="2"/>
  </r>
  <r>
    <n v="8946"/>
    <x v="208"/>
    <x v="15"/>
    <x v="2"/>
    <n v="6"/>
    <x v="2"/>
    <n v="95.94"/>
    <x v="266"/>
    <x v="6"/>
    <x v="0"/>
    <n v="5"/>
    <b v="0"/>
    <n v="959"/>
    <n v="174"/>
    <x v="0"/>
    <x v="0"/>
    <x v="5"/>
    <n v="51"/>
    <n v="3.4"/>
    <b v="1"/>
    <x v="0"/>
    <n v="1876"/>
    <x v="0"/>
    <x v="1"/>
    <x v="0"/>
  </r>
  <r>
    <n v="5911"/>
    <x v="32"/>
    <x v="289"/>
    <x v="5"/>
    <n v="11"/>
    <x v="0"/>
    <n v="87.89"/>
    <x v="267"/>
    <x v="6"/>
    <x v="0"/>
    <n v="1"/>
    <b v="1"/>
    <n v="426"/>
    <n v="7"/>
    <x v="6"/>
    <x v="3"/>
    <x v="5"/>
    <n v="36"/>
    <n v="3.6"/>
    <b v="0"/>
    <x v="0"/>
    <n v="242"/>
    <x v="4"/>
    <x v="4"/>
    <x v="2"/>
  </r>
  <r>
    <n v="8033"/>
    <x v="171"/>
    <x v="290"/>
    <x v="14"/>
    <n v="10"/>
    <x v="2"/>
    <n v="159.9"/>
    <x v="198"/>
    <x v="6"/>
    <x v="1"/>
    <n v="1"/>
    <b v="0"/>
    <n v="585"/>
    <n v="97"/>
    <x v="4"/>
    <x v="1"/>
    <x v="0"/>
    <n v="23"/>
    <n v="3.4"/>
    <b v="1"/>
    <x v="0"/>
    <n v="4531"/>
    <x v="4"/>
    <x v="1"/>
    <x v="1"/>
  </r>
  <r>
    <n v="6603"/>
    <x v="119"/>
    <x v="27"/>
    <x v="19"/>
    <n v="10"/>
    <x v="1"/>
    <n v="119.9"/>
    <x v="105"/>
    <x v="6"/>
    <x v="4"/>
    <n v="5"/>
    <b v="0"/>
    <n v="65"/>
    <n v="11"/>
    <x v="4"/>
    <x v="3"/>
    <x v="5"/>
    <n v="30"/>
    <n v="3.2"/>
    <b v="1"/>
    <x v="0"/>
    <n v="959"/>
    <x v="1"/>
    <x v="1"/>
    <x v="3"/>
  </r>
  <r>
    <n v="9630"/>
    <x v="18"/>
    <x v="179"/>
    <x v="29"/>
    <n v="17"/>
    <x v="0"/>
    <n v="135.83000000000001"/>
    <x v="231"/>
    <x v="1"/>
    <x v="3"/>
    <n v="6"/>
    <b v="0"/>
    <n v="367"/>
    <n v="163"/>
    <x v="5"/>
    <x v="3"/>
    <x v="5"/>
    <n v="88"/>
    <n v="3.5"/>
    <b v="1"/>
    <x v="0"/>
    <n v="2156"/>
    <x v="3"/>
    <x v="3"/>
    <x v="0"/>
  </r>
  <r>
    <n v="1691"/>
    <x v="42"/>
    <x v="291"/>
    <x v="19"/>
    <n v="15"/>
    <x v="1"/>
    <n v="179.85"/>
    <x v="268"/>
    <x v="2"/>
    <x v="4"/>
    <n v="4"/>
    <b v="0"/>
    <n v="891"/>
    <n v="93"/>
    <x v="1"/>
    <x v="3"/>
    <x v="3"/>
    <n v="65"/>
    <n v="4"/>
    <b v="1"/>
    <x v="0"/>
    <n v="1442"/>
    <x v="2"/>
    <x v="4"/>
    <x v="2"/>
  </r>
  <r>
    <n v="5590"/>
    <x v="13"/>
    <x v="292"/>
    <x v="1"/>
    <n v="4"/>
    <x v="0"/>
    <n v="31.96"/>
    <x v="202"/>
    <x v="3"/>
    <x v="2"/>
    <n v="6"/>
    <b v="0"/>
    <n v="468"/>
    <n v="196"/>
    <x v="2"/>
    <x v="0"/>
    <x v="0"/>
    <n v="52"/>
    <n v="4.5"/>
    <b v="0"/>
    <x v="0"/>
    <n v="4586"/>
    <x v="0"/>
    <x v="2"/>
    <x v="3"/>
  </r>
  <r>
    <n v="8645"/>
    <x v="105"/>
    <x v="293"/>
    <x v="26"/>
    <n v="7"/>
    <x v="1"/>
    <n v="83.93"/>
    <x v="269"/>
    <x v="2"/>
    <x v="4"/>
    <n v="3"/>
    <b v="1"/>
    <n v="999"/>
    <n v="22"/>
    <x v="0"/>
    <x v="0"/>
    <x v="2"/>
    <n v="50"/>
    <n v="4.3"/>
    <b v="1"/>
    <x v="0"/>
    <n v="4170"/>
    <x v="2"/>
    <x v="4"/>
    <x v="0"/>
  </r>
  <r>
    <n v="7663"/>
    <x v="59"/>
    <x v="170"/>
    <x v="14"/>
    <n v="6"/>
    <x v="0"/>
    <n v="47.94"/>
    <x v="270"/>
    <x v="3"/>
    <x v="3"/>
    <n v="4"/>
    <b v="1"/>
    <n v="263"/>
    <n v="55"/>
    <x v="6"/>
    <x v="2"/>
    <x v="4"/>
    <n v="22"/>
    <n v="3.5"/>
    <b v="1"/>
    <x v="0"/>
    <n v="1294"/>
    <x v="1"/>
    <x v="3"/>
    <x v="2"/>
  </r>
  <r>
    <n v="2647"/>
    <x v="84"/>
    <x v="294"/>
    <x v="6"/>
    <n v="4"/>
    <x v="0"/>
    <n v="31.96"/>
    <x v="271"/>
    <x v="4"/>
    <x v="4"/>
    <n v="2"/>
    <b v="1"/>
    <n v="487"/>
    <n v="105"/>
    <x v="1"/>
    <x v="0"/>
    <x v="5"/>
    <n v="99"/>
    <n v="3.4"/>
    <b v="0"/>
    <x v="0"/>
    <n v="2460"/>
    <x v="4"/>
    <x v="0"/>
    <x v="2"/>
  </r>
  <r>
    <n v="6539"/>
    <x v="72"/>
    <x v="295"/>
    <x v="15"/>
    <n v="7"/>
    <x v="1"/>
    <n v="83.93"/>
    <x v="46"/>
    <x v="4"/>
    <x v="1"/>
    <n v="3"/>
    <b v="0"/>
    <n v="961"/>
    <n v="41"/>
    <x v="4"/>
    <x v="1"/>
    <x v="1"/>
    <n v="76"/>
    <n v="4.2"/>
    <b v="1"/>
    <x v="0"/>
    <n v="3276"/>
    <x v="2"/>
    <x v="4"/>
    <x v="0"/>
  </r>
  <r>
    <n v="3472"/>
    <x v="46"/>
    <x v="296"/>
    <x v="16"/>
    <n v="14"/>
    <x v="0"/>
    <n v="111.86"/>
    <x v="272"/>
    <x v="5"/>
    <x v="4"/>
    <n v="1"/>
    <b v="0"/>
    <n v="973"/>
    <n v="7"/>
    <x v="2"/>
    <x v="2"/>
    <x v="0"/>
    <n v="76"/>
    <n v="4.0999999999999996"/>
    <b v="1"/>
    <x v="0"/>
    <n v="941"/>
    <x v="0"/>
    <x v="4"/>
    <x v="2"/>
  </r>
  <r>
    <n v="4314"/>
    <x v="167"/>
    <x v="297"/>
    <x v="1"/>
    <n v="17"/>
    <x v="0"/>
    <n v="135.83000000000001"/>
    <x v="210"/>
    <x v="6"/>
    <x v="0"/>
    <n v="5"/>
    <b v="1"/>
    <n v="724"/>
    <n v="191"/>
    <x v="0"/>
    <x v="0"/>
    <x v="0"/>
    <n v="55"/>
    <n v="4.7"/>
    <b v="1"/>
    <x v="0"/>
    <n v="4062"/>
    <x v="2"/>
    <x v="0"/>
    <x v="2"/>
  </r>
  <r>
    <n v="6739"/>
    <x v="158"/>
    <x v="298"/>
    <x v="15"/>
    <n v="4"/>
    <x v="1"/>
    <n v="47.96"/>
    <x v="198"/>
    <x v="3"/>
    <x v="3"/>
    <n v="3"/>
    <b v="0"/>
    <n v="725"/>
    <n v="168"/>
    <x v="0"/>
    <x v="1"/>
    <x v="0"/>
    <n v="25"/>
    <n v="3.6"/>
    <b v="1"/>
    <x v="0"/>
    <n v="4322"/>
    <x v="3"/>
    <x v="2"/>
    <x v="0"/>
  </r>
  <r>
    <n v="6368"/>
    <x v="2"/>
    <x v="299"/>
    <x v="2"/>
    <n v="15"/>
    <x v="1"/>
    <n v="179.85"/>
    <x v="273"/>
    <x v="5"/>
    <x v="0"/>
    <n v="4"/>
    <b v="1"/>
    <n v="973"/>
    <n v="152"/>
    <x v="1"/>
    <x v="2"/>
    <x v="0"/>
    <n v="98"/>
    <n v="3.1"/>
    <b v="1"/>
    <x v="0"/>
    <n v="1456"/>
    <x v="4"/>
    <x v="3"/>
    <x v="3"/>
  </r>
  <r>
    <n v="7309"/>
    <x v="57"/>
    <x v="300"/>
    <x v="4"/>
    <n v="4"/>
    <x v="2"/>
    <n v="63.96"/>
    <x v="274"/>
    <x v="3"/>
    <x v="2"/>
    <n v="2"/>
    <b v="0"/>
    <n v="830"/>
    <n v="172"/>
    <x v="1"/>
    <x v="2"/>
    <x v="1"/>
    <n v="99"/>
    <n v="4.9000000000000004"/>
    <b v="0"/>
    <x v="0"/>
    <n v="1281"/>
    <x v="2"/>
    <x v="3"/>
    <x v="2"/>
  </r>
  <r>
    <n v="3976"/>
    <x v="129"/>
    <x v="301"/>
    <x v="25"/>
    <n v="12"/>
    <x v="0"/>
    <n v="95.88"/>
    <x v="275"/>
    <x v="2"/>
    <x v="4"/>
    <n v="6"/>
    <b v="0"/>
    <n v="726"/>
    <n v="176"/>
    <x v="1"/>
    <x v="1"/>
    <x v="5"/>
    <n v="65"/>
    <n v="3.8"/>
    <b v="0"/>
    <x v="0"/>
    <n v="1926"/>
    <x v="3"/>
    <x v="3"/>
    <x v="3"/>
  </r>
  <r>
    <n v="7230"/>
    <x v="209"/>
    <x v="302"/>
    <x v="0"/>
    <n v="5"/>
    <x v="1"/>
    <n v="59.95"/>
    <x v="153"/>
    <x v="1"/>
    <x v="0"/>
    <n v="3"/>
    <b v="0"/>
    <n v="90"/>
    <n v="151"/>
    <x v="1"/>
    <x v="1"/>
    <x v="1"/>
    <n v="64"/>
    <n v="4.0999999999999996"/>
    <b v="0"/>
    <x v="0"/>
    <n v="1368"/>
    <x v="2"/>
    <x v="0"/>
    <x v="0"/>
  </r>
  <r>
    <n v="8888"/>
    <x v="151"/>
    <x v="303"/>
    <x v="0"/>
    <n v="7"/>
    <x v="2"/>
    <n v="111.93"/>
    <x v="124"/>
    <x v="4"/>
    <x v="3"/>
    <n v="1"/>
    <b v="0"/>
    <n v="617"/>
    <n v="128"/>
    <x v="3"/>
    <x v="1"/>
    <x v="5"/>
    <n v="31"/>
    <n v="3.5"/>
    <b v="0"/>
    <x v="0"/>
    <n v="571"/>
    <x v="0"/>
    <x v="0"/>
    <x v="1"/>
  </r>
  <r>
    <n v="1194"/>
    <x v="158"/>
    <x v="76"/>
    <x v="3"/>
    <n v="1"/>
    <x v="0"/>
    <n v="7.99"/>
    <x v="74"/>
    <x v="4"/>
    <x v="4"/>
    <n v="6"/>
    <b v="0"/>
    <n v="246"/>
    <n v="96"/>
    <x v="6"/>
    <x v="0"/>
    <x v="3"/>
    <n v="56"/>
    <n v="4.5999999999999996"/>
    <b v="1"/>
    <x v="0"/>
    <n v="3807"/>
    <x v="3"/>
    <x v="4"/>
    <x v="2"/>
  </r>
  <r>
    <n v="6983"/>
    <x v="13"/>
    <x v="304"/>
    <x v="19"/>
    <n v="3"/>
    <x v="1"/>
    <n v="35.97"/>
    <x v="276"/>
    <x v="2"/>
    <x v="1"/>
    <n v="2"/>
    <b v="1"/>
    <n v="484"/>
    <n v="54"/>
    <x v="2"/>
    <x v="0"/>
    <x v="5"/>
    <n v="51"/>
    <n v="4"/>
    <b v="1"/>
    <x v="0"/>
    <n v="3424"/>
    <x v="0"/>
    <x v="3"/>
    <x v="1"/>
  </r>
  <r>
    <n v="1413"/>
    <x v="17"/>
    <x v="305"/>
    <x v="10"/>
    <n v="23"/>
    <x v="1"/>
    <n v="275.77"/>
    <x v="5"/>
    <x v="2"/>
    <x v="0"/>
    <n v="5"/>
    <b v="1"/>
    <n v="418"/>
    <n v="198"/>
    <x v="0"/>
    <x v="0"/>
    <x v="3"/>
    <n v="0"/>
    <n v="3"/>
    <b v="0"/>
    <x v="0"/>
    <n v="1428"/>
    <x v="0"/>
    <x v="2"/>
    <x v="3"/>
  </r>
  <r>
    <n v="9509"/>
    <x v="88"/>
    <x v="240"/>
    <x v="29"/>
    <n v="3"/>
    <x v="1"/>
    <n v="35.97"/>
    <x v="49"/>
    <x v="0"/>
    <x v="2"/>
    <n v="2"/>
    <b v="0"/>
    <n v="431"/>
    <n v="116"/>
    <x v="3"/>
    <x v="1"/>
    <x v="5"/>
    <n v="15"/>
    <n v="3.9"/>
    <b v="1"/>
    <x v="0"/>
    <n v="2387"/>
    <x v="2"/>
    <x v="3"/>
    <x v="2"/>
  </r>
  <r>
    <n v="6330"/>
    <x v="210"/>
    <x v="306"/>
    <x v="22"/>
    <n v="10"/>
    <x v="0"/>
    <n v="79.900000000000006"/>
    <x v="212"/>
    <x v="2"/>
    <x v="4"/>
    <n v="1"/>
    <b v="1"/>
    <n v="973"/>
    <n v="163"/>
    <x v="0"/>
    <x v="3"/>
    <x v="4"/>
    <n v="78"/>
    <n v="4.2"/>
    <b v="1"/>
    <x v="0"/>
    <n v="218"/>
    <x v="4"/>
    <x v="2"/>
    <x v="1"/>
  </r>
  <r>
    <n v="2504"/>
    <x v="211"/>
    <x v="307"/>
    <x v="1"/>
    <n v="3"/>
    <x v="1"/>
    <n v="35.97"/>
    <x v="154"/>
    <x v="5"/>
    <x v="4"/>
    <n v="6"/>
    <b v="1"/>
    <n v="858"/>
    <n v="159"/>
    <x v="2"/>
    <x v="0"/>
    <x v="1"/>
    <n v="75"/>
    <n v="4.5999999999999996"/>
    <b v="1"/>
    <x v="0"/>
    <n v="68"/>
    <x v="0"/>
    <x v="3"/>
    <x v="3"/>
  </r>
  <r>
    <n v="6593"/>
    <x v="158"/>
    <x v="169"/>
    <x v="19"/>
    <n v="3"/>
    <x v="1"/>
    <n v="35.97"/>
    <x v="277"/>
    <x v="1"/>
    <x v="0"/>
    <n v="6"/>
    <b v="0"/>
    <n v="637"/>
    <n v="160"/>
    <x v="2"/>
    <x v="1"/>
    <x v="4"/>
    <n v="67"/>
    <n v="5"/>
    <b v="1"/>
    <x v="0"/>
    <n v="2749"/>
    <x v="1"/>
    <x v="3"/>
    <x v="0"/>
  </r>
  <r>
    <n v="9537"/>
    <x v="158"/>
    <x v="151"/>
    <x v="8"/>
    <n v="9"/>
    <x v="1"/>
    <n v="107.91"/>
    <x v="4"/>
    <x v="5"/>
    <x v="0"/>
    <n v="3"/>
    <b v="0"/>
    <n v="693"/>
    <n v="61"/>
    <x v="2"/>
    <x v="3"/>
    <x v="0"/>
    <n v="48"/>
    <n v="3.8"/>
    <b v="0"/>
    <x v="0"/>
    <n v="4942"/>
    <x v="2"/>
    <x v="0"/>
    <x v="3"/>
  </r>
  <r>
    <n v="9628"/>
    <x v="77"/>
    <x v="308"/>
    <x v="11"/>
    <n v="13"/>
    <x v="0"/>
    <n v="103.87"/>
    <x v="278"/>
    <x v="5"/>
    <x v="3"/>
    <n v="6"/>
    <b v="0"/>
    <n v="308"/>
    <n v="103"/>
    <x v="0"/>
    <x v="2"/>
    <x v="2"/>
    <n v="98"/>
    <n v="3.1"/>
    <b v="1"/>
    <x v="0"/>
    <n v="1813"/>
    <x v="3"/>
    <x v="0"/>
    <x v="2"/>
  </r>
  <r>
    <n v="4024"/>
    <x v="95"/>
    <x v="309"/>
    <x v="19"/>
    <n v="19"/>
    <x v="0"/>
    <n v="151.81"/>
    <x v="108"/>
    <x v="1"/>
    <x v="0"/>
    <n v="1"/>
    <b v="0"/>
    <n v="843"/>
    <n v="26"/>
    <x v="2"/>
    <x v="0"/>
    <x v="1"/>
    <n v="11"/>
    <n v="3.5"/>
    <b v="0"/>
    <x v="0"/>
    <n v="318"/>
    <x v="4"/>
    <x v="4"/>
    <x v="2"/>
  </r>
  <r>
    <n v="5321"/>
    <x v="133"/>
    <x v="310"/>
    <x v="5"/>
    <n v="11"/>
    <x v="0"/>
    <n v="87.89"/>
    <x v="279"/>
    <x v="6"/>
    <x v="3"/>
    <n v="2"/>
    <b v="0"/>
    <n v="895"/>
    <n v="40"/>
    <x v="1"/>
    <x v="3"/>
    <x v="4"/>
    <n v="97"/>
    <n v="3.8"/>
    <b v="0"/>
    <x v="0"/>
    <n v="4216"/>
    <x v="1"/>
    <x v="4"/>
    <x v="3"/>
  </r>
  <r>
    <n v="3926"/>
    <x v="212"/>
    <x v="311"/>
    <x v="9"/>
    <n v="0"/>
    <x v="0"/>
    <n v="0"/>
    <x v="280"/>
    <x v="6"/>
    <x v="0"/>
    <n v="1"/>
    <b v="1"/>
    <n v="466"/>
    <n v="69"/>
    <x v="6"/>
    <x v="3"/>
    <x v="2"/>
    <n v="86"/>
    <n v="4.3"/>
    <b v="0"/>
    <x v="0"/>
    <n v="3003"/>
    <x v="2"/>
    <x v="0"/>
    <x v="1"/>
  </r>
  <r>
    <n v="8738"/>
    <x v="38"/>
    <x v="147"/>
    <x v="26"/>
    <n v="2"/>
    <x v="0"/>
    <n v="15.98"/>
    <x v="89"/>
    <x v="6"/>
    <x v="1"/>
    <n v="1"/>
    <b v="1"/>
    <n v="886"/>
    <n v="17"/>
    <x v="2"/>
    <x v="1"/>
    <x v="2"/>
    <n v="41"/>
    <n v="4.0999999999999996"/>
    <b v="0"/>
    <x v="0"/>
    <n v="342"/>
    <x v="2"/>
    <x v="3"/>
    <x v="3"/>
  </r>
  <r>
    <n v="2701"/>
    <x v="157"/>
    <x v="170"/>
    <x v="15"/>
    <n v="6"/>
    <x v="1"/>
    <n v="71.94"/>
    <x v="281"/>
    <x v="1"/>
    <x v="4"/>
    <n v="6"/>
    <b v="1"/>
    <n v="537"/>
    <n v="121"/>
    <x v="4"/>
    <x v="3"/>
    <x v="3"/>
    <n v="17"/>
    <n v="3.1"/>
    <b v="1"/>
    <x v="0"/>
    <n v="2124"/>
    <x v="1"/>
    <x v="4"/>
    <x v="2"/>
  </r>
  <r>
    <n v="5339"/>
    <x v="213"/>
    <x v="312"/>
    <x v="2"/>
    <n v="9"/>
    <x v="2"/>
    <n v="143.91"/>
    <x v="36"/>
    <x v="0"/>
    <x v="3"/>
    <n v="5"/>
    <b v="0"/>
    <n v="524"/>
    <n v="161"/>
    <x v="6"/>
    <x v="3"/>
    <x v="1"/>
    <n v="65"/>
    <n v="4.9000000000000004"/>
    <b v="0"/>
    <x v="0"/>
    <n v="1016"/>
    <x v="1"/>
    <x v="3"/>
    <x v="3"/>
  </r>
  <r>
    <n v="1612"/>
    <x v="214"/>
    <x v="195"/>
    <x v="22"/>
    <n v="18"/>
    <x v="0"/>
    <n v="143.82"/>
    <x v="40"/>
    <x v="0"/>
    <x v="1"/>
    <n v="2"/>
    <b v="1"/>
    <n v="409"/>
    <n v="22"/>
    <x v="3"/>
    <x v="1"/>
    <x v="1"/>
    <n v="64"/>
    <n v="4.3"/>
    <b v="1"/>
    <x v="0"/>
    <n v="1925"/>
    <x v="4"/>
    <x v="0"/>
    <x v="2"/>
  </r>
  <r>
    <n v="5407"/>
    <x v="18"/>
    <x v="67"/>
    <x v="22"/>
    <n v="13"/>
    <x v="0"/>
    <n v="103.87"/>
    <x v="188"/>
    <x v="4"/>
    <x v="0"/>
    <n v="5"/>
    <b v="0"/>
    <n v="988"/>
    <n v="115"/>
    <x v="0"/>
    <x v="2"/>
    <x v="3"/>
    <n v="19"/>
    <n v="4.3"/>
    <b v="1"/>
    <x v="0"/>
    <n v="3773"/>
    <x v="3"/>
    <x v="1"/>
    <x v="0"/>
  </r>
  <r>
    <n v="8225"/>
    <x v="172"/>
    <x v="313"/>
    <x v="24"/>
    <n v="6"/>
    <x v="2"/>
    <n v="95.94"/>
    <x v="282"/>
    <x v="4"/>
    <x v="1"/>
    <n v="1"/>
    <b v="1"/>
    <n v="386"/>
    <n v="177"/>
    <x v="5"/>
    <x v="0"/>
    <x v="3"/>
    <n v="17"/>
    <n v="3.4"/>
    <b v="1"/>
    <x v="0"/>
    <n v="1231"/>
    <x v="3"/>
    <x v="4"/>
    <x v="3"/>
  </r>
  <r>
    <n v="4714"/>
    <x v="215"/>
    <x v="314"/>
    <x v="8"/>
    <n v="1"/>
    <x v="1"/>
    <n v="11.99"/>
    <x v="39"/>
    <x v="2"/>
    <x v="3"/>
    <n v="6"/>
    <b v="0"/>
    <n v="996"/>
    <n v="24"/>
    <x v="4"/>
    <x v="1"/>
    <x v="1"/>
    <n v="53"/>
    <n v="3.3"/>
    <b v="1"/>
    <x v="0"/>
    <n v="62"/>
    <x v="1"/>
    <x v="1"/>
    <x v="1"/>
  </r>
  <r>
    <n v="3826"/>
    <x v="158"/>
    <x v="315"/>
    <x v="17"/>
    <n v="2"/>
    <x v="1"/>
    <n v="23.98"/>
    <x v="33"/>
    <x v="3"/>
    <x v="0"/>
    <n v="3"/>
    <b v="0"/>
    <n v="369"/>
    <n v="13"/>
    <x v="0"/>
    <x v="3"/>
    <x v="2"/>
    <n v="82"/>
    <n v="4.7"/>
    <b v="0"/>
    <x v="0"/>
    <n v="1580"/>
    <x v="4"/>
    <x v="4"/>
    <x v="0"/>
  </r>
  <r>
    <n v="3781"/>
    <x v="216"/>
    <x v="107"/>
    <x v="26"/>
    <n v="0"/>
    <x v="2"/>
    <n v="0"/>
    <x v="283"/>
    <x v="6"/>
    <x v="1"/>
    <n v="4"/>
    <b v="1"/>
    <n v="713"/>
    <n v="125"/>
    <x v="2"/>
    <x v="0"/>
    <x v="1"/>
    <n v="95"/>
    <n v="4.8"/>
    <b v="0"/>
    <x v="0"/>
    <n v="74"/>
    <x v="3"/>
    <x v="2"/>
    <x v="2"/>
  </r>
  <r>
    <n v="5635"/>
    <x v="217"/>
    <x v="140"/>
    <x v="24"/>
    <n v="13"/>
    <x v="0"/>
    <n v="103.87"/>
    <x v="284"/>
    <x v="4"/>
    <x v="2"/>
    <n v="4"/>
    <b v="0"/>
    <n v="928"/>
    <n v="147"/>
    <x v="4"/>
    <x v="1"/>
    <x v="4"/>
    <n v="92"/>
    <n v="4.7"/>
    <b v="0"/>
    <x v="0"/>
    <n v="3452"/>
    <x v="4"/>
    <x v="1"/>
    <x v="0"/>
  </r>
  <r>
    <n v="2291"/>
    <x v="70"/>
    <x v="278"/>
    <x v="15"/>
    <n v="19"/>
    <x v="0"/>
    <n v="151.81"/>
    <x v="285"/>
    <x v="0"/>
    <x v="2"/>
    <n v="6"/>
    <b v="1"/>
    <n v="869"/>
    <n v="107"/>
    <x v="4"/>
    <x v="2"/>
    <x v="3"/>
    <n v="67"/>
    <n v="4.3"/>
    <b v="0"/>
    <x v="0"/>
    <n v="4792"/>
    <x v="1"/>
    <x v="2"/>
    <x v="3"/>
  </r>
  <r>
    <n v="3119"/>
    <x v="203"/>
    <x v="316"/>
    <x v="0"/>
    <n v="2"/>
    <x v="0"/>
    <n v="15.98"/>
    <x v="286"/>
    <x v="6"/>
    <x v="3"/>
    <n v="6"/>
    <b v="1"/>
    <n v="563"/>
    <n v="185"/>
    <x v="4"/>
    <x v="1"/>
    <x v="2"/>
    <n v="3"/>
    <n v="4.8"/>
    <b v="0"/>
    <x v="0"/>
    <n v="4378"/>
    <x v="2"/>
    <x v="3"/>
    <x v="1"/>
  </r>
  <r>
    <n v="5280"/>
    <x v="218"/>
    <x v="45"/>
    <x v="26"/>
    <n v="20"/>
    <x v="0"/>
    <n v="159.80000000000001"/>
    <x v="287"/>
    <x v="4"/>
    <x v="3"/>
    <n v="2"/>
    <b v="1"/>
    <n v="429"/>
    <n v="138"/>
    <x v="4"/>
    <x v="2"/>
    <x v="4"/>
    <n v="40"/>
    <n v="3.5"/>
    <b v="0"/>
    <x v="0"/>
    <n v="1713"/>
    <x v="0"/>
    <x v="4"/>
    <x v="0"/>
  </r>
  <r>
    <n v="2546"/>
    <x v="219"/>
    <x v="317"/>
    <x v="25"/>
    <n v="18"/>
    <x v="2"/>
    <n v="287.82"/>
    <x v="75"/>
    <x v="5"/>
    <x v="0"/>
    <n v="6"/>
    <b v="0"/>
    <n v="236"/>
    <n v="37"/>
    <x v="4"/>
    <x v="1"/>
    <x v="4"/>
    <n v="49"/>
    <n v="4"/>
    <b v="0"/>
    <x v="0"/>
    <n v="1201"/>
    <x v="0"/>
    <x v="1"/>
    <x v="1"/>
  </r>
  <r>
    <n v="5975"/>
    <x v="40"/>
    <x v="163"/>
    <x v="6"/>
    <n v="14"/>
    <x v="0"/>
    <n v="111.86"/>
    <x v="288"/>
    <x v="3"/>
    <x v="2"/>
    <n v="5"/>
    <b v="1"/>
    <n v="889"/>
    <n v="80"/>
    <x v="5"/>
    <x v="2"/>
    <x v="1"/>
    <n v="52"/>
    <n v="4.4000000000000004"/>
    <b v="1"/>
    <x v="0"/>
    <n v="416"/>
    <x v="2"/>
    <x v="4"/>
    <x v="3"/>
  </r>
  <r>
    <n v="9113"/>
    <x v="90"/>
    <x v="318"/>
    <x v="10"/>
    <n v="2"/>
    <x v="0"/>
    <n v="15.98"/>
    <x v="143"/>
    <x v="5"/>
    <x v="4"/>
    <n v="4"/>
    <b v="0"/>
    <n v="785"/>
    <n v="12"/>
    <x v="2"/>
    <x v="1"/>
    <x v="3"/>
    <n v="94"/>
    <n v="4.9000000000000004"/>
    <b v="0"/>
    <x v="0"/>
    <n v="17"/>
    <x v="1"/>
    <x v="4"/>
    <x v="1"/>
  </r>
  <r>
    <n v="6250"/>
    <x v="220"/>
    <x v="70"/>
    <x v="7"/>
    <n v="4"/>
    <x v="2"/>
    <n v="63.96"/>
    <x v="289"/>
    <x v="2"/>
    <x v="0"/>
    <n v="6"/>
    <b v="0"/>
    <n v="909"/>
    <n v="164"/>
    <x v="1"/>
    <x v="2"/>
    <x v="0"/>
    <n v="75"/>
    <n v="4.2"/>
    <b v="1"/>
    <x v="0"/>
    <n v="4820"/>
    <x v="3"/>
    <x v="3"/>
    <x v="3"/>
  </r>
  <r>
    <n v="6190"/>
    <x v="221"/>
    <x v="228"/>
    <x v="23"/>
    <n v="0"/>
    <x v="0"/>
    <n v="0"/>
    <x v="39"/>
    <x v="1"/>
    <x v="3"/>
    <n v="2"/>
    <b v="0"/>
    <n v="142"/>
    <n v="22"/>
    <x v="0"/>
    <x v="1"/>
    <x v="2"/>
    <n v="94"/>
    <n v="4.2"/>
    <b v="0"/>
    <x v="0"/>
    <n v="1758"/>
    <x v="4"/>
    <x v="4"/>
    <x v="0"/>
  </r>
  <r>
    <n v="5713"/>
    <x v="222"/>
    <x v="293"/>
    <x v="24"/>
    <n v="7"/>
    <x v="0"/>
    <n v="55.93"/>
    <x v="146"/>
    <x v="1"/>
    <x v="3"/>
    <n v="1"/>
    <b v="0"/>
    <n v="743"/>
    <n v="180"/>
    <x v="0"/>
    <x v="3"/>
    <x v="0"/>
    <n v="0"/>
    <n v="4.3"/>
    <b v="1"/>
    <x v="0"/>
    <n v="2568"/>
    <x v="1"/>
    <x v="3"/>
    <x v="2"/>
  </r>
  <r>
    <n v="1932"/>
    <x v="52"/>
    <x v="319"/>
    <x v="6"/>
    <n v="10"/>
    <x v="0"/>
    <n v="79.900000000000006"/>
    <x v="288"/>
    <x v="3"/>
    <x v="1"/>
    <n v="2"/>
    <b v="0"/>
    <n v="40"/>
    <n v="188"/>
    <x v="6"/>
    <x v="1"/>
    <x v="5"/>
    <n v="86"/>
    <n v="3.7"/>
    <b v="1"/>
    <x v="0"/>
    <n v="4235"/>
    <x v="0"/>
    <x v="3"/>
    <x v="0"/>
  </r>
  <r>
    <n v="6527"/>
    <x v="223"/>
    <x v="320"/>
    <x v="16"/>
    <n v="17"/>
    <x v="0"/>
    <n v="135.83000000000001"/>
    <x v="290"/>
    <x v="6"/>
    <x v="4"/>
    <n v="1"/>
    <b v="1"/>
    <n v="400"/>
    <n v="151"/>
    <x v="4"/>
    <x v="0"/>
    <x v="1"/>
    <n v="52"/>
    <n v="4.3"/>
    <b v="0"/>
    <x v="0"/>
    <n v="3775"/>
    <x v="1"/>
    <x v="4"/>
    <x v="0"/>
  </r>
  <r>
    <n v="9363"/>
    <x v="38"/>
    <x v="321"/>
    <x v="16"/>
    <n v="1"/>
    <x v="1"/>
    <n v="11.99"/>
    <x v="290"/>
    <x v="4"/>
    <x v="2"/>
    <n v="1"/>
    <b v="0"/>
    <n v="359"/>
    <n v="192"/>
    <x v="5"/>
    <x v="0"/>
    <x v="4"/>
    <n v="38"/>
    <n v="4.4000000000000004"/>
    <b v="1"/>
    <x v="0"/>
    <n v="92"/>
    <x v="0"/>
    <x v="3"/>
    <x v="3"/>
  </r>
  <r>
    <n v="5019"/>
    <x v="42"/>
    <x v="315"/>
    <x v="20"/>
    <n v="2"/>
    <x v="2"/>
    <n v="31.98"/>
    <x v="5"/>
    <x v="3"/>
    <x v="4"/>
    <n v="3"/>
    <b v="0"/>
    <n v="711"/>
    <n v="23"/>
    <x v="5"/>
    <x v="2"/>
    <x v="5"/>
    <n v="65"/>
    <n v="3.6"/>
    <b v="1"/>
    <x v="0"/>
    <n v="72"/>
    <x v="3"/>
    <x v="1"/>
    <x v="1"/>
  </r>
  <r>
    <n v="9258"/>
    <x v="224"/>
    <x v="200"/>
    <x v="27"/>
    <n v="9"/>
    <x v="2"/>
    <n v="143.91"/>
    <x v="291"/>
    <x v="3"/>
    <x v="2"/>
    <n v="1"/>
    <b v="0"/>
    <n v="581"/>
    <n v="146"/>
    <x v="5"/>
    <x v="0"/>
    <x v="3"/>
    <n v="37"/>
    <n v="4.4000000000000004"/>
    <b v="0"/>
    <x v="0"/>
    <n v="2488"/>
    <x v="0"/>
    <x v="2"/>
    <x v="1"/>
  </r>
  <r>
    <n v="7512"/>
    <x v="225"/>
    <x v="322"/>
    <x v="24"/>
    <n v="11"/>
    <x v="1"/>
    <n v="131.89000000000001"/>
    <x v="292"/>
    <x v="5"/>
    <x v="2"/>
    <n v="4"/>
    <b v="1"/>
    <n v="923"/>
    <n v="182"/>
    <x v="3"/>
    <x v="1"/>
    <x v="0"/>
    <n v="14"/>
    <n v="4.9000000000000004"/>
    <b v="1"/>
    <x v="0"/>
    <n v="2666"/>
    <x v="3"/>
    <x v="4"/>
    <x v="3"/>
  </r>
  <r>
    <n v="8195"/>
    <x v="226"/>
    <x v="244"/>
    <x v="8"/>
    <n v="19"/>
    <x v="1"/>
    <n v="227.81"/>
    <x v="27"/>
    <x v="1"/>
    <x v="0"/>
    <n v="1"/>
    <b v="0"/>
    <n v="381"/>
    <n v="78"/>
    <x v="5"/>
    <x v="1"/>
    <x v="2"/>
    <n v="84"/>
    <n v="4.4000000000000004"/>
    <b v="1"/>
    <x v="0"/>
    <n v="4221"/>
    <x v="4"/>
    <x v="4"/>
    <x v="2"/>
  </r>
  <r>
    <n v="8242"/>
    <x v="105"/>
    <x v="91"/>
    <x v="22"/>
    <n v="23"/>
    <x v="1"/>
    <n v="275.77"/>
    <x v="55"/>
    <x v="6"/>
    <x v="4"/>
    <n v="4"/>
    <b v="1"/>
    <n v="706"/>
    <n v="153"/>
    <x v="1"/>
    <x v="0"/>
    <x v="0"/>
    <n v="94"/>
    <n v="3.7"/>
    <b v="1"/>
    <x v="0"/>
    <n v="4569"/>
    <x v="0"/>
    <x v="4"/>
    <x v="0"/>
  </r>
  <r>
    <n v="2220"/>
    <x v="202"/>
    <x v="87"/>
    <x v="14"/>
    <n v="13"/>
    <x v="2"/>
    <n v="207.87"/>
    <x v="293"/>
    <x v="5"/>
    <x v="0"/>
    <n v="1"/>
    <b v="1"/>
    <n v="792"/>
    <n v="103"/>
    <x v="5"/>
    <x v="0"/>
    <x v="2"/>
    <n v="24"/>
    <n v="3.9"/>
    <b v="1"/>
    <x v="0"/>
    <n v="2695"/>
    <x v="3"/>
    <x v="4"/>
    <x v="1"/>
  </r>
  <r>
    <n v="9308"/>
    <x v="13"/>
    <x v="136"/>
    <x v="9"/>
    <n v="1"/>
    <x v="1"/>
    <n v="11.99"/>
    <x v="294"/>
    <x v="3"/>
    <x v="2"/>
    <n v="3"/>
    <b v="1"/>
    <n v="221"/>
    <n v="4"/>
    <x v="0"/>
    <x v="0"/>
    <x v="2"/>
    <n v="88"/>
    <n v="3.7"/>
    <b v="1"/>
    <x v="0"/>
    <n v="48"/>
    <x v="4"/>
    <x v="2"/>
    <x v="3"/>
  </r>
  <r>
    <n v="3437"/>
    <x v="79"/>
    <x v="258"/>
    <x v="21"/>
    <n v="22"/>
    <x v="0"/>
    <n v="175.78"/>
    <x v="172"/>
    <x v="2"/>
    <x v="2"/>
    <n v="4"/>
    <b v="0"/>
    <n v="770"/>
    <n v="74"/>
    <x v="4"/>
    <x v="1"/>
    <x v="1"/>
    <n v="12"/>
    <n v="4"/>
    <b v="0"/>
    <x v="0"/>
    <n v="1526"/>
    <x v="3"/>
    <x v="0"/>
    <x v="0"/>
  </r>
  <r>
    <n v="8305"/>
    <x v="38"/>
    <x v="284"/>
    <x v="27"/>
    <n v="22"/>
    <x v="1"/>
    <n v="263.78000000000003"/>
    <x v="295"/>
    <x v="5"/>
    <x v="4"/>
    <n v="5"/>
    <b v="0"/>
    <n v="914"/>
    <n v="22"/>
    <x v="6"/>
    <x v="1"/>
    <x v="1"/>
    <n v="14"/>
    <n v="4.5"/>
    <b v="0"/>
    <x v="0"/>
    <n v="4934"/>
    <x v="0"/>
    <x v="0"/>
    <x v="0"/>
  </r>
  <r>
    <n v="6773"/>
    <x v="209"/>
    <x v="323"/>
    <x v="26"/>
    <n v="9"/>
    <x v="0"/>
    <n v="71.91"/>
    <x v="274"/>
    <x v="1"/>
    <x v="4"/>
    <n v="1"/>
    <b v="1"/>
    <n v="492"/>
    <n v="187"/>
    <x v="0"/>
    <x v="0"/>
    <x v="5"/>
    <n v="75"/>
    <n v="4.9000000000000004"/>
    <b v="1"/>
    <x v="0"/>
    <n v="628"/>
    <x v="1"/>
    <x v="3"/>
    <x v="0"/>
  </r>
  <r>
    <n v="3010"/>
    <x v="119"/>
    <x v="324"/>
    <x v="24"/>
    <n v="0"/>
    <x v="1"/>
    <n v="0"/>
    <x v="58"/>
    <x v="2"/>
    <x v="1"/>
    <n v="5"/>
    <b v="0"/>
    <n v="925"/>
    <n v="191"/>
    <x v="4"/>
    <x v="0"/>
    <x v="2"/>
    <n v="38"/>
    <n v="4.5999999999999996"/>
    <b v="1"/>
    <x v="0"/>
    <n v="167"/>
    <x v="4"/>
    <x v="1"/>
    <x v="3"/>
  </r>
  <r>
    <n v="3622"/>
    <x v="122"/>
    <x v="188"/>
    <x v="28"/>
    <n v="3"/>
    <x v="0"/>
    <n v="23.97"/>
    <x v="97"/>
    <x v="1"/>
    <x v="0"/>
    <n v="5"/>
    <b v="0"/>
    <n v="183"/>
    <n v="195"/>
    <x v="6"/>
    <x v="3"/>
    <x v="2"/>
    <n v="36"/>
    <n v="4.7"/>
    <b v="0"/>
    <x v="0"/>
    <n v="1309"/>
    <x v="2"/>
    <x v="1"/>
    <x v="2"/>
  </r>
  <r>
    <n v="6006"/>
    <x v="20"/>
    <x v="325"/>
    <x v="4"/>
    <n v="2"/>
    <x v="1"/>
    <n v="23.98"/>
    <x v="249"/>
    <x v="4"/>
    <x v="0"/>
    <n v="1"/>
    <b v="1"/>
    <n v="889"/>
    <n v="54"/>
    <x v="6"/>
    <x v="3"/>
    <x v="1"/>
    <n v="1"/>
    <n v="3.3"/>
    <b v="1"/>
    <x v="0"/>
    <n v="710"/>
    <x v="0"/>
    <x v="3"/>
    <x v="0"/>
  </r>
  <r>
    <n v="1338"/>
    <x v="43"/>
    <x v="47"/>
    <x v="3"/>
    <n v="20"/>
    <x v="2"/>
    <n v="319.8"/>
    <x v="268"/>
    <x v="6"/>
    <x v="3"/>
    <n v="4"/>
    <b v="0"/>
    <n v="174"/>
    <n v="172"/>
    <x v="4"/>
    <x v="3"/>
    <x v="4"/>
    <n v="71"/>
    <n v="3.1"/>
    <b v="1"/>
    <x v="0"/>
    <n v="106"/>
    <x v="2"/>
    <x v="4"/>
    <x v="2"/>
  </r>
  <r>
    <n v="6722"/>
    <x v="37"/>
    <x v="326"/>
    <x v="12"/>
    <n v="18"/>
    <x v="2"/>
    <n v="287.82"/>
    <x v="31"/>
    <x v="5"/>
    <x v="3"/>
    <n v="2"/>
    <b v="0"/>
    <n v="709"/>
    <n v="93"/>
    <x v="3"/>
    <x v="1"/>
    <x v="1"/>
    <n v="35"/>
    <n v="4.8"/>
    <b v="1"/>
    <x v="0"/>
    <n v="2652"/>
    <x v="2"/>
    <x v="1"/>
    <x v="1"/>
  </r>
  <r>
    <n v="5871"/>
    <x v="227"/>
    <x v="327"/>
    <x v="22"/>
    <n v="4"/>
    <x v="0"/>
    <n v="31.96"/>
    <x v="241"/>
    <x v="6"/>
    <x v="0"/>
    <n v="5"/>
    <b v="1"/>
    <n v="783"/>
    <n v="81"/>
    <x v="1"/>
    <x v="0"/>
    <x v="2"/>
    <n v="52"/>
    <n v="4.3"/>
    <b v="0"/>
    <x v="0"/>
    <n v="4879"/>
    <x v="3"/>
    <x v="4"/>
    <x v="3"/>
  </r>
  <r>
    <n v="9290"/>
    <x v="228"/>
    <x v="328"/>
    <x v="23"/>
    <n v="12"/>
    <x v="2"/>
    <n v="191.88"/>
    <x v="204"/>
    <x v="0"/>
    <x v="3"/>
    <n v="4"/>
    <b v="1"/>
    <n v="304"/>
    <n v="196"/>
    <x v="0"/>
    <x v="1"/>
    <x v="3"/>
    <n v="44"/>
    <n v="4.0999999999999996"/>
    <b v="0"/>
    <x v="0"/>
    <n v="1426"/>
    <x v="2"/>
    <x v="0"/>
    <x v="3"/>
  </r>
  <r>
    <n v="8567"/>
    <x v="13"/>
    <x v="15"/>
    <x v="0"/>
    <n v="6"/>
    <x v="0"/>
    <n v="47.94"/>
    <x v="46"/>
    <x v="2"/>
    <x v="1"/>
    <n v="3"/>
    <b v="1"/>
    <n v="738"/>
    <n v="96"/>
    <x v="4"/>
    <x v="3"/>
    <x v="5"/>
    <n v="10"/>
    <n v="4"/>
    <b v="0"/>
    <x v="0"/>
    <n v="1504"/>
    <x v="3"/>
    <x v="2"/>
    <x v="3"/>
  </r>
  <r>
    <n v="5253"/>
    <x v="223"/>
    <x v="329"/>
    <x v="24"/>
    <n v="11"/>
    <x v="1"/>
    <n v="131.89000000000001"/>
    <x v="233"/>
    <x v="5"/>
    <x v="3"/>
    <n v="5"/>
    <b v="1"/>
    <n v="228"/>
    <n v="110"/>
    <x v="4"/>
    <x v="3"/>
    <x v="0"/>
    <n v="78"/>
    <n v="4.5"/>
    <b v="1"/>
    <x v="0"/>
    <n v="1518"/>
    <x v="1"/>
    <x v="0"/>
    <x v="2"/>
  </r>
  <r>
    <n v="8172"/>
    <x v="229"/>
    <x v="330"/>
    <x v="6"/>
    <n v="8"/>
    <x v="1"/>
    <n v="95.92"/>
    <x v="296"/>
    <x v="6"/>
    <x v="3"/>
    <n v="6"/>
    <b v="1"/>
    <n v="997"/>
    <n v="107"/>
    <x v="1"/>
    <x v="2"/>
    <x v="5"/>
    <n v="78"/>
    <n v="4.9000000000000004"/>
    <b v="0"/>
    <x v="0"/>
    <n v="708"/>
    <x v="4"/>
    <x v="3"/>
    <x v="1"/>
  </r>
  <r>
    <n v="2154"/>
    <x v="16"/>
    <x v="331"/>
    <x v="21"/>
    <n v="11"/>
    <x v="0"/>
    <n v="87.89"/>
    <x v="297"/>
    <x v="1"/>
    <x v="3"/>
    <n v="1"/>
    <b v="1"/>
    <n v="722"/>
    <n v="98"/>
    <x v="2"/>
    <x v="2"/>
    <x v="2"/>
    <n v="36"/>
    <n v="3.4"/>
    <b v="0"/>
    <x v="0"/>
    <n v="4651"/>
    <x v="4"/>
    <x v="0"/>
    <x v="1"/>
  </r>
  <r>
    <n v="5013"/>
    <x v="230"/>
    <x v="332"/>
    <x v="24"/>
    <n v="14"/>
    <x v="2"/>
    <n v="223.86"/>
    <x v="298"/>
    <x v="1"/>
    <x v="1"/>
    <n v="1"/>
    <b v="0"/>
    <n v="316"/>
    <n v="10"/>
    <x v="2"/>
    <x v="0"/>
    <x v="4"/>
    <n v="8"/>
    <n v="4.7"/>
    <b v="0"/>
    <x v="0"/>
    <n v="4397"/>
    <x v="0"/>
    <x v="4"/>
    <x v="0"/>
  </r>
  <r>
    <n v="4211"/>
    <x v="231"/>
    <x v="333"/>
    <x v="15"/>
    <n v="1"/>
    <x v="0"/>
    <n v="7.99"/>
    <x v="266"/>
    <x v="6"/>
    <x v="1"/>
    <n v="3"/>
    <b v="1"/>
    <n v="455"/>
    <n v="120"/>
    <x v="6"/>
    <x v="0"/>
    <x v="3"/>
    <n v="92"/>
    <n v="4.7"/>
    <b v="0"/>
    <x v="0"/>
    <n v="1360"/>
    <x v="3"/>
    <x v="2"/>
    <x v="3"/>
  </r>
  <r>
    <n v="4408"/>
    <x v="91"/>
    <x v="334"/>
    <x v="10"/>
    <n v="14"/>
    <x v="0"/>
    <n v="111.86"/>
    <x v="299"/>
    <x v="6"/>
    <x v="0"/>
    <n v="6"/>
    <b v="1"/>
    <n v="985"/>
    <n v="97"/>
    <x v="2"/>
    <x v="2"/>
    <x v="2"/>
    <n v="88"/>
    <n v="3.9"/>
    <b v="1"/>
    <x v="0"/>
    <n v="4155"/>
    <x v="1"/>
    <x v="2"/>
    <x v="2"/>
  </r>
  <r>
    <n v="8473"/>
    <x v="232"/>
    <x v="153"/>
    <x v="20"/>
    <n v="21"/>
    <x v="1"/>
    <n v="251.79"/>
    <x v="284"/>
    <x v="3"/>
    <x v="4"/>
    <n v="6"/>
    <b v="0"/>
    <n v="718"/>
    <n v="100"/>
    <x v="6"/>
    <x v="1"/>
    <x v="2"/>
    <n v="24"/>
    <n v="4.0999999999999996"/>
    <b v="0"/>
    <x v="0"/>
    <n v="1289"/>
    <x v="0"/>
    <x v="2"/>
    <x v="2"/>
  </r>
  <r>
    <n v="7510"/>
    <x v="233"/>
    <x v="335"/>
    <x v="26"/>
    <n v="22"/>
    <x v="0"/>
    <n v="175.78"/>
    <x v="300"/>
    <x v="6"/>
    <x v="2"/>
    <n v="4"/>
    <b v="1"/>
    <n v="923"/>
    <n v="57"/>
    <x v="6"/>
    <x v="0"/>
    <x v="1"/>
    <n v="38"/>
    <n v="4.8"/>
    <b v="0"/>
    <x v="0"/>
    <n v="2922"/>
    <x v="3"/>
    <x v="0"/>
    <x v="3"/>
  </r>
  <r>
    <n v="5376"/>
    <x v="84"/>
    <x v="336"/>
    <x v="29"/>
    <n v="19"/>
    <x v="0"/>
    <n v="151.81"/>
    <x v="100"/>
    <x v="6"/>
    <x v="2"/>
    <n v="4"/>
    <b v="1"/>
    <n v="174"/>
    <n v="178"/>
    <x v="5"/>
    <x v="0"/>
    <x v="5"/>
    <n v="7"/>
    <n v="3.7"/>
    <b v="0"/>
    <x v="0"/>
    <n v="28"/>
    <x v="3"/>
    <x v="0"/>
    <x v="2"/>
  </r>
  <r>
    <n v="8005"/>
    <x v="103"/>
    <x v="256"/>
    <x v="2"/>
    <n v="21"/>
    <x v="0"/>
    <n v="167.79"/>
    <x v="263"/>
    <x v="3"/>
    <x v="3"/>
    <n v="5"/>
    <b v="1"/>
    <n v="253"/>
    <n v="157"/>
    <x v="2"/>
    <x v="0"/>
    <x v="3"/>
    <n v="85"/>
    <n v="4"/>
    <b v="0"/>
    <x v="0"/>
    <n v="3083"/>
    <x v="2"/>
    <x v="3"/>
    <x v="0"/>
  </r>
  <r>
    <n v="7439"/>
    <x v="71"/>
    <x v="337"/>
    <x v="21"/>
    <n v="15"/>
    <x v="2"/>
    <n v="239.85"/>
    <x v="89"/>
    <x v="5"/>
    <x v="1"/>
    <n v="1"/>
    <b v="0"/>
    <n v="479"/>
    <n v="98"/>
    <x v="0"/>
    <x v="0"/>
    <x v="4"/>
    <n v="18"/>
    <n v="3.8"/>
    <b v="1"/>
    <x v="0"/>
    <n v="547"/>
    <x v="4"/>
    <x v="4"/>
    <x v="0"/>
  </r>
  <r>
    <n v="3699"/>
    <x v="188"/>
    <x v="269"/>
    <x v="24"/>
    <n v="17"/>
    <x v="2"/>
    <n v="271.83"/>
    <x v="301"/>
    <x v="6"/>
    <x v="2"/>
    <n v="4"/>
    <b v="0"/>
    <n v="932"/>
    <n v="98"/>
    <x v="6"/>
    <x v="3"/>
    <x v="0"/>
    <n v="58"/>
    <n v="4.9000000000000004"/>
    <b v="0"/>
    <x v="0"/>
    <n v="239"/>
    <x v="4"/>
    <x v="0"/>
    <x v="3"/>
  </r>
  <r>
    <n v="3162"/>
    <x v="47"/>
    <x v="91"/>
    <x v="0"/>
    <n v="23"/>
    <x v="2"/>
    <n v="367.77"/>
    <x v="59"/>
    <x v="4"/>
    <x v="0"/>
    <n v="3"/>
    <b v="1"/>
    <n v="175"/>
    <n v="17"/>
    <x v="0"/>
    <x v="2"/>
    <x v="5"/>
    <n v="11"/>
    <n v="3.4"/>
    <b v="0"/>
    <x v="0"/>
    <n v="3516"/>
    <x v="0"/>
    <x v="0"/>
    <x v="1"/>
  </r>
  <r>
    <n v="8798"/>
    <x v="234"/>
    <x v="338"/>
    <x v="1"/>
    <n v="19"/>
    <x v="2"/>
    <n v="303.81"/>
    <x v="257"/>
    <x v="4"/>
    <x v="3"/>
    <n v="2"/>
    <b v="1"/>
    <n v="591"/>
    <n v="169"/>
    <x v="1"/>
    <x v="0"/>
    <x v="4"/>
    <n v="72"/>
    <n v="4.0999999999999996"/>
    <b v="1"/>
    <x v="0"/>
    <n v="4031"/>
    <x v="4"/>
    <x v="1"/>
    <x v="1"/>
  </r>
  <r>
    <n v="6400"/>
    <x v="58"/>
    <x v="186"/>
    <x v="2"/>
    <n v="9"/>
    <x v="1"/>
    <n v="107.91"/>
    <x v="302"/>
    <x v="4"/>
    <x v="0"/>
    <n v="2"/>
    <b v="1"/>
    <n v="776"/>
    <n v="40"/>
    <x v="0"/>
    <x v="2"/>
    <x v="2"/>
    <n v="56"/>
    <n v="3.4"/>
    <b v="1"/>
    <x v="0"/>
    <n v="3408"/>
    <x v="4"/>
    <x v="0"/>
    <x v="1"/>
  </r>
  <r>
    <n v="9404"/>
    <x v="47"/>
    <x v="339"/>
    <x v="25"/>
    <n v="14"/>
    <x v="2"/>
    <n v="223.86"/>
    <x v="90"/>
    <x v="2"/>
    <x v="1"/>
    <n v="3"/>
    <b v="1"/>
    <n v="229"/>
    <n v="54"/>
    <x v="5"/>
    <x v="0"/>
    <x v="3"/>
    <n v="87"/>
    <n v="3.1"/>
    <b v="0"/>
    <x v="0"/>
    <n v="3849"/>
    <x v="2"/>
    <x v="3"/>
    <x v="3"/>
  </r>
  <r>
    <n v="8151"/>
    <x v="20"/>
    <x v="340"/>
    <x v="24"/>
    <n v="5"/>
    <x v="1"/>
    <n v="59.95"/>
    <x v="76"/>
    <x v="6"/>
    <x v="0"/>
    <n v="6"/>
    <b v="0"/>
    <n v="730"/>
    <n v="98"/>
    <x v="1"/>
    <x v="3"/>
    <x v="2"/>
    <n v="29"/>
    <n v="3.8"/>
    <b v="0"/>
    <x v="0"/>
    <n v="1813"/>
    <x v="1"/>
    <x v="0"/>
    <x v="1"/>
  </r>
  <r>
    <n v="7742"/>
    <x v="46"/>
    <x v="252"/>
    <x v="7"/>
    <n v="1"/>
    <x v="1"/>
    <n v="11.99"/>
    <x v="303"/>
    <x v="5"/>
    <x v="2"/>
    <n v="3"/>
    <b v="1"/>
    <n v="312"/>
    <n v="114"/>
    <x v="0"/>
    <x v="0"/>
    <x v="1"/>
    <n v="15"/>
    <n v="3.6"/>
    <b v="1"/>
    <x v="0"/>
    <n v="2084"/>
    <x v="4"/>
    <x v="2"/>
    <x v="2"/>
  </r>
  <r>
    <n v="4553"/>
    <x v="176"/>
    <x v="341"/>
    <x v="12"/>
    <n v="17"/>
    <x v="0"/>
    <n v="135.83000000000001"/>
    <x v="53"/>
    <x v="3"/>
    <x v="1"/>
    <n v="6"/>
    <b v="0"/>
    <n v="356"/>
    <n v="126"/>
    <x v="3"/>
    <x v="1"/>
    <x v="2"/>
    <n v="40"/>
    <n v="4.3"/>
    <b v="1"/>
    <x v="0"/>
    <n v="749"/>
    <x v="2"/>
    <x v="1"/>
    <x v="2"/>
  </r>
  <r>
    <n v="6919"/>
    <x v="235"/>
    <x v="153"/>
    <x v="24"/>
    <n v="20"/>
    <x v="0"/>
    <n v="159.80000000000001"/>
    <x v="296"/>
    <x v="0"/>
    <x v="4"/>
    <n v="3"/>
    <b v="1"/>
    <n v="49"/>
    <n v="30"/>
    <x v="1"/>
    <x v="0"/>
    <x v="1"/>
    <n v="68"/>
    <n v="4.4000000000000004"/>
    <b v="0"/>
    <x v="0"/>
    <n v="3157"/>
    <x v="2"/>
    <x v="2"/>
    <x v="2"/>
  </r>
  <r>
    <n v="7168"/>
    <x v="165"/>
    <x v="33"/>
    <x v="18"/>
    <n v="10"/>
    <x v="1"/>
    <n v="119.9"/>
    <x v="181"/>
    <x v="2"/>
    <x v="0"/>
    <n v="1"/>
    <b v="1"/>
    <n v="774"/>
    <n v="55"/>
    <x v="6"/>
    <x v="0"/>
    <x v="5"/>
    <n v="41"/>
    <n v="3.3"/>
    <b v="0"/>
    <x v="0"/>
    <n v="173"/>
    <x v="0"/>
    <x v="2"/>
    <x v="1"/>
  </r>
  <r>
    <n v="6474"/>
    <x v="114"/>
    <x v="342"/>
    <x v="4"/>
    <n v="12"/>
    <x v="2"/>
    <n v="191.88"/>
    <x v="194"/>
    <x v="3"/>
    <x v="3"/>
    <n v="5"/>
    <b v="1"/>
    <n v="961"/>
    <n v="173"/>
    <x v="2"/>
    <x v="0"/>
    <x v="1"/>
    <n v="92"/>
    <n v="3.7"/>
    <b v="0"/>
    <x v="0"/>
    <n v="2925"/>
    <x v="1"/>
    <x v="4"/>
    <x v="0"/>
  </r>
  <r>
    <n v="4242"/>
    <x v="2"/>
    <x v="343"/>
    <x v="1"/>
    <n v="13"/>
    <x v="0"/>
    <n v="103.87"/>
    <x v="204"/>
    <x v="4"/>
    <x v="3"/>
    <n v="3"/>
    <b v="1"/>
    <n v="539"/>
    <n v="48"/>
    <x v="1"/>
    <x v="2"/>
    <x v="0"/>
    <n v="82"/>
    <n v="4.3"/>
    <b v="0"/>
    <x v="0"/>
    <n v="3182"/>
    <x v="4"/>
    <x v="1"/>
    <x v="0"/>
  </r>
  <r>
    <n v="3395"/>
    <x v="47"/>
    <x v="158"/>
    <x v="26"/>
    <n v="8"/>
    <x v="0"/>
    <n v="63.92"/>
    <x v="45"/>
    <x v="6"/>
    <x v="3"/>
    <n v="6"/>
    <b v="0"/>
    <n v="340"/>
    <n v="174"/>
    <x v="3"/>
    <x v="3"/>
    <x v="2"/>
    <n v="11"/>
    <n v="4.5"/>
    <b v="1"/>
    <x v="0"/>
    <n v="2432"/>
    <x v="2"/>
    <x v="2"/>
    <x v="1"/>
  </r>
  <r>
    <n v="8694"/>
    <x v="236"/>
    <x v="344"/>
    <x v="25"/>
    <n v="11"/>
    <x v="2"/>
    <n v="175.89000000000001"/>
    <x v="304"/>
    <x v="5"/>
    <x v="2"/>
    <n v="3"/>
    <b v="1"/>
    <n v="836"/>
    <n v="67"/>
    <x v="4"/>
    <x v="0"/>
    <x v="5"/>
    <n v="51"/>
    <n v="4.5"/>
    <b v="1"/>
    <x v="0"/>
    <n v="414"/>
    <x v="2"/>
    <x v="2"/>
    <x v="2"/>
  </r>
  <r>
    <n v="7150"/>
    <x v="37"/>
    <x v="64"/>
    <x v="19"/>
    <n v="19"/>
    <x v="0"/>
    <n v="151.81"/>
    <x v="127"/>
    <x v="0"/>
    <x v="4"/>
    <n v="6"/>
    <b v="1"/>
    <n v="746"/>
    <n v="200"/>
    <x v="3"/>
    <x v="1"/>
    <x v="4"/>
    <n v="35"/>
    <n v="3.9"/>
    <b v="1"/>
    <x v="0"/>
    <n v="888"/>
    <x v="3"/>
    <x v="3"/>
    <x v="0"/>
  </r>
  <r>
    <n v="4111"/>
    <x v="159"/>
    <x v="345"/>
    <x v="12"/>
    <n v="7"/>
    <x v="1"/>
    <n v="83.93"/>
    <x v="305"/>
    <x v="2"/>
    <x v="2"/>
    <n v="2"/>
    <b v="1"/>
    <n v="939"/>
    <n v="21"/>
    <x v="5"/>
    <x v="2"/>
    <x v="2"/>
    <n v="83"/>
    <n v="4.9000000000000004"/>
    <b v="0"/>
    <x v="0"/>
    <n v="1058"/>
    <x v="2"/>
    <x v="4"/>
    <x v="2"/>
  </r>
  <r>
    <n v="3532"/>
    <x v="158"/>
    <x v="346"/>
    <x v="1"/>
    <n v="22"/>
    <x v="0"/>
    <n v="175.78"/>
    <x v="266"/>
    <x v="0"/>
    <x v="2"/>
    <n v="4"/>
    <b v="0"/>
    <n v="659"/>
    <n v="150"/>
    <x v="0"/>
    <x v="1"/>
    <x v="4"/>
    <n v="79"/>
    <n v="3.9"/>
    <b v="1"/>
    <x v="0"/>
    <n v="2067"/>
    <x v="2"/>
    <x v="3"/>
    <x v="1"/>
  </r>
  <r>
    <n v="5375"/>
    <x v="237"/>
    <x v="53"/>
    <x v="10"/>
    <n v="22"/>
    <x v="2"/>
    <n v="351.78000000000003"/>
    <x v="306"/>
    <x v="2"/>
    <x v="3"/>
    <n v="2"/>
    <b v="1"/>
    <n v="435"/>
    <n v="108"/>
    <x v="2"/>
    <x v="1"/>
    <x v="4"/>
    <n v="44"/>
    <n v="4.5999999999999996"/>
    <b v="0"/>
    <x v="0"/>
    <n v="3763"/>
    <x v="3"/>
    <x v="3"/>
    <x v="2"/>
  </r>
  <r>
    <n v="8881"/>
    <x v="116"/>
    <x v="282"/>
    <x v="24"/>
    <n v="2"/>
    <x v="1"/>
    <n v="23.98"/>
    <x v="40"/>
    <x v="1"/>
    <x v="1"/>
    <n v="5"/>
    <b v="0"/>
    <n v="292"/>
    <n v="169"/>
    <x v="6"/>
    <x v="3"/>
    <x v="4"/>
    <n v="3"/>
    <n v="4.5"/>
    <b v="0"/>
    <x v="0"/>
    <n v="957"/>
    <x v="1"/>
    <x v="3"/>
    <x v="2"/>
  </r>
  <r>
    <n v="1235"/>
    <x v="18"/>
    <x v="342"/>
    <x v="12"/>
    <n v="12"/>
    <x v="2"/>
    <n v="191.88"/>
    <x v="161"/>
    <x v="3"/>
    <x v="2"/>
    <n v="6"/>
    <b v="1"/>
    <n v="103"/>
    <n v="36"/>
    <x v="3"/>
    <x v="1"/>
    <x v="2"/>
    <n v="68"/>
    <n v="3.7"/>
    <b v="0"/>
    <x v="0"/>
    <n v="3003"/>
    <x v="4"/>
    <x v="4"/>
    <x v="0"/>
  </r>
  <r>
    <n v="2533"/>
    <x v="135"/>
    <x v="144"/>
    <x v="16"/>
    <n v="12"/>
    <x v="2"/>
    <n v="191.88"/>
    <x v="29"/>
    <x v="0"/>
    <x v="4"/>
    <n v="2"/>
    <b v="0"/>
    <n v="525"/>
    <n v="140"/>
    <x v="4"/>
    <x v="2"/>
    <x v="5"/>
    <n v="75"/>
    <n v="4.5999999999999996"/>
    <b v="1"/>
    <x v="0"/>
    <n v="354"/>
    <x v="2"/>
    <x v="2"/>
    <x v="3"/>
  </r>
  <r>
    <n v="2734"/>
    <x v="124"/>
    <x v="347"/>
    <x v="15"/>
    <n v="5"/>
    <x v="1"/>
    <n v="59.95"/>
    <x v="307"/>
    <x v="3"/>
    <x v="1"/>
    <n v="1"/>
    <b v="1"/>
    <n v="428"/>
    <n v="119"/>
    <x v="6"/>
    <x v="2"/>
    <x v="5"/>
    <n v="53"/>
    <n v="4.5"/>
    <b v="1"/>
    <x v="0"/>
    <n v="4922"/>
    <x v="4"/>
    <x v="0"/>
    <x v="3"/>
  </r>
  <r>
    <n v="4129"/>
    <x v="92"/>
    <x v="74"/>
    <x v="9"/>
    <n v="10"/>
    <x v="1"/>
    <n v="119.9"/>
    <x v="308"/>
    <x v="4"/>
    <x v="3"/>
    <n v="4"/>
    <b v="1"/>
    <n v="711"/>
    <n v="147"/>
    <x v="6"/>
    <x v="0"/>
    <x v="2"/>
    <n v="68"/>
    <n v="3.9"/>
    <b v="1"/>
    <x v="0"/>
    <n v="2083"/>
    <x v="3"/>
    <x v="2"/>
    <x v="1"/>
  </r>
  <r>
    <n v="3762"/>
    <x v="138"/>
    <x v="266"/>
    <x v="10"/>
    <n v="11"/>
    <x v="1"/>
    <n v="131.89000000000001"/>
    <x v="10"/>
    <x v="0"/>
    <x v="3"/>
    <n v="6"/>
    <b v="1"/>
    <n v="887"/>
    <n v="37"/>
    <x v="4"/>
    <x v="0"/>
    <x v="5"/>
    <n v="66"/>
    <n v="3.9"/>
    <b v="1"/>
    <x v="0"/>
    <n v="2098"/>
    <x v="1"/>
    <x v="3"/>
    <x v="0"/>
  </r>
  <r>
    <n v="4341"/>
    <x v="238"/>
    <x v="179"/>
    <x v="19"/>
    <n v="18"/>
    <x v="1"/>
    <n v="215.82"/>
    <x v="25"/>
    <x v="4"/>
    <x v="4"/>
    <n v="2"/>
    <b v="1"/>
    <n v="546"/>
    <n v="12"/>
    <x v="4"/>
    <x v="0"/>
    <x v="3"/>
    <n v="31"/>
    <n v="3.1"/>
    <b v="0"/>
    <x v="0"/>
    <n v="2022"/>
    <x v="0"/>
    <x v="0"/>
    <x v="1"/>
  </r>
  <r>
    <n v="6638"/>
    <x v="239"/>
    <x v="348"/>
    <x v="11"/>
    <n v="14"/>
    <x v="1"/>
    <n v="167.86"/>
    <x v="49"/>
    <x v="5"/>
    <x v="4"/>
    <n v="2"/>
    <b v="1"/>
    <n v="417"/>
    <n v="143"/>
    <x v="1"/>
    <x v="1"/>
    <x v="2"/>
    <n v="14"/>
    <n v="4.7"/>
    <b v="0"/>
    <x v="0"/>
    <n v="3791"/>
    <x v="0"/>
    <x v="4"/>
    <x v="3"/>
  </r>
  <r>
    <n v="5861"/>
    <x v="141"/>
    <x v="326"/>
    <x v="25"/>
    <n v="18"/>
    <x v="2"/>
    <n v="287.82"/>
    <x v="309"/>
    <x v="6"/>
    <x v="0"/>
    <n v="6"/>
    <b v="0"/>
    <n v="407"/>
    <n v="126"/>
    <x v="5"/>
    <x v="1"/>
    <x v="3"/>
    <n v="80"/>
    <n v="4.3"/>
    <b v="0"/>
    <x v="0"/>
    <n v="728"/>
    <x v="3"/>
    <x v="0"/>
    <x v="0"/>
  </r>
  <r>
    <n v="8815"/>
    <x v="152"/>
    <x v="349"/>
    <x v="15"/>
    <n v="12"/>
    <x v="0"/>
    <n v="95.88"/>
    <x v="310"/>
    <x v="3"/>
    <x v="1"/>
    <n v="1"/>
    <b v="1"/>
    <n v="579"/>
    <n v="121"/>
    <x v="6"/>
    <x v="3"/>
    <x v="3"/>
    <n v="8"/>
    <n v="3.6"/>
    <b v="0"/>
    <x v="0"/>
    <n v="3448"/>
    <x v="2"/>
    <x v="3"/>
    <x v="1"/>
  </r>
  <r>
    <n v="8793"/>
    <x v="43"/>
    <x v="15"/>
    <x v="18"/>
    <n v="6"/>
    <x v="0"/>
    <n v="47.94"/>
    <x v="207"/>
    <x v="2"/>
    <x v="2"/>
    <n v="5"/>
    <b v="1"/>
    <n v="672"/>
    <n v="57"/>
    <x v="4"/>
    <x v="1"/>
    <x v="2"/>
    <n v="16"/>
    <n v="4.3"/>
    <b v="0"/>
    <x v="0"/>
    <n v="3930"/>
    <x v="3"/>
    <x v="2"/>
    <x v="3"/>
  </r>
  <r>
    <n v="3469"/>
    <x v="27"/>
    <x v="101"/>
    <x v="13"/>
    <n v="16"/>
    <x v="0"/>
    <n v="127.84"/>
    <x v="311"/>
    <x v="1"/>
    <x v="0"/>
    <n v="5"/>
    <b v="1"/>
    <n v="377"/>
    <n v="153"/>
    <x v="4"/>
    <x v="3"/>
    <x v="2"/>
    <n v="67"/>
    <n v="3.6"/>
    <b v="1"/>
    <x v="0"/>
    <n v="3702"/>
    <x v="0"/>
    <x v="2"/>
    <x v="3"/>
  </r>
  <r>
    <n v="3654"/>
    <x v="46"/>
    <x v="350"/>
    <x v="2"/>
    <n v="9"/>
    <x v="2"/>
    <n v="143.91"/>
    <x v="73"/>
    <x v="5"/>
    <x v="2"/>
    <n v="6"/>
    <b v="1"/>
    <n v="818"/>
    <n v="34"/>
    <x v="1"/>
    <x v="0"/>
    <x v="4"/>
    <n v="57"/>
    <n v="3.8"/>
    <b v="1"/>
    <x v="0"/>
    <n v="2400"/>
    <x v="1"/>
    <x v="3"/>
    <x v="1"/>
  </r>
  <r>
    <n v="9555"/>
    <x v="152"/>
    <x v="351"/>
    <x v="7"/>
    <n v="3"/>
    <x v="1"/>
    <n v="35.97"/>
    <x v="148"/>
    <x v="3"/>
    <x v="1"/>
    <n v="1"/>
    <b v="1"/>
    <n v="225"/>
    <n v="1"/>
    <x v="2"/>
    <x v="3"/>
    <x v="0"/>
    <n v="83"/>
    <n v="4.3"/>
    <b v="1"/>
    <x v="0"/>
    <n v="548"/>
    <x v="4"/>
    <x v="4"/>
    <x v="1"/>
  </r>
  <r>
    <n v="4028"/>
    <x v="86"/>
    <x v="352"/>
    <x v="28"/>
    <n v="7"/>
    <x v="0"/>
    <n v="55.93"/>
    <x v="50"/>
    <x v="4"/>
    <x v="2"/>
    <n v="4"/>
    <b v="1"/>
    <n v="324"/>
    <n v="113"/>
    <x v="4"/>
    <x v="2"/>
    <x v="5"/>
    <n v="87"/>
    <n v="4.9000000000000004"/>
    <b v="0"/>
    <x v="0"/>
    <n v="4702"/>
    <x v="3"/>
    <x v="1"/>
    <x v="2"/>
  </r>
  <r>
    <n v="9499"/>
    <x v="65"/>
    <x v="244"/>
    <x v="2"/>
    <n v="19"/>
    <x v="1"/>
    <n v="227.81"/>
    <x v="312"/>
    <x v="0"/>
    <x v="1"/>
    <n v="3"/>
    <b v="0"/>
    <n v="793"/>
    <n v="141"/>
    <x v="0"/>
    <x v="0"/>
    <x v="1"/>
    <n v="28"/>
    <n v="3.4"/>
    <b v="0"/>
    <x v="0"/>
    <n v="2821"/>
    <x v="1"/>
    <x v="3"/>
    <x v="2"/>
  </r>
  <r>
    <n v="8628"/>
    <x v="50"/>
    <x v="51"/>
    <x v="26"/>
    <n v="23"/>
    <x v="1"/>
    <n v="275.77"/>
    <x v="69"/>
    <x v="4"/>
    <x v="4"/>
    <n v="2"/>
    <b v="1"/>
    <n v="133"/>
    <n v="143"/>
    <x v="2"/>
    <x v="0"/>
    <x v="3"/>
    <n v="35"/>
    <n v="4.5999999999999996"/>
    <b v="1"/>
    <x v="0"/>
    <n v="484"/>
    <x v="3"/>
    <x v="4"/>
    <x v="0"/>
  </r>
  <r>
    <n v="9942"/>
    <x v="47"/>
    <x v="253"/>
    <x v="8"/>
    <n v="15"/>
    <x v="2"/>
    <n v="239.85"/>
    <x v="313"/>
    <x v="3"/>
    <x v="1"/>
    <n v="5"/>
    <b v="1"/>
    <n v="260"/>
    <n v="161"/>
    <x v="1"/>
    <x v="3"/>
    <x v="4"/>
    <n v="49"/>
    <n v="3.6"/>
    <b v="1"/>
    <x v="0"/>
    <n v="2871"/>
    <x v="2"/>
    <x v="1"/>
    <x v="0"/>
  </r>
  <r>
    <n v="4044"/>
    <x v="240"/>
    <x v="353"/>
    <x v="16"/>
    <n v="17"/>
    <x v="2"/>
    <n v="271.83"/>
    <x v="268"/>
    <x v="6"/>
    <x v="3"/>
    <n v="5"/>
    <b v="0"/>
    <n v="851"/>
    <n v="166"/>
    <x v="6"/>
    <x v="3"/>
    <x v="3"/>
    <n v="66"/>
    <n v="4"/>
    <b v="1"/>
    <x v="0"/>
    <n v="4783"/>
    <x v="3"/>
    <x v="3"/>
    <x v="3"/>
  </r>
  <r>
    <n v="8143"/>
    <x v="20"/>
    <x v="354"/>
    <x v="11"/>
    <n v="6"/>
    <x v="0"/>
    <n v="47.94"/>
    <x v="314"/>
    <x v="1"/>
    <x v="0"/>
    <n v="5"/>
    <b v="1"/>
    <n v="105"/>
    <n v="118"/>
    <x v="5"/>
    <x v="1"/>
    <x v="1"/>
    <n v="52"/>
    <n v="4.4000000000000004"/>
    <b v="1"/>
    <x v="0"/>
    <n v="2725"/>
    <x v="3"/>
    <x v="1"/>
    <x v="2"/>
  </r>
  <r>
    <n v="3984"/>
    <x v="105"/>
    <x v="355"/>
    <x v="15"/>
    <n v="20"/>
    <x v="2"/>
    <n v="319.8"/>
    <x v="315"/>
    <x v="5"/>
    <x v="4"/>
    <n v="6"/>
    <b v="0"/>
    <n v="646"/>
    <n v="139"/>
    <x v="5"/>
    <x v="0"/>
    <x v="1"/>
    <n v="27"/>
    <n v="3.7"/>
    <b v="1"/>
    <x v="0"/>
    <n v="4400"/>
    <x v="4"/>
    <x v="2"/>
    <x v="0"/>
  </r>
  <r>
    <n v="9294"/>
    <x v="241"/>
    <x v="128"/>
    <x v="18"/>
    <n v="21"/>
    <x v="1"/>
    <n v="251.79"/>
    <x v="42"/>
    <x v="4"/>
    <x v="4"/>
    <n v="4"/>
    <b v="1"/>
    <n v="358"/>
    <n v="6"/>
    <x v="1"/>
    <x v="1"/>
    <x v="2"/>
    <n v="32"/>
    <n v="3.8"/>
    <b v="0"/>
    <x v="0"/>
    <n v="2218"/>
    <x v="0"/>
    <x v="1"/>
    <x v="1"/>
  </r>
  <r>
    <n v="4769"/>
    <x v="47"/>
    <x v="356"/>
    <x v="6"/>
    <n v="9"/>
    <x v="0"/>
    <n v="71.91"/>
    <x v="272"/>
    <x v="6"/>
    <x v="3"/>
    <n v="3"/>
    <b v="1"/>
    <n v="336"/>
    <n v="135"/>
    <x v="0"/>
    <x v="0"/>
    <x v="4"/>
    <n v="70"/>
    <n v="4"/>
    <b v="1"/>
    <x v="0"/>
    <n v="4552"/>
    <x v="0"/>
    <x v="2"/>
    <x v="0"/>
  </r>
  <r>
    <n v="8864"/>
    <x v="47"/>
    <x v="357"/>
    <x v="26"/>
    <n v="8"/>
    <x v="1"/>
    <n v="95.92"/>
    <x v="316"/>
    <x v="1"/>
    <x v="4"/>
    <n v="3"/>
    <b v="1"/>
    <n v="80"/>
    <n v="143"/>
    <x v="2"/>
    <x v="3"/>
    <x v="1"/>
    <n v="2"/>
    <n v="3.4"/>
    <b v="0"/>
    <x v="0"/>
    <n v="4125"/>
    <x v="4"/>
    <x v="0"/>
    <x v="0"/>
  </r>
  <r>
    <n v="1857"/>
    <x v="242"/>
    <x v="358"/>
    <x v="16"/>
    <n v="5"/>
    <x v="2"/>
    <n v="79.95"/>
    <x v="317"/>
    <x v="6"/>
    <x v="2"/>
    <n v="2"/>
    <b v="0"/>
    <n v="326"/>
    <n v="89"/>
    <x v="3"/>
    <x v="3"/>
    <x v="3"/>
    <n v="84"/>
    <n v="4.5999999999999996"/>
    <b v="1"/>
    <x v="0"/>
    <n v="424"/>
    <x v="3"/>
    <x v="4"/>
    <x v="0"/>
  </r>
  <r>
    <n v="5566"/>
    <x v="152"/>
    <x v="81"/>
    <x v="19"/>
    <n v="11"/>
    <x v="1"/>
    <n v="131.89000000000001"/>
    <x v="318"/>
    <x v="0"/>
    <x v="0"/>
    <n v="6"/>
    <b v="1"/>
    <n v="699"/>
    <n v="70"/>
    <x v="5"/>
    <x v="0"/>
    <x v="3"/>
    <n v="25"/>
    <n v="3.9"/>
    <b v="1"/>
    <x v="0"/>
    <n v="2418"/>
    <x v="3"/>
    <x v="0"/>
    <x v="1"/>
  </r>
  <r>
    <n v="1373"/>
    <x v="42"/>
    <x v="152"/>
    <x v="20"/>
    <n v="20"/>
    <x v="0"/>
    <n v="159.80000000000001"/>
    <x v="305"/>
    <x v="0"/>
    <x v="2"/>
    <n v="5"/>
    <b v="0"/>
    <n v="89"/>
    <n v="55"/>
    <x v="0"/>
    <x v="2"/>
    <x v="5"/>
    <n v="54"/>
    <n v="4.2"/>
    <b v="1"/>
    <x v="0"/>
    <n v="756"/>
    <x v="3"/>
    <x v="4"/>
    <x v="0"/>
  </r>
  <r>
    <n v="6345"/>
    <x v="243"/>
    <x v="203"/>
    <x v="28"/>
    <n v="23"/>
    <x v="0"/>
    <n v="183.77"/>
    <x v="87"/>
    <x v="3"/>
    <x v="1"/>
    <n v="1"/>
    <b v="1"/>
    <n v="909"/>
    <n v="99"/>
    <x v="1"/>
    <x v="0"/>
    <x v="2"/>
    <n v="22"/>
    <n v="3.2"/>
    <b v="0"/>
    <x v="0"/>
    <n v="754"/>
    <x v="2"/>
    <x v="1"/>
    <x v="1"/>
  </r>
  <r>
    <n v="3234"/>
    <x v="40"/>
    <x v="359"/>
    <x v="19"/>
    <n v="11"/>
    <x v="1"/>
    <n v="131.89000000000001"/>
    <x v="68"/>
    <x v="4"/>
    <x v="2"/>
    <n v="1"/>
    <b v="0"/>
    <n v="918"/>
    <n v="153"/>
    <x v="4"/>
    <x v="0"/>
    <x v="3"/>
    <n v="52"/>
    <n v="4.4000000000000004"/>
    <b v="1"/>
    <x v="0"/>
    <n v="3476"/>
    <x v="2"/>
    <x v="2"/>
    <x v="2"/>
  </r>
  <r>
    <n v="6998"/>
    <x v="30"/>
    <x v="360"/>
    <x v="3"/>
    <n v="8"/>
    <x v="0"/>
    <n v="63.92"/>
    <x v="196"/>
    <x v="2"/>
    <x v="4"/>
    <n v="5"/>
    <b v="1"/>
    <n v="285"/>
    <n v="66"/>
    <x v="3"/>
    <x v="2"/>
    <x v="4"/>
    <n v="43"/>
    <n v="3.8"/>
    <b v="0"/>
    <x v="0"/>
    <n v="290"/>
    <x v="4"/>
    <x v="3"/>
    <x v="0"/>
  </r>
  <r>
    <n v="5809"/>
    <x v="91"/>
    <x v="318"/>
    <x v="4"/>
    <n v="2"/>
    <x v="0"/>
    <n v="15.98"/>
    <x v="319"/>
    <x v="4"/>
    <x v="4"/>
    <n v="3"/>
    <b v="0"/>
    <n v="463"/>
    <n v="171"/>
    <x v="2"/>
    <x v="1"/>
    <x v="5"/>
    <n v="10"/>
    <n v="3.2"/>
    <b v="0"/>
    <x v="0"/>
    <n v="987"/>
    <x v="1"/>
    <x v="4"/>
    <x v="1"/>
  </r>
  <r>
    <n v="6522"/>
    <x v="244"/>
    <x v="339"/>
    <x v="12"/>
    <n v="14"/>
    <x v="1"/>
    <n v="167.86"/>
    <x v="320"/>
    <x v="5"/>
    <x v="1"/>
    <n v="4"/>
    <b v="1"/>
    <n v="875"/>
    <n v="115"/>
    <x v="1"/>
    <x v="3"/>
    <x v="1"/>
    <n v="75"/>
    <n v="4.7"/>
    <b v="1"/>
    <x v="0"/>
    <n v="4972"/>
    <x v="2"/>
    <x v="2"/>
    <x v="0"/>
  </r>
  <r>
    <n v="3892"/>
    <x v="119"/>
    <x v="247"/>
    <x v="25"/>
    <n v="16"/>
    <x v="0"/>
    <n v="127.84"/>
    <x v="321"/>
    <x v="0"/>
    <x v="0"/>
    <n v="6"/>
    <b v="1"/>
    <n v="875"/>
    <n v="70"/>
    <x v="1"/>
    <x v="0"/>
    <x v="1"/>
    <n v="96"/>
    <n v="3.7"/>
    <b v="0"/>
    <x v="0"/>
    <n v="1628"/>
    <x v="1"/>
    <x v="0"/>
    <x v="1"/>
  </r>
  <r>
    <n v="4427"/>
    <x v="245"/>
    <x v="8"/>
    <x v="14"/>
    <n v="17"/>
    <x v="0"/>
    <n v="135.83000000000001"/>
    <x v="226"/>
    <x v="4"/>
    <x v="0"/>
    <n v="5"/>
    <b v="1"/>
    <n v="341"/>
    <n v="165"/>
    <x v="4"/>
    <x v="3"/>
    <x v="2"/>
    <n v="30"/>
    <n v="4.8"/>
    <b v="0"/>
    <x v="0"/>
    <n v="1285"/>
    <x v="0"/>
    <x v="3"/>
    <x v="1"/>
  </r>
  <r>
    <n v="8145"/>
    <x v="246"/>
    <x v="361"/>
    <x v="18"/>
    <n v="21"/>
    <x v="2"/>
    <n v="335.79"/>
    <x v="322"/>
    <x v="5"/>
    <x v="3"/>
    <n v="1"/>
    <b v="1"/>
    <n v="273"/>
    <n v="79"/>
    <x v="2"/>
    <x v="0"/>
    <x v="4"/>
    <n v="60"/>
    <n v="4.3"/>
    <b v="0"/>
    <x v="0"/>
    <n v="1960"/>
    <x v="1"/>
    <x v="1"/>
    <x v="3"/>
  </r>
  <r>
    <n v="1150"/>
    <x v="84"/>
    <x v="234"/>
    <x v="26"/>
    <n v="13"/>
    <x v="1"/>
    <n v="155.87"/>
    <x v="11"/>
    <x v="4"/>
    <x v="3"/>
    <n v="5"/>
    <b v="1"/>
    <n v="352"/>
    <n v="31"/>
    <x v="3"/>
    <x v="0"/>
    <x v="0"/>
    <n v="37"/>
    <n v="3.7"/>
    <b v="1"/>
    <x v="0"/>
    <n v="771"/>
    <x v="4"/>
    <x v="1"/>
    <x v="3"/>
  </r>
  <r>
    <n v="7366"/>
    <x v="247"/>
    <x v="340"/>
    <x v="1"/>
    <n v="5"/>
    <x v="0"/>
    <n v="39.950000000000003"/>
    <x v="13"/>
    <x v="5"/>
    <x v="0"/>
    <n v="3"/>
    <b v="0"/>
    <n v="588"/>
    <n v="147"/>
    <x v="5"/>
    <x v="1"/>
    <x v="1"/>
    <n v="75"/>
    <n v="3.3"/>
    <b v="1"/>
    <x v="0"/>
    <n v="1785"/>
    <x v="4"/>
    <x v="3"/>
    <x v="1"/>
  </r>
  <r>
    <n v="3004"/>
    <x v="133"/>
    <x v="362"/>
    <x v="13"/>
    <n v="1"/>
    <x v="1"/>
    <n v="11.99"/>
    <x v="323"/>
    <x v="3"/>
    <x v="0"/>
    <n v="4"/>
    <b v="0"/>
    <n v="233"/>
    <n v="15"/>
    <x v="1"/>
    <x v="3"/>
    <x v="2"/>
    <n v="28"/>
    <n v="3.5"/>
    <b v="1"/>
    <x v="0"/>
    <n v="2760"/>
    <x v="2"/>
    <x v="3"/>
    <x v="0"/>
  </r>
  <r>
    <n v="9934"/>
    <x v="248"/>
    <x v="266"/>
    <x v="17"/>
    <n v="11"/>
    <x v="2"/>
    <n v="175.89000000000001"/>
    <x v="324"/>
    <x v="1"/>
    <x v="2"/>
    <n v="6"/>
    <b v="1"/>
    <n v="159"/>
    <n v="131"/>
    <x v="4"/>
    <x v="1"/>
    <x v="2"/>
    <n v="49"/>
    <n v="3.8"/>
    <b v="0"/>
    <x v="0"/>
    <n v="388"/>
    <x v="1"/>
    <x v="1"/>
    <x v="3"/>
  </r>
  <r>
    <n v="1228"/>
    <x v="109"/>
    <x v="363"/>
    <x v="2"/>
    <n v="20"/>
    <x v="0"/>
    <n v="159.80000000000001"/>
    <x v="325"/>
    <x v="4"/>
    <x v="0"/>
    <n v="1"/>
    <b v="0"/>
    <n v="488"/>
    <n v="135"/>
    <x v="5"/>
    <x v="1"/>
    <x v="1"/>
    <n v="100"/>
    <n v="4.8"/>
    <b v="0"/>
    <x v="0"/>
    <n v="2385"/>
    <x v="1"/>
    <x v="3"/>
    <x v="3"/>
  </r>
  <r>
    <n v="5806"/>
    <x v="249"/>
    <x v="364"/>
    <x v="1"/>
    <n v="4"/>
    <x v="0"/>
    <n v="31.96"/>
    <x v="107"/>
    <x v="1"/>
    <x v="3"/>
    <n v="6"/>
    <b v="0"/>
    <n v="522"/>
    <n v="32"/>
    <x v="4"/>
    <x v="3"/>
    <x v="5"/>
    <n v="41"/>
    <n v="3.9"/>
    <b v="1"/>
    <x v="0"/>
    <n v="3714"/>
    <x v="4"/>
    <x v="4"/>
    <x v="3"/>
  </r>
  <r>
    <n v="7538"/>
    <x v="88"/>
    <x v="365"/>
    <x v="29"/>
    <n v="6"/>
    <x v="0"/>
    <n v="47.94"/>
    <x v="171"/>
    <x v="4"/>
    <x v="4"/>
    <n v="5"/>
    <b v="1"/>
    <n v="30"/>
    <n v="177"/>
    <x v="0"/>
    <x v="0"/>
    <x v="5"/>
    <n v="31"/>
    <n v="5"/>
    <b v="0"/>
    <x v="0"/>
    <n v="2015"/>
    <x v="2"/>
    <x v="3"/>
    <x v="1"/>
  </r>
  <r>
    <n v="1035"/>
    <x v="72"/>
    <x v="38"/>
    <x v="7"/>
    <n v="9"/>
    <x v="1"/>
    <n v="107.91"/>
    <x v="131"/>
    <x v="6"/>
    <x v="2"/>
    <n v="4"/>
    <b v="1"/>
    <n v="139"/>
    <n v="29"/>
    <x v="5"/>
    <x v="1"/>
    <x v="3"/>
    <n v="44"/>
    <n v="3.9"/>
    <b v="1"/>
    <x v="0"/>
    <n v="3201"/>
    <x v="4"/>
    <x v="3"/>
    <x v="2"/>
  </r>
  <r>
    <n v="8399"/>
    <x v="173"/>
    <x v="366"/>
    <x v="25"/>
    <n v="20"/>
    <x v="1"/>
    <n v="239.8"/>
    <x v="326"/>
    <x v="0"/>
    <x v="1"/>
    <n v="2"/>
    <b v="1"/>
    <n v="393"/>
    <n v="130"/>
    <x v="2"/>
    <x v="3"/>
    <x v="2"/>
    <n v="10"/>
    <n v="3.9"/>
    <b v="0"/>
    <x v="0"/>
    <n v="3426"/>
    <x v="3"/>
    <x v="0"/>
    <x v="0"/>
  </r>
  <r>
    <n v="1912"/>
    <x v="120"/>
    <x v="242"/>
    <x v="2"/>
    <n v="16"/>
    <x v="1"/>
    <n v="191.84"/>
    <x v="12"/>
    <x v="6"/>
    <x v="1"/>
    <n v="4"/>
    <b v="0"/>
    <n v="792"/>
    <n v="67"/>
    <x v="4"/>
    <x v="3"/>
    <x v="5"/>
    <n v="60"/>
    <n v="4.0999999999999996"/>
    <b v="0"/>
    <x v="0"/>
    <n v="3366"/>
    <x v="1"/>
    <x v="0"/>
    <x v="0"/>
  </r>
  <r>
    <n v="6604"/>
    <x v="43"/>
    <x v="367"/>
    <x v="7"/>
    <n v="5"/>
    <x v="2"/>
    <n v="79.95"/>
    <x v="286"/>
    <x v="6"/>
    <x v="3"/>
    <n v="4"/>
    <b v="0"/>
    <n v="186"/>
    <n v="158"/>
    <x v="2"/>
    <x v="3"/>
    <x v="3"/>
    <n v="19"/>
    <n v="3.8"/>
    <b v="0"/>
    <x v="0"/>
    <n v="125"/>
    <x v="4"/>
    <x v="3"/>
    <x v="1"/>
  </r>
  <r>
    <n v="8952"/>
    <x v="61"/>
    <x v="116"/>
    <x v="7"/>
    <n v="21"/>
    <x v="1"/>
    <n v="251.79"/>
    <x v="157"/>
    <x v="6"/>
    <x v="1"/>
    <n v="1"/>
    <b v="0"/>
    <n v="872"/>
    <n v="150"/>
    <x v="6"/>
    <x v="2"/>
    <x v="4"/>
    <n v="10"/>
    <n v="3.8"/>
    <b v="1"/>
    <x v="0"/>
    <n v="4037"/>
    <x v="4"/>
    <x v="2"/>
    <x v="0"/>
  </r>
  <r>
    <n v="2549"/>
    <x v="45"/>
    <x v="188"/>
    <x v="29"/>
    <n v="3"/>
    <x v="1"/>
    <n v="35.97"/>
    <x v="325"/>
    <x v="5"/>
    <x v="4"/>
    <n v="6"/>
    <b v="0"/>
    <n v="77"/>
    <n v="191"/>
    <x v="4"/>
    <x v="3"/>
    <x v="4"/>
    <n v="85"/>
    <n v="3.4"/>
    <b v="1"/>
    <x v="0"/>
    <n v="4348"/>
    <x v="1"/>
    <x v="3"/>
    <x v="3"/>
  </r>
  <r>
    <n v="8954"/>
    <x v="91"/>
    <x v="349"/>
    <x v="12"/>
    <n v="12"/>
    <x v="2"/>
    <n v="191.88"/>
    <x v="288"/>
    <x v="5"/>
    <x v="2"/>
    <n v="1"/>
    <b v="1"/>
    <n v="829"/>
    <n v="178"/>
    <x v="0"/>
    <x v="1"/>
    <x v="3"/>
    <n v="53"/>
    <n v="3.1"/>
    <b v="0"/>
    <x v="0"/>
    <n v="546"/>
    <x v="0"/>
    <x v="0"/>
    <x v="1"/>
  </r>
  <r>
    <n v="1922"/>
    <x v="19"/>
    <x v="129"/>
    <x v="25"/>
    <n v="0"/>
    <x v="1"/>
    <n v="0"/>
    <x v="170"/>
    <x v="3"/>
    <x v="2"/>
    <n v="4"/>
    <b v="0"/>
    <n v="821"/>
    <n v="7"/>
    <x v="3"/>
    <x v="1"/>
    <x v="2"/>
    <n v="3"/>
    <n v="3.3"/>
    <b v="0"/>
    <x v="0"/>
    <n v="2785"/>
    <x v="2"/>
    <x v="0"/>
    <x v="3"/>
  </r>
  <r>
    <n v="9861"/>
    <x v="38"/>
    <x v="329"/>
    <x v="17"/>
    <n v="12"/>
    <x v="2"/>
    <n v="191.88"/>
    <x v="101"/>
    <x v="5"/>
    <x v="0"/>
    <n v="1"/>
    <b v="0"/>
    <n v="265"/>
    <n v="34"/>
    <x v="4"/>
    <x v="2"/>
    <x v="4"/>
    <n v="64"/>
    <n v="4.9000000000000004"/>
    <b v="1"/>
    <x v="0"/>
    <n v="3308"/>
    <x v="0"/>
    <x v="1"/>
    <x v="2"/>
  </r>
  <r>
    <n v="4383"/>
    <x v="250"/>
    <x v="55"/>
    <x v="10"/>
    <n v="2"/>
    <x v="2"/>
    <n v="31.98"/>
    <x v="309"/>
    <x v="0"/>
    <x v="4"/>
    <n v="5"/>
    <b v="1"/>
    <n v="416"/>
    <n v="143"/>
    <x v="4"/>
    <x v="2"/>
    <x v="5"/>
    <n v="99"/>
    <n v="3.7"/>
    <b v="0"/>
    <x v="0"/>
    <n v="527"/>
    <x v="2"/>
    <x v="2"/>
    <x v="2"/>
  </r>
  <r>
    <n v="4328"/>
    <x v="26"/>
    <x v="368"/>
    <x v="24"/>
    <n v="18"/>
    <x v="1"/>
    <n v="215.82"/>
    <x v="327"/>
    <x v="0"/>
    <x v="0"/>
    <n v="4"/>
    <b v="1"/>
    <n v="253"/>
    <n v="70"/>
    <x v="5"/>
    <x v="0"/>
    <x v="4"/>
    <n v="42"/>
    <n v="4.9000000000000004"/>
    <b v="0"/>
    <x v="0"/>
    <n v="837"/>
    <x v="0"/>
    <x v="1"/>
    <x v="1"/>
  </r>
  <r>
    <n v="4622"/>
    <x v="66"/>
    <x v="311"/>
    <x v="1"/>
    <n v="0"/>
    <x v="0"/>
    <n v="0"/>
    <x v="328"/>
    <x v="0"/>
    <x v="2"/>
    <n v="4"/>
    <b v="1"/>
    <n v="770"/>
    <n v="2"/>
    <x v="4"/>
    <x v="2"/>
    <x v="4"/>
    <n v="46"/>
    <n v="4.7"/>
    <b v="1"/>
    <x v="0"/>
    <n v="371"/>
    <x v="1"/>
    <x v="3"/>
    <x v="3"/>
  </r>
  <r>
    <n v="7828"/>
    <x v="251"/>
    <x v="369"/>
    <x v="3"/>
    <n v="19"/>
    <x v="0"/>
    <n v="151.81"/>
    <x v="248"/>
    <x v="4"/>
    <x v="3"/>
    <n v="5"/>
    <b v="0"/>
    <n v="969"/>
    <n v="12"/>
    <x v="6"/>
    <x v="1"/>
    <x v="4"/>
    <n v="37"/>
    <n v="4.7"/>
    <b v="0"/>
    <x v="0"/>
    <n v="877"/>
    <x v="4"/>
    <x v="1"/>
    <x v="0"/>
  </r>
  <r>
    <n v="1393"/>
    <x v="103"/>
    <x v="370"/>
    <x v="25"/>
    <n v="22"/>
    <x v="0"/>
    <n v="175.78"/>
    <x v="313"/>
    <x v="0"/>
    <x v="0"/>
    <n v="4"/>
    <b v="1"/>
    <n v="701"/>
    <n v="125"/>
    <x v="3"/>
    <x v="1"/>
    <x v="0"/>
    <n v="68"/>
    <n v="4.8"/>
    <b v="1"/>
    <x v="0"/>
    <n v="4873"/>
    <x v="4"/>
    <x v="1"/>
    <x v="1"/>
  </r>
  <r>
    <n v="9239"/>
    <x v="105"/>
    <x v="371"/>
    <x v="18"/>
    <n v="0"/>
    <x v="2"/>
    <n v="0"/>
    <x v="329"/>
    <x v="1"/>
    <x v="3"/>
    <n v="6"/>
    <b v="0"/>
    <n v="732"/>
    <n v="105"/>
    <x v="2"/>
    <x v="0"/>
    <x v="0"/>
    <n v="36"/>
    <n v="4.0999999999999996"/>
    <b v="1"/>
    <x v="0"/>
    <n v="4194"/>
    <x v="2"/>
    <x v="3"/>
    <x v="1"/>
  </r>
  <r>
    <n v="1636"/>
    <x v="42"/>
    <x v="372"/>
    <x v="27"/>
    <n v="18"/>
    <x v="1"/>
    <n v="215.82"/>
    <x v="177"/>
    <x v="6"/>
    <x v="3"/>
    <n v="2"/>
    <b v="0"/>
    <n v="989"/>
    <n v="44"/>
    <x v="4"/>
    <x v="3"/>
    <x v="4"/>
    <n v="63"/>
    <n v="4.8"/>
    <b v="0"/>
    <x v="0"/>
    <n v="3118"/>
    <x v="1"/>
    <x v="0"/>
    <x v="0"/>
  </r>
  <r>
    <n v="4401"/>
    <x v="252"/>
    <x v="373"/>
    <x v="1"/>
    <n v="8"/>
    <x v="2"/>
    <n v="127.92"/>
    <x v="9"/>
    <x v="3"/>
    <x v="0"/>
    <n v="5"/>
    <b v="1"/>
    <n v="89"/>
    <n v="32"/>
    <x v="5"/>
    <x v="3"/>
    <x v="1"/>
    <n v="83"/>
    <n v="3"/>
    <b v="1"/>
    <x v="0"/>
    <n v="2088"/>
    <x v="4"/>
    <x v="4"/>
    <x v="1"/>
  </r>
  <r>
    <n v="7135"/>
    <x v="253"/>
    <x v="374"/>
    <x v="6"/>
    <n v="12"/>
    <x v="2"/>
    <n v="191.88"/>
    <x v="130"/>
    <x v="1"/>
    <x v="4"/>
    <n v="5"/>
    <b v="1"/>
    <n v="578"/>
    <n v="117"/>
    <x v="5"/>
    <x v="2"/>
    <x v="0"/>
    <n v="27"/>
    <n v="4.9000000000000004"/>
    <b v="0"/>
    <x v="0"/>
    <n v="3468"/>
    <x v="2"/>
    <x v="3"/>
    <x v="2"/>
  </r>
  <r>
    <n v="8923"/>
    <x v="62"/>
    <x v="375"/>
    <x v="5"/>
    <n v="0"/>
    <x v="1"/>
    <n v="0"/>
    <x v="161"/>
    <x v="6"/>
    <x v="0"/>
    <n v="4"/>
    <b v="0"/>
    <n v="417"/>
    <n v="87"/>
    <x v="6"/>
    <x v="2"/>
    <x v="4"/>
    <n v="14"/>
    <n v="3.4"/>
    <b v="0"/>
    <x v="0"/>
    <n v="3183"/>
    <x v="2"/>
    <x v="0"/>
    <x v="3"/>
  </r>
  <r>
    <n v="9748"/>
    <x v="140"/>
    <x v="374"/>
    <x v="19"/>
    <n v="11"/>
    <x v="2"/>
    <n v="175.89000000000001"/>
    <x v="231"/>
    <x v="6"/>
    <x v="2"/>
    <n v="6"/>
    <b v="0"/>
    <n v="474"/>
    <n v="10"/>
    <x v="0"/>
    <x v="3"/>
    <x v="1"/>
    <n v="18"/>
    <n v="4.7"/>
    <b v="1"/>
    <x v="0"/>
    <n v="4070"/>
    <x v="0"/>
    <x v="0"/>
    <x v="2"/>
  </r>
  <r>
    <n v="7046"/>
    <x v="151"/>
    <x v="376"/>
    <x v="5"/>
    <n v="21"/>
    <x v="2"/>
    <n v="335.79"/>
    <x v="330"/>
    <x v="4"/>
    <x v="3"/>
    <n v="6"/>
    <b v="0"/>
    <n v="512"/>
    <n v="176"/>
    <x v="4"/>
    <x v="0"/>
    <x v="5"/>
    <n v="36"/>
    <n v="4.7"/>
    <b v="0"/>
    <x v="0"/>
    <n v="4147"/>
    <x v="0"/>
    <x v="4"/>
    <x v="3"/>
  </r>
  <r>
    <n v="9688"/>
    <x v="254"/>
    <x v="283"/>
    <x v="22"/>
    <n v="10"/>
    <x v="0"/>
    <n v="79.900000000000006"/>
    <x v="331"/>
    <x v="5"/>
    <x v="1"/>
    <n v="2"/>
    <b v="1"/>
    <n v="280"/>
    <n v="67"/>
    <x v="6"/>
    <x v="3"/>
    <x v="3"/>
    <n v="21"/>
    <n v="4.5999999999999996"/>
    <b v="0"/>
    <x v="0"/>
    <n v="255"/>
    <x v="0"/>
    <x v="1"/>
    <x v="2"/>
  </r>
  <r>
    <n v="6720"/>
    <x v="47"/>
    <x v="377"/>
    <x v="0"/>
    <n v="17"/>
    <x v="2"/>
    <n v="271.83"/>
    <x v="289"/>
    <x v="4"/>
    <x v="2"/>
    <n v="2"/>
    <b v="1"/>
    <n v="494"/>
    <n v="28"/>
    <x v="6"/>
    <x v="3"/>
    <x v="1"/>
    <n v="99"/>
    <n v="3.6"/>
    <b v="0"/>
    <x v="0"/>
    <n v="3278"/>
    <x v="1"/>
    <x v="4"/>
    <x v="0"/>
  </r>
  <r>
    <n v="2766"/>
    <x v="255"/>
    <x v="378"/>
    <x v="9"/>
    <n v="22"/>
    <x v="0"/>
    <n v="175.78"/>
    <x v="298"/>
    <x v="3"/>
    <x v="2"/>
    <n v="3"/>
    <b v="1"/>
    <n v="697"/>
    <n v="5"/>
    <x v="4"/>
    <x v="1"/>
    <x v="1"/>
    <n v="29"/>
    <n v="4.5"/>
    <b v="0"/>
    <x v="0"/>
    <n v="213"/>
    <x v="2"/>
    <x v="2"/>
    <x v="2"/>
  </r>
  <r>
    <n v="3847"/>
    <x v="23"/>
    <x v="379"/>
    <x v="16"/>
    <n v="8"/>
    <x v="1"/>
    <n v="95.92"/>
    <x v="332"/>
    <x v="0"/>
    <x v="0"/>
    <n v="1"/>
    <b v="1"/>
    <n v="879"/>
    <n v="128"/>
    <x v="3"/>
    <x v="0"/>
    <x v="2"/>
    <n v="56"/>
    <n v="3.4"/>
    <b v="0"/>
    <x v="0"/>
    <n v="2886"/>
    <x v="3"/>
    <x v="1"/>
    <x v="0"/>
  </r>
  <r>
    <n v="8554"/>
    <x v="46"/>
    <x v="9"/>
    <x v="18"/>
    <n v="11"/>
    <x v="2"/>
    <n v="175.89000000000001"/>
    <x v="333"/>
    <x v="6"/>
    <x v="1"/>
    <n v="2"/>
    <b v="1"/>
    <n v="442"/>
    <n v="87"/>
    <x v="0"/>
    <x v="2"/>
    <x v="2"/>
    <n v="62"/>
    <n v="4.9000000000000004"/>
    <b v="0"/>
    <x v="0"/>
    <n v="1901"/>
    <x v="1"/>
    <x v="3"/>
    <x v="1"/>
  </r>
  <r>
    <n v="6569"/>
    <x v="1"/>
    <x v="342"/>
    <x v="9"/>
    <n v="12"/>
    <x v="0"/>
    <n v="95.88"/>
    <x v="334"/>
    <x v="6"/>
    <x v="2"/>
    <n v="3"/>
    <b v="0"/>
    <n v="514"/>
    <n v="46"/>
    <x v="1"/>
    <x v="1"/>
    <x v="4"/>
    <n v="74"/>
    <n v="3.2"/>
    <b v="0"/>
    <x v="0"/>
    <n v="4456"/>
    <x v="0"/>
    <x v="1"/>
    <x v="3"/>
  </r>
  <r>
    <n v="6391"/>
    <x v="105"/>
    <x v="380"/>
    <x v="24"/>
    <n v="6"/>
    <x v="2"/>
    <n v="95.94"/>
    <x v="218"/>
    <x v="1"/>
    <x v="2"/>
    <n v="2"/>
    <b v="0"/>
    <n v="120"/>
    <n v="191"/>
    <x v="2"/>
    <x v="1"/>
    <x v="4"/>
    <n v="75"/>
    <n v="3.8"/>
    <b v="1"/>
    <x v="0"/>
    <n v="237"/>
    <x v="1"/>
    <x v="2"/>
    <x v="2"/>
  </r>
  <r>
    <n v="4883"/>
    <x v="256"/>
    <x v="164"/>
    <x v="28"/>
    <n v="10"/>
    <x v="2"/>
    <n v="159.9"/>
    <x v="82"/>
    <x v="0"/>
    <x v="4"/>
    <n v="5"/>
    <b v="0"/>
    <n v="573"/>
    <n v="190"/>
    <x v="3"/>
    <x v="3"/>
    <x v="3"/>
    <n v="86"/>
    <n v="3.5"/>
    <b v="1"/>
    <x v="0"/>
    <n v="4659"/>
    <x v="4"/>
    <x v="0"/>
    <x v="0"/>
  </r>
  <r>
    <n v="4530"/>
    <x v="85"/>
    <x v="381"/>
    <x v="29"/>
    <n v="11"/>
    <x v="0"/>
    <n v="87.89"/>
    <x v="69"/>
    <x v="0"/>
    <x v="1"/>
    <n v="6"/>
    <b v="1"/>
    <n v="231"/>
    <n v="199"/>
    <x v="5"/>
    <x v="0"/>
    <x v="2"/>
    <n v="93"/>
    <n v="3.4"/>
    <b v="0"/>
    <x v="0"/>
    <n v="4906"/>
    <x v="1"/>
    <x v="4"/>
    <x v="0"/>
  </r>
  <r>
    <n v="6531"/>
    <x v="119"/>
    <x v="148"/>
    <x v="20"/>
    <n v="22"/>
    <x v="1"/>
    <n v="263.78000000000003"/>
    <x v="129"/>
    <x v="2"/>
    <x v="3"/>
    <n v="2"/>
    <b v="0"/>
    <n v="374"/>
    <n v="154"/>
    <x v="6"/>
    <x v="1"/>
    <x v="1"/>
    <n v="81"/>
    <n v="4.4000000000000004"/>
    <b v="0"/>
    <x v="0"/>
    <n v="1155"/>
    <x v="3"/>
    <x v="0"/>
    <x v="2"/>
  </r>
  <r>
    <n v="9701"/>
    <x v="257"/>
    <x v="382"/>
    <x v="29"/>
    <n v="20"/>
    <x v="0"/>
    <n v="159.80000000000001"/>
    <x v="317"/>
    <x v="2"/>
    <x v="0"/>
    <n v="6"/>
    <b v="0"/>
    <n v="727"/>
    <n v="13"/>
    <x v="2"/>
    <x v="3"/>
    <x v="1"/>
    <n v="5"/>
    <n v="3.4"/>
    <b v="0"/>
    <x v="0"/>
    <n v="4378"/>
    <x v="1"/>
    <x v="1"/>
    <x v="2"/>
  </r>
  <r>
    <n v="4702"/>
    <x v="174"/>
    <x v="383"/>
    <x v="11"/>
    <n v="8"/>
    <x v="0"/>
    <n v="63.92"/>
    <x v="113"/>
    <x v="4"/>
    <x v="4"/>
    <n v="6"/>
    <b v="1"/>
    <n v="858"/>
    <n v="12"/>
    <x v="4"/>
    <x v="1"/>
    <x v="2"/>
    <n v="25"/>
    <n v="3.4"/>
    <b v="1"/>
    <x v="0"/>
    <n v="1674"/>
    <x v="1"/>
    <x v="3"/>
    <x v="3"/>
  </r>
  <r>
    <n v="3163"/>
    <x v="187"/>
    <x v="384"/>
    <x v="10"/>
    <n v="4"/>
    <x v="1"/>
    <n v="47.96"/>
    <x v="335"/>
    <x v="5"/>
    <x v="4"/>
    <n v="4"/>
    <b v="0"/>
    <n v="25"/>
    <n v="132"/>
    <x v="5"/>
    <x v="0"/>
    <x v="3"/>
    <n v="50"/>
    <n v="3.8"/>
    <b v="1"/>
    <x v="0"/>
    <n v="2407"/>
    <x v="2"/>
    <x v="1"/>
    <x v="2"/>
  </r>
  <r>
    <n v="8719"/>
    <x v="30"/>
    <x v="385"/>
    <x v="29"/>
    <n v="14"/>
    <x v="2"/>
    <n v="223.86"/>
    <x v="56"/>
    <x v="3"/>
    <x v="4"/>
    <n v="5"/>
    <b v="0"/>
    <n v="180"/>
    <n v="99"/>
    <x v="2"/>
    <x v="3"/>
    <x v="5"/>
    <n v="73"/>
    <n v="4.7"/>
    <b v="1"/>
    <x v="0"/>
    <n v="2636"/>
    <x v="0"/>
    <x v="2"/>
    <x v="0"/>
  </r>
  <r>
    <n v="1282"/>
    <x v="26"/>
    <x v="386"/>
    <x v="12"/>
    <n v="0"/>
    <x v="2"/>
    <n v="0"/>
    <x v="270"/>
    <x v="4"/>
    <x v="4"/>
    <n v="3"/>
    <b v="1"/>
    <n v="666"/>
    <n v="76"/>
    <x v="4"/>
    <x v="3"/>
    <x v="5"/>
    <n v="92"/>
    <n v="4.5999999999999996"/>
    <b v="0"/>
    <x v="0"/>
    <n v="4020"/>
    <x v="4"/>
    <x v="3"/>
    <x v="0"/>
  </r>
  <r>
    <n v="4538"/>
    <x v="125"/>
    <x v="387"/>
    <x v="2"/>
    <n v="15"/>
    <x v="2"/>
    <n v="239.85"/>
    <x v="300"/>
    <x v="1"/>
    <x v="4"/>
    <n v="1"/>
    <b v="0"/>
    <n v="709"/>
    <n v="52"/>
    <x v="0"/>
    <x v="2"/>
    <x v="3"/>
    <n v="80"/>
    <n v="4.5"/>
    <b v="1"/>
    <x v="0"/>
    <n v="4127"/>
    <x v="2"/>
    <x v="4"/>
    <x v="0"/>
  </r>
  <r>
    <n v="9538"/>
    <x v="119"/>
    <x v="273"/>
    <x v="10"/>
    <n v="22"/>
    <x v="2"/>
    <n v="351.78000000000003"/>
    <x v="230"/>
    <x v="1"/>
    <x v="4"/>
    <n v="3"/>
    <b v="0"/>
    <n v="30"/>
    <n v="136"/>
    <x v="0"/>
    <x v="3"/>
    <x v="2"/>
    <n v="4"/>
    <n v="3.1"/>
    <b v="1"/>
    <x v="0"/>
    <n v="4503"/>
    <x v="0"/>
    <x v="0"/>
    <x v="2"/>
  </r>
  <r>
    <n v="5109"/>
    <x v="59"/>
    <x v="388"/>
    <x v="0"/>
    <n v="7"/>
    <x v="1"/>
    <n v="83.93"/>
    <x v="167"/>
    <x v="3"/>
    <x v="4"/>
    <n v="3"/>
    <b v="0"/>
    <n v="466"/>
    <n v="106"/>
    <x v="5"/>
    <x v="2"/>
    <x v="5"/>
    <n v="91"/>
    <n v="3.7"/>
    <b v="0"/>
    <x v="0"/>
    <n v="1080"/>
    <x v="1"/>
    <x v="2"/>
    <x v="3"/>
  </r>
  <r>
    <n v="7947"/>
    <x v="258"/>
    <x v="215"/>
    <x v="6"/>
    <n v="13"/>
    <x v="2"/>
    <n v="207.87"/>
    <x v="28"/>
    <x v="5"/>
    <x v="0"/>
    <n v="4"/>
    <b v="0"/>
    <n v="385"/>
    <n v="106"/>
    <x v="2"/>
    <x v="2"/>
    <x v="3"/>
    <n v="75"/>
    <n v="3.7"/>
    <b v="0"/>
    <x v="0"/>
    <n v="1610"/>
    <x v="3"/>
    <x v="0"/>
    <x v="0"/>
  </r>
  <r>
    <n v="7546"/>
    <x v="42"/>
    <x v="389"/>
    <x v="5"/>
    <n v="1"/>
    <x v="0"/>
    <n v="7.99"/>
    <x v="163"/>
    <x v="2"/>
    <x v="1"/>
    <n v="4"/>
    <b v="0"/>
    <n v="484"/>
    <n v="131"/>
    <x v="3"/>
    <x v="3"/>
    <x v="4"/>
    <n v="68"/>
    <n v="4"/>
    <b v="0"/>
    <x v="0"/>
    <n v="1535"/>
    <x v="2"/>
    <x v="2"/>
    <x v="3"/>
  </r>
  <r>
    <n v="4213"/>
    <x v="259"/>
    <x v="96"/>
    <x v="16"/>
    <n v="11"/>
    <x v="0"/>
    <n v="87.89"/>
    <x v="213"/>
    <x v="0"/>
    <x v="4"/>
    <n v="2"/>
    <b v="1"/>
    <n v="379"/>
    <n v="35"/>
    <x v="1"/>
    <x v="3"/>
    <x v="0"/>
    <n v="29"/>
    <n v="4.9000000000000004"/>
    <b v="1"/>
    <x v="0"/>
    <n v="3840"/>
    <x v="4"/>
    <x v="3"/>
    <x v="0"/>
  </r>
  <r>
    <n v="3135"/>
    <x v="141"/>
    <x v="390"/>
    <x v="24"/>
    <n v="5"/>
    <x v="0"/>
    <n v="39.950000000000003"/>
    <x v="115"/>
    <x v="4"/>
    <x v="3"/>
    <n v="1"/>
    <b v="0"/>
    <n v="481"/>
    <n v="58"/>
    <x v="6"/>
    <x v="3"/>
    <x v="1"/>
    <n v="97"/>
    <n v="4"/>
    <b v="0"/>
    <x v="0"/>
    <n v="1108"/>
    <x v="1"/>
    <x v="1"/>
    <x v="1"/>
  </r>
  <r>
    <n v="9916"/>
    <x v="237"/>
    <x v="391"/>
    <x v="18"/>
    <n v="8"/>
    <x v="0"/>
    <n v="63.92"/>
    <x v="291"/>
    <x v="5"/>
    <x v="3"/>
    <n v="2"/>
    <b v="1"/>
    <n v="969"/>
    <n v="175"/>
    <x v="2"/>
    <x v="2"/>
    <x v="3"/>
    <n v="11"/>
    <n v="5"/>
    <b v="0"/>
    <x v="0"/>
    <n v="4510"/>
    <x v="2"/>
    <x v="0"/>
    <x v="1"/>
  </r>
  <r>
    <n v="2784"/>
    <x v="37"/>
    <x v="392"/>
    <x v="0"/>
    <n v="12"/>
    <x v="0"/>
    <n v="95.88"/>
    <x v="37"/>
    <x v="3"/>
    <x v="3"/>
    <n v="2"/>
    <b v="1"/>
    <n v="52"/>
    <n v="151"/>
    <x v="6"/>
    <x v="0"/>
    <x v="5"/>
    <n v="15"/>
    <n v="3.1"/>
    <b v="0"/>
    <x v="0"/>
    <n v="1042"/>
    <x v="4"/>
    <x v="2"/>
    <x v="0"/>
  </r>
  <r>
    <n v="5916"/>
    <x v="43"/>
    <x v="316"/>
    <x v="28"/>
    <n v="2"/>
    <x v="2"/>
    <n v="31.98"/>
    <x v="124"/>
    <x v="1"/>
    <x v="4"/>
    <n v="2"/>
    <b v="1"/>
    <n v="57"/>
    <n v="175"/>
    <x v="5"/>
    <x v="1"/>
    <x v="5"/>
    <n v="41"/>
    <n v="3.4"/>
    <b v="1"/>
    <x v="0"/>
    <n v="2175"/>
    <x v="3"/>
    <x v="2"/>
    <x v="1"/>
  </r>
  <r>
    <n v="1674"/>
    <x v="58"/>
    <x v="393"/>
    <x v="1"/>
    <n v="5"/>
    <x v="1"/>
    <n v="59.95"/>
    <x v="154"/>
    <x v="5"/>
    <x v="2"/>
    <n v="2"/>
    <b v="1"/>
    <n v="415"/>
    <n v="162"/>
    <x v="2"/>
    <x v="0"/>
    <x v="5"/>
    <n v="19"/>
    <n v="4.4000000000000004"/>
    <b v="1"/>
    <x v="0"/>
    <n v="1311"/>
    <x v="0"/>
    <x v="0"/>
    <x v="2"/>
  </r>
  <r>
    <n v="2095"/>
    <x v="158"/>
    <x v="169"/>
    <x v="26"/>
    <n v="3"/>
    <x v="1"/>
    <n v="35.97"/>
    <x v="336"/>
    <x v="6"/>
    <x v="3"/>
    <n v="5"/>
    <b v="1"/>
    <n v="285"/>
    <n v="92"/>
    <x v="1"/>
    <x v="3"/>
    <x v="2"/>
    <n v="81"/>
    <n v="4.7"/>
    <b v="1"/>
    <x v="0"/>
    <n v="4201"/>
    <x v="3"/>
    <x v="4"/>
    <x v="0"/>
  </r>
  <r>
    <n v="9594"/>
    <x v="37"/>
    <x v="394"/>
    <x v="25"/>
    <n v="1"/>
    <x v="0"/>
    <n v="7.99"/>
    <x v="267"/>
    <x v="0"/>
    <x v="2"/>
    <n v="5"/>
    <b v="1"/>
    <n v="861"/>
    <n v="125"/>
    <x v="6"/>
    <x v="2"/>
    <x v="4"/>
    <n v="95"/>
    <n v="4.4000000000000004"/>
    <b v="1"/>
    <x v="0"/>
    <n v="513"/>
    <x v="3"/>
    <x v="2"/>
    <x v="0"/>
  </r>
  <r>
    <n v="6750"/>
    <x v="0"/>
    <x v="242"/>
    <x v="3"/>
    <n v="16"/>
    <x v="0"/>
    <n v="127.84"/>
    <x v="337"/>
    <x v="2"/>
    <x v="0"/>
    <n v="5"/>
    <b v="0"/>
    <n v="399"/>
    <n v="27"/>
    <x v="6"/>
    <x v="2"/>
    <x v="4"/>
    <n v="12"/>
    <n v="4.4000000000000004"/>
    <b v="1"/>
    <x v="0"/>
    <n v="1330"/>
    <x v="0"/>
    <x v="2"/>
    <x v="3"/>
  </r>
  <r>
    <n v="7235"/>
    <x v="54"/>
    <x v="221"/>
    <x v="26"/>
    <n v="22"/>
    <x v="0"/>
    <n v="175.78"/>
    <x v="338"/>
    <x v="4"/>
    <x v="1"/>
    <n v="2"/>
    <b v="0"/>
    <n v="765"/>
    <n v="159"/>
    <x v="2"/>
    <x v="2"/>
    <x v="0"/>
    <n v="77"/>
    <n v="4.2"/>
    <b v="0"/>
    <x v="0"/>
    <n v="3689"/>
    <x v="2"/>
    <x v="3"/>
    <x v="1"/>
  </r>
  <r>
    <n v="3910"/>
    <x v="107"/>
    <x v="74"/>
    <x v="23"/>
    <n v="11"/>
    <x v="1"/>
    <n v="131.89000000000001"/>
    <x v="69"/>
    <x v="6"/>
    <x v="1"/>
    <n v="2"/>
    <b v="0"/>
    <n v="667"/>
    <n v="43"/>
    <x v="4"/>
    <x v="1"/>
    <x v="2"/>
    <n v="55"/>
    <n v="3.5"/>
    <b v="0"/>
    <x v="0"/>
    <n v="670"/>
    <x v="4"/>
    <x v="2"/>
    <x v="3"/>
  </r>
  <r>
    <n v="8190"/>
    <x v="260"/>
    <x v="287"/>
    <x v="28"/>
    <n v="3"/>
    <x v="1"/>
    <n v="35.97"/>
    <x v="310"/>
    <x v="3"/>
    <x v="4"/>
    <n v="1"/>
    <b v="1"/>
    <n v="409"/>
    <n v="38"/>
    <x v="6"/>
    <x v="2"/>
    <x v="4"/>
    <n v="37"/>
    <n v="3.1"/>
    <b v="1"/>
    <x v="0"/>
    <n v="544"/>
    <x v="2"/>
    <x v="0"/>
    <x v="1"/>
  </r>
  <r>
    <n v="5315"/>
    <x v="261"/>
    <x v="395"/>
    <x v="4"/>
    <n v="16"/>
    <x v="0"/>
    <n v="127.84"/>
    <x v="339"/>
    <x v="4"/>
    <x v="4"/>
    <n v="3"/>
    <b v="0"/>
    <n v="202"/>
    <n v="26"/>
    <x v="1"/>
    <x v="3"/>
    <x v="5"/>
    <n v="52"/>
    <n v="4.8"/>
    <b v="0"/>
    <x v="0"/>
    <n v="1392"/>
    <x v="3"/>
    <x v="1"/>
    <x v="3"/>
  </r>
  <r>
    <n v="7503"/>
    <x v="46"/>
    <x v="396"/>
    <x v="25"/>
    <n v="18"/>
    <x v="2"/>
    <n v="287.82"/>
    <x v="141"/>
    <x v="4"/>
    <x v="0"/>
    <n v="4"/>
    <b v="0"/>
    <n v="208"/>
    <n v="144"/>
    <x v="6"/>
    <x v="1"/>
    <x v="4"/>
    <n v="12"/>
    <n v="4.5999999999999996"/>
    <b v="0"/>
    <x v="0"/>
    <n v="3199"/>
    <x v="4"/>
    <x v="1"/>
    <x v="2"/>
  </r>
  <r>
    <n v="5788"/>
    <x v="63"/>
    <x v="132"/>
    <x v="16"/>
    <n v="18"/>
    <x v="1"/>
    <n v="215.82"/>
    <x v="129"/>
    <x v="4"/>
    <x v="0"/>
    <n v="3"/>
    <b v="1"/>
    <n v="382"/>
    <n v="50"/>
    <x v="5"/>
    <x v="2"/>
    <x v="3"/>
    <n v="47"/>
    <n v="4.8"/>
    <b v="0"/>
    <x v="0"/>
    <n v="4204"/>
    <x v="3"/>
    <x v="1"/>
    <x v="2"/>
  </r>
  <r>
    <n v="7030"/>
    <x v="262"/>
    <x v="99"/>
    <x v="16"/>
    <n v="8"/>
    <x v="2"/>
    <n v="127.92"/>
    <x v="229"/>
    <x v="3"/>
    <x v="0"/>
    <n v="4"/>
    <b v="0"/>
    <n v="666"/>
    <n v="164"/>
    <x v="0"/>
    <x v="0"/>
    <x v="2"/>
    <n v="38"/>
    <n v="4.2"/>
    <b v="0"/>
    <x v="0"/>
    <n v="1461"/>
    <x v="2"/>
    <x v="4"/>
    <x v="0"/>
  </r>
  <r>
    <n v="6619"/>
    <x v="186"/>
    <x v="141"/>
    <x v="17"/>
    <n v="5"/>
    <x v="2"/>
    <n v="79.95"/>
    <x v="305"/>
    <x v="3"/>
    <x v="2"/>
    <n v="1"/>
    <b v="1"/>
    <n v="855"/>
    <n v="46"/>
    <x v="3"/>
    <x v="3"/>
    <x v="3"/>
    <n v="26"/>
    <n v="4.4000000000000004"/>
    <b v="0"/>
    <x v="0"/>
    <n v="658"/>
    <x v="0"/>
    <x v="0"/>
    <x v="0"/>
  </r>
  <r>
    <n v="6319"/>
    <x v="263"/>
    <x v="397"/>
    <x v="17"/>
    <n v="21"/>
    <x v="0"/>
    <n v="167.79"/>
    <x v="143"/>
    <x v="6"/>
    <x v="4"/>
    <n v="1"/>
    <b v="1"/>
    <n v="592"/>
    <n v="67"/>
    <x v="6"/>
    <x v="1"/>
    <x v="5"/>
    <n v="81"/>
    <n v="4.8"/>
    <b v="0"/>
    <x v="0"/>
    <n v="423"/>
    <x v="1"/>
    <x v="3"/>
    <x v="2"/>
  </r>
  <r>
    <n v="6268"/>
    <x v="136"/>
    <x v="398"/>
    <x v="29"/>
    <n v="10"/>
    <x v="2"/>
    <n v="159.9"/>
    <x v="79"/>
    <x v="4"/>
    <x v="3"/>
    <n v="2"/>
    <b v="0"/>
    <n v="546"/>
    <n v="16"/>
    <x v="3"/>
    <x v="0"/>
    <x v="4"/>
    <n v="31"/>
    <n v="3.6"/>
    <b v="1"/>
    <x v="0"/>
    <n v="2824"/>
    <x v="0"/>
    <x v="4"/>
    <x v="3"/>
  </r>
  <r>
    <n v="5016"/>
    <x v="193"/>
    <x v="399"/>
    <x v="11"/>
    <n v="16"/>
    <x v="1"/>
    <n v="191.84"/>
    <x v="133"/>
    <x v="5"/>
    <x v="4"/>
    <n v="3"/>
    <b v="0"/>
    <n v="633"/>
    <n v="83"/>
    <x v="0"/>
    <x v="0"/>
    <x v="2"/>
    <n v="49"/>
    <n v="3.3"/>
    <b v="0"/>
    <x v="0"/>
    <n v="2657"/>
    <x v="2"/>
    <x v="4"/>
    <x v="3"/>
  </r>
  <r>
    <n v="3888"/>
    <x v="57"/>
    <x v="368"/>
    <x v="2"/>
    <n v="18"/>
    <x v="2"/>
    <n v="287.82"/>
    <x v="107"/>
    <x v="0"/>
    <x v="0"/>
    <n v="2"/>
    <b v="1"/>
    <n v="883"/>
    <n v="60"/>
    <x v="4"/>
    <x v="3"/>
    <x v="4"/>
    <n v="10"/>
    <n v="4.5"/>
    <b v="0"/>
    <x v="0"/>
    <n v="2213"/>
    <x v="4"/>
    <x v="4"/>
    <x v="1"/>
  </r>
  <r>
    <n v="9918"/>
    <x v="91"/>
    <x v="400"/>
    <x v="20"/>
    <n v="6"/>
    <x v="1"/>
    <n v="71.94"/>
    <x v="225"/>
    <x v="3"/>
    <x v="3"/>
    <n v="6"/>
    <b v="0"/>
    <n v="235"/>
    <n v="88"/>
    <x v="3"/>
    <x v="0"/>
    <x v="0"/>
    <n v="18"/>
    <n v="3.1"/>
    <b v="1"/>
    <x v="0"/>
    <n v="3455"/>
    <x v="3"/>
    <x v="2"/>
    <x v="2"/>
  </r>
  <r>
    <n v="7305"/>
    <x v="84"/>
    <x v="401"/>
    <x v="3"/>
    <n v="21"/>
    <x v="0"/>
    <n v="167.79"/>
    <x v="340"/>
    <x v="6"/>
    <x v="3"/>
    <n v="4"/>
    <b v="0"/>
    <n v="267"/>
    <n v="146"/>
    <x v="0"/>
    <x v="2"/>
    <x v="3"/>
    <n v="34"/>
    <n v="4.2"/>
    <b v="1"/>
    <x v="0"/>
    <n v="3334"/>
    <x v="4"/>
    <x v="1"/>
    <x v="1"/>
  </r>
  <r>
    <n v="5719"/>
    <x v="237"/>
    <x v="402"/>
    <x v="17"/>
    <n v="15"/>
    <x v="1"/>
    <n v="179.85"/>
    <x v="292"/>
    <x v="3"/>
    <x v="3"/>
    <n v="2"/>
    <b v="0"/>
    <n v="710"/>
    <n v="68"/>
    <x v="5"/>
    <x v="3"/>
    <x v="5"/>
    <n v="54"/>
    <n v="4.5999999999999996"/>
    <b v="0"/>
    <x v="0"/>
    <n v="105"/>
    <x v="4"/>
    <x v="3"/>
    <x v="3"/>
  </r>
  <r>
    <n v="2334"/>
    <x v="209"/>
    <x v="200"/>
    <x v="24"/>
    <n v="8"/>
    <x v="1"/>
    <n v="95.92"/>
    <x v="81"/>
    <x v="5"/>
    <x v="2"/>
    <n v="4"/>
    <b v="0"/>
    <n v="805"/>
    <n v="42"/>
    <x v="2"/>
    <x v="1"/>
    <x v="0"/>
    <n v="90"/>
    <n v="4.5"/>
    <b v="0"/>
    <x v="0"/>
    <n v="1404"/>
    <x v="0"/>
    <x v="3"/>
    <x v="2"/>
  </r>
  <r>
    <n v="1006"/>
    <x v="264"/>
    <x v="403"/>
    <x v="26"/>
    <n v="14"/>
    <x v="1"/>
    <n v="167.86"/>
    <x v="341"/>
    <x v="1"/>
    <x v="4"/>
    <n v="6"/>
    <b v="0"/>
    <n v="209"/>
    <n v="151"/>
    <x v="3"/>
    <x v="2"/>
    <x v="4"/>
    <n v="74"/>
    <n v="3"/>
    <b v="0"/>
    <x v="0"/>
    <n v="1017"/>
    <x v="2"/>
    <x v="4"/>
    <x v="2"/>
  </r>
  <r>
    <n v="6719"/>
    <x v="23"/>
    <x v="177"/>
    <x v="9"/>
    <n v="22"/>
    <x v="2"/>
    <n v="351.78000000000003"/>
    <x v="325"/>
    <x v="4"/>
    <x v="3"/>
    <n v="2"/>
    <b v="0"/>
    <n v="803"/>
    <n v="197"/>
    <x v="4"/>
    <x v="3"/>
    <x v="5"/>
    <n v="58"/>
    <n v="4.8"/>
    <b v="0"/>
    <x v="0"/>
    <n v="2812"/>
    <x v="1"/>
    <x v="1"/>
    <x v="1"/>
  </r>
  <r>
    <n v="6138"/>
    <x v="8"/>
    <x v="205"/>
    <x v="16"/>
    <n v="10"/>
    <x v="2"/>
    <n v="159.9"/>
    <x v="94"/>
    <x v="3"/>
    <x v="4"/>
    <n v="6"/>
    <b v="1"/>
    <n v="236"/>
    <n v="183"/>
    <x v="3"/>
    <x v="2"/>
    <x v="4"/>
    <n v="86"/>
    <n v="3.8"/>
    <b v="0"/>
    <x v="0"/>
    <n v="959"/>
    <x v="0"/>
    <x v="3"/>
    <x v="0"/>
  </r>
  <r>
    <n v="1255"/>
    <x v="27"/>
    <x v="404"/>
    <x v="5"/>
    <n v="19"/>
    <x v="1"/>
    <n v="227.81"/>
    <x v="342"/>
    <x v="3"/>
    <x v="4"/>
    <n v="3"/>
    <b v="1"/>
    <n v="264"/>
    <n v="115"/>
    <x v="3"/>
    <x v="3"/>
    <x v="5"/>
    <n v="30"/>
    <n v="4.7"/>
    <b v="1"/>
    <x v="0"/>
    <n v="1870"/>
    <x v="2"/>
    <x v="2"/>
    <x v="3"/>
  </r>
  <r>
    <n v="5528"/>
    <x v="59"/>
    <x v="330"/>
    <x v="5"/>
    <n v="8"/>
    <x v="1"/>
    <n v="95.92"/>
    <x v="343"/>
    <x v="0"/>
    <x v="0"/>
    <n v="6"/>
    <b v="1"/>
    <n v="767"/>
    <n v="5"/>
    <x v="4"/>
    <x v="1"/>
    <x v="5"/>
    <n v="69"/>
    <n v="3.2"/>
    <b v="1"/>
    <x v="0"/>
    <n v="2984"/>
    <x v="2"/>
    <x v="3"/>
    <x v="3"/>
  </r>
  <r>
    <n v="2517"/>
    <x v="47"/>
    <x v="405"/>
    <x v="15"/>
    <n v="7"/>
    <x v="0"/>
    <n v="55.93"/>
    <x v="245"/>
    <x v="2"/>
    <x v="2"/>
    <n v="1"/>
    <b v="1"/>
    <n v="247"/>
    <n v="104"/>
    <x v="6"/>
    <x v="0"/>
    <x v="3"/>
    <n v="19"/>
    <n v="3.2"/>
    <b v="1"/>
    <x v="0"/>
    <n v="3379"/>
    <x v="0"/>
    <x v="0"/>
    <x v="3"/>
  </r>
  <r>
    <n v="9593"/>
    <x v="265"/>
    <x v="57"/>
    <x v="24"/>
    <n v="13"/>
    <x v="2"/>
    <n v="207.87"/>
    <x v="344"/>
    <x v="4"/>
    <x v="0"/>
    <n v="1"/>
    <b v="1"/>
    <n v="69"/>
    <n v="101"/>
    <x v="2"/>
    <x v="0"/>
    <x v="4"/>
    <n v="38"/>
    <n v="3"/>
    <b v="1"/>
    <x v="0"/>
    <n v="4990"/>
    <x v="1"/>
    <x v="4"/>
    <x v="1"/>
  </r>
  <r>
    <n v="7507"/>
    <x v="183"/>
    <x v="356"/>
    <x v="5"/>
    <n v="9"/>
    <x v="1"/>
    <n v="107.91"/>
    <x v="345"/>
    <x v="3"/>
    <x v="2"/>
    <n v="4"/>
    <b v="1"/>
    <n v="958"/>
    <n v="153"/>
    <x v="6"/>
    <x v="2"/>
    <x v="1"/>
    <n v="71"/>
    <n v="4.8"/>
    <b v="0"/>
    <x v="0"/>
    <n v="2554"/>
    <x v="2"/>
    <x v="0"/>
    <x v="1"/>
  </r>
  <r>
    <n v="2884"/>
    <x v="248"/>
    <x v="288"/>
    <x v="1"/>
    <n v="12"/>
    <x v="2"/>
    <n v="191.88"/>
    <x v="215"/>
    <x v="0"/>
    <x v="4"/>
    <n v="6"/>
    <b v="0"/>
    <n v="271"/>
    <n v="50"/>
    <x v="5"/>
    <x v="3"/>
    <x v="0"/>
    <n v="34"/>
    <n v="4.7"/>
    <b v="0"/>
    <x v="0"/>
    <n v="4307"/>
    <x v="4"/>
    <x v="2"/>
    <x v="1"/>
  </r>
  <r>
    <n v="6374"/>
    <x v="219"/>
    <x v="406"/>
    <x v="4"/>
    <n v="16"/>
    <x v="2"/>
    <n v="255.84"/>
    <x v="202"/>
    <x v="0"/>
    <x v="1"/>
    <n v="1"/>
    <b v="0"/>
    <n v="178"/>
    <n v="162"/>
    <x v="3"/>
    <x v="0"/>
    <x v="2"/>
    <n v="20"/>
    <n v="4.5999999999999996"/>
    <b v="1"/>
    <x v="0"/>
    <n v="3124"/>
    <x v="0"/>
    <x v="3"/>
    <x v="3"/>
  </r>
  <r>
    <n v="6888"/>
    <x v="69"/>
    <x v="313"/>
    <x v="25"/>
    <n v="6"/>
    <x v="2"/>
    <n v="95.94"/>
    <x v="346"/>
    <x v="5"/>
    <x v="2"/>
    <n v="5"/>
    <b v="0"/>
    <n v="865"/>
    <n v="104"/>
    <x v="0"/>
    <x v="2"/>
    <x v="2"/>
    <n v="31"/>
    <n v="3.1"/>
    <b v="0"/>
    <x v="0"/>
    <n v="1261"/>
    <x v="0"/>
    <x v="0"/>
    <x v="0"/>
  </r>
  <r>
    <n v="2788"/>
    <x v="266"/>
    <x v="227"/>
    <x v="27"/>
    <n v="21"/>
    <x v="2"/>
    <n v="335.79"/>
    <x v="128"/>
    <x v="5"/>
    <x v="2"/>
    <n v="2"/>
    <b v="0"/>
    <n v="257"/>
    <n v="113"/>
    <x v="5"/>
    <x v="2"/>
    <x v="2"/>
    <n v="60"/>
    <n v="3.8"/>
    <b v="0"/>
    <x v="0"/>
    <n v="1290"/>
    <x v="2"/>
    <x v="0"/>
    <x v="0"/>
  </r>
  <r>
    <n v="7892"/>
    <x v="36"/>
    <x v="407"/>
    <x v="9"/>
    <n v="6"/>
    <x v="0"/>
    <n v="47.94"/>
    <x v="347"/>
    <x v="6"/>
    <x v="4"/>
    <n v="3"/>
    <b v="0"/>
    <n v="428"/>
    <n v="168"/>
    <x v="6"/>
    <x v="2"/>
    <x v="5"/>
    <n v="82"/>
    <n v="3.7"/>
    <b v="0"/>
    <x v="0"/>
    <n v="874"/>
    <x v="0"/>
    <x v="4"/>
    <x v="2"/>
  </r>
  <r>
    <n v="4576"/>
    <x v="37"/>
    <x v="408"/>
    <x v="17"/>
    <n v="4"/>
    <x v="2"/>
    <n v="63.96"/>
    <x v="121"/>
    <x v="1"/>
    <x v="2"/>
    <n v="2"/>
    <b v="1"/>
    <n v="994"/>
    <n v="78"/>
    <x v="5"/>
    <x v="2"/>
    <x v="2"/>
    <n v="39"/>
    <n v="4.3"/>
    <b v="1"/>
    <x v="0"/>
    <n v="1734"/>
    <x v="4"/>
    <x v="1"/>
    <x v="2"/>
  </r>
  <r>
    <n v="8901"/>
    <x v="267"/>
    <x v="205"/>
    <x v="26"/>
    <n v="10"/>
    <x v="1"/>
    <n v="119.9"/>
    <x v="348"/>
    <x v="0"/>
    <x v="3"/>
    <n v="6"/>
    <b v="0"/>
    <n v="476"/>
    <n v="37"/>
    <x v="0"/>
    <x v="3"/>
    <x v="0"/>
    <n v="12"/>
    <n v="4.0999999999999996"/>
    <b v="1"/>
    <x v="0"/>
    <n v="2444"/>
    <x v="4"/>
    <x v="4"/>
    <x v="2"/>
  </r>
  <r>
    <n v="5147"/>
    <x v="38"/>
    <x v="409"/>
    <x v="2"/>
    <n v="18"/>
    <x v="0"/>
    <n v="143.82"/>
    <x v="349"/>
    <x v="5"/>
    <x v="3"/>
    <n v="4"/>
    <b v="1"/>
    <n v="150"/>
    <n v="57"/>
    <x v="2"/>
    <x v="0"/>
    <x v="0"/>
    <n v="76"/>
    <n v="4.5"/>
    <b v="0"/>
    <x v="0"/>
    <n v="1529"/>
    <x v="0"/>
    <x v="0"/>
    <x v="0"/>
  </r>
  <r>
    <n v="8646"/>
    <x v="127"/>
    <x v="410"/>
    <x v="27"/>
    <n v="11"/>
    <x v="0"/>
    <n v="87.89"/>
    <x v="350"/>
    <x v="0"/>
    <x v="2"/>
    <n v="6"/>
    <b v="1"/>
    <n v="580"/>
    <n v="149"/>
    <x v="2"/>
    <x v="0"/>
    <x v="5"/>
    <n v="31"/>
    <n v="3.8"/>
    <b v="1"/>
    <x v="0"/>
    <n v="1976"/>
    <x v="3"/>
    <x v="4"/>
    <x v="0"/>
  </r>
  <r>
    <n v="8343"/>
    <x v="38"/>
    <x v="411"/>
    <x v="6"/>
    <n v="1"/>
    <x v="0"/>
    <n v="7.99"/>
    <x v="264"/>
    <x v="0"/>
    <x v="2"/>
    <n v="6"/>
    <b v="0"/>
    <n v="284"/>
    <n v="84"/>
    <x v="6"/>
    <x v="0"/>
    <x v="4"/>
    <n v="30"/>
    <n v="4"/>
    <b v="0"/>
    <x v="0"/>
    <n v="3452"/>
    <x v="0"/>
    <x v="4"/>
    <x v="3"/>
  </r>
  <r>
    <n v="9332"/>
    <x v="2"/>
    <x v="233"/>
    <x v="13"/>
    <n v="18"/>
    <x v="2"/>
    <n v="287.82"/>
    <x v="351"/>
    <x v="3"/>
    <x v="3"/>
    <n v="1"/>
    <b v="0"/>
    <n v="688"/>
    <n v="192"/>
    <x v="0"/>
    <x v="0"/>
    <x v="0"/>
    <n v="71"/>
    <n v="4"/>
    <b v="0"/>
    <x v="0"/>
    <n v="2610"/>
    <x v="2"/>
    <x v="2"/>
    <x v="2"/>
  </r>
  <r>
    <n v="7398"/>
    <x v="154"/>
    <x v="381"/>
    <x v="1"/>
    <n v="12"/>
    <x v="1"/>
    <n v="143.88"/>
    <x v="342"/>
    <x v="1"/>
    <x v="3"/>
    <n v="1"/>
    <b v="1"/>
    <n v="93"/>
    <n v="46"/>
    <x v="1"/>
    <x v="0"/>
    <x v="1"/>
    <n v="41"/>
    <n v="4.7"/>
    <b v="1"/>
    <x v="0"/>
    <n v="3152"/>
    <x v="0"/>
    <x v="1"/>
    <x v="1"/>
  </r>
  <r>
    <n v="3572"/>
    <x v="268"/>
    <x v="138"/>
    <x v="1"/>
    <n v="8"/>
    <x v="1"/>
    <n v="95.92"/>
    <x v="334"/>
    <x v="3"/>
    <x v="3"/>
    <n v="6"/>
    <b v="1"/>
    <n v="799"/>
    <n v="44"/>
    <x v="3"/>
    <x v="0"/>
    <x v="3"/>
    <n v="98"/>
    <n v="4.9000000000000004"/>
    <b v="0"/>
    <x v="0"/>
    <n v="4963"/>
    <x v="4"/>
    <x v="2"/>
    <x v="1"/>
  </r>
  <r>
    <n v="4590"/>
    <x v="250"/>
    <x v="98"/>
    <x v="25"/>
    <n v="17"/>
    <x v="1"/>
    <n v="203.83"/>
    <x v="352"/>
    <x v="6"/>
    <x v="4"/>
    <n v="3"/>
    <b v="0"/>
    <n v="327"/>
    <n v="1"/>
    <x v="2"/>
    <x v="1"/>
    <x v="0"/>
    <n v="56"/>
    <n v="3.6"/>
    <b v="1"/>
    <x v="0"/>
    <n v="3290"/>
    <x v="1"/>
    <x v="4"/>
    <x v="0"/>
  </r>
  <r>
    <n v="1831"/>
    <x v="13"/>
    <x v="193"/>
    <x v="11"/>
    <n v="1"/>
    <x v="0"/>
    <n v="7.99"/>
    <x v="36"/>
    <x v="2"/>
    <x v="1"/>
    <n v="4"/>
    <b v="0"/>
    <n v="685"/>
    <n v="127"/>
    <x v="5"/>
    <x v="2"/>
    <x v="4"/>
    <n v="26"/>
    <n v="4.0999999999999996"/>
    <b v="1"/>
    <x v="0"/>
    <n v="2596"/>
    <x v="2"/>
    <x v="3"/>
    <x v="0"/>
  </r>
  <r>
    <n v="6899"/>
    <x v="122"/>
    <x v="412"/>
    <x v="21"/>
    <n v="20"/>
    <x v="2"/>
    <n v="319.8"/>
    <x v="177"/>
    <x v="4"/>
    <x v="1"/>
    <n v="1"/>
    <b v="1"/>
    <n v="604"/>
    <n v="107"/>
    <x v="6"/>
    <x v="3"/>
    <x v="5"/>
    <n v="9"/>
    <n v="4.3"/>
    <b v="0"/>
    <x v="0"/>
    <n v="745"/>
    <x v="4"/>
    <x v="1"/>
    <x v="0"/>
  </r>
  <r>
    <n v="1148"/>
    <x v="13"/>
    <x v="118"/>
    <x v="14"/>
    <n v="5"/>
    <x v="2"/>
    <n v="79.95"/>
    <x v="353"/>
    <x v="0"/>
    <x v="1"/>
    <n v="5"/>
    <b v="1"/>
    <n v="597"/>
    <n v="165"/>
    <x v="5"/>
    <x v="3"/>
    <x v="1"/>
    <n v="33"/>
    <n v="4.2"/>
    <b v="1"/>
    <x v="0"/>
    <n v="668"/>
    <x v="4"/>
    <x v="1"/>
    <x v="2"/>
  </r>
  <r>
    <n v="3745"/>
    <x v="141"/>
    <x v="194"/>
    <x v="17"/>
    <n v="3"/>
    <x v="1"/>
    <n v="35.97"/>
    <x v="141"/>
    <x v="6"/>
    <x v="2"/>
    <n v="4"/>
    <b v="0"/>
    <n v="451"/>
    <n v="49"/>
    <x v="1"/>
    <x v="1"/>
    <x v="4"/>
    <n v="11"/>
    <n v="4.7"/>
    <b v="1"/>
    <x v="0"/>
    <n v="3282"/>
    <x v="4"/>
    <x v="0"/>
    <x v="0"/>
  </r>
  <r>
    <n v="5084"/>
    <x v="269"/>
    <x v="73"/>
    <x v="7"/>
    <n v="12"/>
    <x v="1"/>
    <n v="143.88"/>
    <x v="354"/>
    <x v="0"/>
    <x v="4"/>
    <n v="6"/>
    <b v="0"/>
    <n v="50"/>
    <n v="15"/>
    <x v="1"/>
    <x v="2"/>
    <x v="5"/>
    <n v="91"/>
    <n v="4.4000000000000004"/>
    <b v="0"/>
    <x v="0"/>
    <n v="1510"/>
    <x v="2"/>
    <x v="4"/>
    <x v="0"/>
  </r>
  <r>
    <n v="7179"/>
    <x v="47"/>
    <x v="413"/>
    <x v="26"/>
    <n v="14"/>
    <x v="1"/>
    <n v="167.86"/>
    <x v="355"/>
    <x v="5"/>
    <x v="2"/>
    <n v="3"/>
    <b v="1"/>
    <n v="987"/>
    <n v="91"/>
    <x v="6"/>
    <x v="1"/>
    <x v="2"/>
    <n v="8"/>
    <n v="4.5999999999999996"/>
    <b v="1"/>
    <x v="0"/>
    <n v="1206"/>
    <x v="0"/>
    <x v="0"/>
    <x v="2"/>
  </r>
  <r>
    <n v="1005"/>
    <x v="133"/>
    <x v="236"/>
    <x v="5"/>
    <n v="21"/>
    <x v="1"/>
    <n v="251.79"/>
    <x v="151"/>
    <x v="4"/>
    <x v="2"/>
    <n v="1"/>
    <b v="0"/>
    <n v="817"/>
    <n v="182"/>
    <x v="3"/>
    <x v="2"/>
    <x v="4"/>
    <n v="43"/>
    <n v="4.5999999999999996"/>
    <b v="1"/>
    <x v="0"/>
    <n v="168"/>
    <x v="3"/>
    <x v="4"/>
    <x v="3"/>
  </r>
  <r>
    <n v="6405"/>
    <x v="268"/>
    <x v="414"/>
    <x v="11"/>
    <n v="19"/>
    <x v="1"/>
    <n v="227.81"/>
    <x v="3"/>
    <x v="5"/>
    <x v="1"/>
    <n v="6"/>
    <b v="1"/>
    <n v="361"/>
    <n v="12"/>
    <x v="3"/>
    <x v="3"/>
    <x v="1"/>
    <n v="72"/>
    <n v="4.9000000000000004"/>
    <b v="1"/>
    <x v="0"/>
    <n v="1303"/>
    <x v="4"/>
    <x v="2"/>
    <x v="0"/>
  </r>
  <r>
    <n v="5215"/>
    <x v="2"/>
    <x v="244"/>
    <x v="6"/>
    <n v="20"/>
    <x v="0"/>
    <n v="159.80000000000001"/>
    <x v="356"/>
    <x v="6"/>
    <x v="3"/>
    <n v="5"/>
    <b v="0"/>
    <n v="146"/>
    <n v="147"/>
    <x v="2"/>
    <x v="1"/>
    <x v="5"/>
    <n v="23"/>
    <n v="3.4"/>
    <b v="0"/>
    <x v="0"/>
    <n v="1365"/>
    <x v="2"/>
    <x v="2"/>
    <x v="3"/>
  </r>
  <r>
    <n v="7525"/>
    <x v="138"/>
    <x v="415"/>
    <x v="13"/>
    <n v="5"/>
    <x v="2"/>
    <n v="79.95"/>
    <x v="257"/>
    <x v="0"/>
    <x v="1"/>
    <n v="4"/>
    <b v="0"/>
    <n v="313"/>
    <n v="1"/>
    <x v="5"/>
    <x v="0"/>
    <x v="4"/>
    <n v="7"/>
    <n v="3.7"/>
    <b v="1"/>
    <x v="0"/>
    <n v="1563"/>
    <x v="2"/>
    <x v="1"/>
    <x v="2"/>
  </r>
  <r>
    <n v="9115"/>
    <x v="13"/>
    <x v="166"/>
    <x v="6"/>
    <n v="5"/>
    <x v="1"/>
    <n v="59.95"/>
    <x v="326"/>
    <x v="5"/>
    <x v="1"/>
    <n v="1"/>
    <b v="0"/>
    <n v="80"/>
    <n v="71"/>
    <x v="1"/>
    <x v="2"/>
    <x v="1"/>
    <n v="55"/>
    <n v="3.6"/>
    <b v="0"/>
    <x v="0"/>
    <n v="1172"/>
    <x v="3"/>
    <x v="3"/>
    <x v="0"/>
  </r>
  <r>
    <n v="6454"/>
    <x v="66"/>
    <x v="416"/>
    <x v="1"/>
    <n v="8"/>
    <x v="2"/>
    <n v="127.92"/>
    <x v="40"/>
    <x v="5"/>
    <x v="1"/>
    <n v="4"/>
    <b v="1"/>
    <n v="860"/>
    <n v="42"/>
    <x v="0"/>
    <x v="2"/>
    <x v="5"/>
    <n v="97"/>
    <n v="4"/>
    <b v="1"/>
    <x v="0"/>
    <n v="1704"/>
    <x v="4"/>
    <x v="0"/>
    <x v="3"/>
  </r>
  <r>
    <n v="4781"/>
    <x v="270"/>
    <x v="212"/>
    <x v="15"/>
    <n v="7"/>
    <x v="2"/>
    <n v="111.93"/>
    <x v="309"/>
    <x v="5"/>
    <x v="3"/>
    <n v="3"/>
    <b v="1"/>
    <n v="67"/>
    <n v="66"/>
    <x v="3"/>
    <x v="0"/>
    <x v="1"/>
    <n v="3"/>
    <n v="3.7"/>
    <b v="1"/>
    <x v="0"/>
    <n v="4421"/>
    <x v="4"/>
    <x v="4"/>
    <x v="1"/>
  </r>
  <r>
    <n v="5040"/>
    <x v="271"/>
    <x v="171"/>
    <x v="3"/>
    <n v="11"/>
    <x v="1"/>
    <n v="131.89000000000001"/>
    <x v="15"/>
    <x v="2"/>
    <x v="3"/>
    <n v="2"/>
    <b v="1"/>
    <n v="178"/>
    <n v="61"/>
    <x v="6"/>
    <x v="1"/>
    <x v="5"/>
    <n v="30"/>
    <n v="3.1"/>
    <b v="0"/>
    <x v="0"/>
    <n v="2964"/>
    <x v="0"/>
    <x v="2"/>
    <x v="0"/>
  </r>
  <r>
    <n v="3209"/>
    <x v="153"/>
    <x v="392"/>
    <x v="29"/>
    <n v="12"/>
    <x v="0"/>
    <n v="95.88"/>
    <x v="204"/>
    <x v="3"/>
    <x v="0"/>
    <n v="1"/>
    <b v="0"/>
    <n v="113"/>
    <n v="85"/>
    <x v="2"/>
    <x v="3"/>
    <x v="3"/>
    <n v="52"/>
    <n v="4.7"/>
    <b v="0"/>
    <x v="0"/>
    <n v="1094"/>
    <x v="0"/>
    <x v="2"/>
    <x v="1"/>
  </r>
  <r>
    <n v="8703"/>
    <x v="103"/>
    <x v="97"/>
    <x v="7"/>
    <n v="4"/>
    <x v="2"/>
    <n v="63.96"/>
    <x v="79"/>
    <x v="1"/>
    <x v="1"/>
    <n v="4"/>
    <b v="1"/>
    <n v="855"/>
    <n v="186"/>
    <x v="1"/>
    <x v="0"/>
    <x v="2"/>
    <n v="54"/>
    <n v="3.6"/>
    <b v="0"/>
    <x v="0"/>
    <n v="3674"/>
    <x v="4"/>
    <x v="1"/>
    <x v="0"/>
  </r>
  <r>
    <n v="2536"/>
    <x v="114"/>
    <x v="200"/>
    <x v="2"/>
    <n v="9"/>
    <x v="2"/>
    <n v="143.91"/>
    <x v="356"/>
    <x v="4"/>
    <x v="2"/>
    <n v="4"/>
    <b v="0"/>
    <n v="608"/>
    <n v="96"/>
    <x v="6"/>
    <x v="3"/>
    <x v="2"/>
    <n v="76"/>
    <n v="4"/>
    <b v="0"/>
    <x v="0"/>
    <n v="296"/>
    <x v="2"/>
    <x v="4"/>
    <x v="3"/>
  </r>
  <r>
    <n v="2057"/>
    <x v="272"/>
    <x v="417"/>
    <x v="16"/>
    <n v="18"/>
    <x v="0"/>
    <n v="143.82"/>
    <x v="357"/>
    <x v="4"/>
    <x v="0"/>
    <n v="6"/>
    <b v="1"/>
    <n v="804"/>
    <n v="49"/>
    <x v="0"/>
    <x v="2"/>
    <x v="2"/>
    <n v="32"/>
    <n v="4.0999999999999996"/>
    <b v="0"/>
    <x v="0"/>
    <n v="4164"/>
    <x v="0"/>
    <x v="0"/>
    <x v="2"/>
  </r>
  <r>
    <n v="5627"/>
    <x v="273"/>
    <x v="418"/>
    <x v="21"/>
    <n v="10"/>
    <x v="1"/>
    <n v="119.9"/>
    <x v="358"/>
    <x v="2"/>
    <x v="4"/>
    <n v="2"/>
    <b v="1"/>
    <n v="207"/>
    <n v="140"/>
    <x v="0"/>
    <x v="3"/>
    <x v="0"/>
    <n v="44"/>
    <n v="4.8"/>
    <b v="1"/>
    <x v="0"/>
    <n v="3349"/>
    <x v="3"/>
    <x v="3"/>
    <x v="1"/>
  </r>
  <r>
    <n v="4763"/>
    <x v="110"/>
    <x v="419"/>
    <x v="21"/>
    <n v="9"/>
    <x v="2"/>
    <n v="143.91"/>
    <x v="223"/>
    <x v="0"/>
    <x v="1"/>
    <n v="1"/>
    <b v="0"/>
    <n v="118"/>
    <n v="104"/>
    <x v="4"/>
    <x v="1"/>
    <x v="2"/>
    <n v="8"/>
    <n v="3.5"/>
    <b v="0"/>
    <x v="0"/>
    <n v="2830"/>
    <x v="1"/>
    <x v="3"/>
    <x v="1"/>
  </r>
  <r>
    <n v="4577"/>
    <x v="65"/>
    <x v="340"/>
    <x v="11"/>
    <n v="5"/>
    <x v="1"/>
    <n v="59.95"/>
    <x v="359"/>
    <x v="5"/>
    <x v="1"/>
    <n v="6"/>
    <b v="0"/>
    <n v="983"/>
    <n v="8"/>
    <x v="2"/>
    <x v="2"/>
    <x v="4"/>
    <n v="75"/>
    <n v="4.3"/>
    <b v="1"/>
    <x v="0"/>
    <n v="2409"/>
    <x v="4"/>
    <x v="4"/>
    <x v="3"/>
  </r>
  <r>
    <n v="5216"/>
    <x v="165"/>
    <x v="420"/>
    <x v="18"/>
    <n v="1"/>
    <x v="2"/>
    <n v="15.99"/>
    <x v="354"/>
    <x v="5"/>
    <x v="0"/>
    <n v="2"/>
    <b v="0"/>
    <n v="523"/>
    <n v="159"/>
    <x v="0"/>
    <x v="1"/>
    <x v="0"/>
    <n v="11"/>
    <n v="4.8"/>
    <b v="1"/>
    <x v="0"/>
    <n v="2872"/>
    <x v="3"/>
    <x v="1"/>
    <x v="0"/>
  </r>
  <r>
    <n v="3941"/>
    <x v="274"/>
    <x v="282"/>
    <x v="26"/>
    <n v="2"/>
    <x v="1"/>
    <n v="23.98"/>
    <x v="151"/>
    <x v="6"/>
    <x v="3"/>
    <n v="2"/>
    <b v="0"/>
    <n v="786"/>
    <n v="94"/>
    <x v="2"/>
    <x v="3"/>
    <x v="2"/>
    <n v="18"/>
    <n v="4.5999999999999996"/>
    <b v="1"/>
    <x v="0"/>
    <n v="1364"/>
    <x v="3"/>
    <x v="1"/>
    <x v="1"/>
  </r>
  <r>
    <n v="4396"/>
    <x v="89"/>
    <x v="421"/>
    <x v="6"/>
    <n v="23"/>
    <x v="2"/>
    <n v="367.77"/>
    <x v="241"/>
    <x v="1"/>
    <x v="2"/>
    <n v="3"/>
    <b v="0"/>
    <n v="781"/>
    <n v="97"/>
    <x v="1"/>
    <x v="2"/>
    <x v="4"/>
    <n v="46"/>
    <n v="3.3"/>
    <b v="1"/>
    <x v="0"/>
    <n v="473"/>
    <x v="2"/>
    <x v="2"/>
    <x v="1"/>
  </r>
  <r>
    <n v="4865"/>
    <x v="17"/>
    <x v="422"/>
    <x v="14"/>
    <n v="11"/>
    <x v="0"/>
    <n v="87.89"/>
    <x v="301"/>
    <x v="2"/>
    <x v="1"/>
    <n v="5"/>
    <b v="1"/>
    <n v="434"/>
    <n v="104"/>
    <x v="6"/>
    <x v="0"/>
    <x v="0"/>
    <n v="36"/>
    <n v="4.5"/>
    <b v="1"/>
    <x v="0"/>
    <n v="4883"/>
    <x v="0"/>
    <x v="4"/>
    <x v="2"/>
  </r>
  <r>
    <n v="2497"/>
    <x v="173"/>
    <x v="242"/>
    <x v="10"/>
    <n v="16"/>
    <x v="0"/>
    <n v="127.84"/>
    <x v="360"/>
    <x v="3"/>
    <x v="1"/>
    <n v="4"/>
    <b v="0"/>
    <n v="824"/>
    <n v="125"/>
    <x v="2"/>
    <x v="2"/>
    <x v="0"/>
    <n v="56"/>
    <n v="4.5"/>
    <b v="1"/>
    <x v="0"/>
    <n v="99"/>
    <x v="2"/>
    <x v="2"/>
    <x v="1"/>
  </r>
  <r>
    <n v="4945"/>
    <x v="136"/>
    <x v="352"/>
    <x v="7"/>
    <n v="6"/>
    <x v="1"/>
    <n v="71.94"/>
    <x v="361"/>
    <x v="6"/>
    <x v="1"/>
    <n v="1"/>
    <b v="1"/>
    <n v="230"/>
    <n v="21"/>
    <x v="1"/>
    <x v="0"/>
    <x v="3"/>
    <n v="83"/>
    <n v="4.0999999999999996"/>
    <b v="0"/>
    <x v="0"/>
    <n v="2284"/>
    <x v="0"/>
    <x v="3"/>
    <x v="3"/>
  </r>
  <r>
    <n v="5227"/>
    <x v="275"/>
    <x v="423"/>
    <x v="27"/>
    <n v="9"/>
    <x v="0"/>
    <n v="71.91"/>
    <x v="226"/>
    <x v="1"/>
    <x v="0"/>
    <n v="6"/>
    <b v="1"/>
    <n v="358"/>
    <n v="147"/>
    <x v="0"/>
    <x v="3"/>
    <x v="0"/>
    <n v="44"/>
    <n v="3.9"/>
    <b v="1"/>
    <x v="0"/>
    <n v="3505"/>
    <x v="4"/>
    <x v="1"/>
    <x v="2"/>
  </r>
  <r>
    <n v="2150"/>
    <x v="135"/>
    <x v="424"/>
    <x v="28"/>
    <n v="7"/>
    <x v="1"/>
    <n v="83.93"/>
    <x v="353"/>
    <x v="4"/>
    <x v="2"/>
    <n v="1"/>
    <b v="0"/>
    <n v="380"/>
    <n v="9"/>
    <x v="0"/>
    <x v="3"/>
    <x v="2"/>
    <n v="49"/>
    <n v="3.2"/>
    <b v="0"/>
    <x v="0"/>
    <n v="412"/>
    <x v="0"/>
    <x v="4"/>
    <x v="1"/>
  </r>
  <r>
    <n v="7145"/>
    <x v="276"/>
    <x v="237"/>
    <x v="7"/>
    <n v="0"/>
    <x v="0"/>
    <n v="0"/>
    <x v="36"/>
    <x v="1"/>
    <x v="2"/>
    <n v="1"/>
    <b v="0"/>
    <n v="647"/>
    <n v="165"/>
    <x v="0"/>
    <x v="0"/>
    <x v="3"/>
    <n v="88"/>
    <n v="4"/>
    <b v="0"/>
    <x v="0"/>
    <n v="4867"/>
    <x v="4"/>
    <x v="3"/>
    <x v="0"/>
  </r>
  <r>
    <n v="2040"/>
    <x v="277"/>
    <x v="425"/>
    <x v="10"/>
    <n v="1"/>
    <x v="0"/>
    <n v="7.99"/>
    <x v="199"/>
    <x v="4"/>
    <x v="1"/>
    <n v="3"/>
    <b v="1"/>
    <n v="518"/>
    <n v="157"/>
    <x v="4"/>
    <x v="3"/>
    <x v="4"/>
    <n v="4"/>
    <n v="3.7"/>
    <b v="1"/>
    <x v="0"/>
    <n v="2560"/>
    <x v="3"/>
    <x v="2"/>
    <x v="0"/>
  </r>
  <r>
    <n v="4191"/>
    <x v="112"/>
    <x v="155"/>
    <x v="25"/>
    <n v="19"/>
    <x v="0"/>
    <n v="151.81"/>
    <x v="362"/>
    <x v="4"/>
    <x v="2"/>
    <n v="4"/>
    <b v="0"/>
    <n v="33"/>
    <n v="120"/>
    <x v="5"/>
    <x v="3"/>
    <x v="0"/>
    <n v="77"/>
    <n v="3.9"/>
    <b v="1"/>
    <x v="0"/>
    <n v="4269"/>
    <x v="4"/>
    <x v="0"/>
    <x v="1"/>
  </r>
  <r>
    <n v="4336"/>
    <x v="13"/>
    <x v="2"/>
    <x v="11"/>
    <n v="16"/>
    <x v="2"/>
    <n v="255.84"/>
    <x v="41"/>
    <x v="3"/>
    <x v="4"/>
    <n v="2"/>
    <b v="0"/>
    <n v="660"/>
    <n v="151"/>
    <x v="2"/>
    <x v="3"/>
    <x v="0"/>
    <n v="43"/>
    <n v="3.4"/>
    <b v="1"/>
    <x v="0"/>
    <n v="1317"/>
    <x v="0"/>
    <x v="2"/>
    <x v="0"/>
  </r>
  <r>
    <n v="5438"/>
    <x v="188"/>
    <x v="426"/>
    <x v="10"/>
    <n v="13"/>
    <x v="1"/>
    <n v="155.87"/>
    <x v="130"/>
    <x v="1"/>
    <x v="1"/>
    <n v="6"/>
    <b v="1"/>
    <n v="517"/>
    <n v="200"/>
    <x v="6"/>
    <x v="1"/>
    <x v="0"/>
    <n v="41"/>
    <n v="4.8"/>
    <b v="0"/>
    <x v="0"/>
    <n v="2936"/>
    <x v="2"/>
    <x v="3"/>
    <x v="0"/>
  </r>
  <r>
    <n v="9857"/>
    <x v="97"/>
    <x v="427"/>
    <x v="3"/>
    <n v="14"/>
    <x v="0"/>
    <n v="111.86"/>
    <x v="214"/>
    <x v="0"/>
    <x v="2"/>
    <n v="5"/>
    <b v="0"/>
    <n v="882"/>
    <n v="23"/>
    <x v="5"/>
    <x v="3"/>
    <x v="5"/>
    <n v="79"/>
    <n v="5"/>
    <b v="1"/>
    <x v="0"/>
    <n v="905"/>
    <x v="2"/>
    <x v="3"/>
    <x v="2"/>
  </r>
  <r>
    <n v="4767"/>
    <x v="17"/>
    <x v="56"/>
    <x v="24"/>
    <n v="11"/>
    <x v="2"/>
    <n v="175.89000000000001"/>
    <x v="352"/>
    <x v="3"/>
    <x v="1"/>
    <n v="3"/>
    <b v="1"/>
    <n v="349"/>
    <n v="50"/>
    <x v="4"/>
    <x v="3"/>
    <x v="5"/>
    <n v="21"/>
    <n v="5"/>
    <b v="1"/>
    <x v="0"/>
    <n v="4513"/>
    <x v="0"/>
    <x v="1"/>
    <x v="0"/>
  </r>
  <r>
    <n v="9374"/>
    <x v="84"/>
    <x v="107"/>
    <x v="15"/>
    <n v="0"/>
    <x v="2"/>
    <n v="0"/>
    <x v="305"/>
    <x v="0"/>
    <x v="4"/>
    <n v="6"/>
    <b v="0"/>
    <n v="619"/>
    <n v="172"/>
    <x v="0"/>
    <x v="1"/>
    <x v="4"/>
    <n v="37"/>
    <n v="4.2"/>
    <b v="1"/>
    <x v="0"/>
    <n v="1153"/>
    <x v="4"/>
    <x v="3"/>
    <x v="1"/>
  </r>
  <r>
    <n v="3918"/>
    <x v="13"/>
    <x v="154"/>
    <x v="14"/>
    <n v="13"/>
    <x v="0"/>
    <n v="103.87"/>
    <x v="189"/>
    <x v="0"/>
    <x v="4"/>
    <n v="5"/>
    <b v="0"/>
    <n v="416"/>
    <n v="146"/>
    <x v="2"/>
    <x v="1"/>
    <x v="2"/>
    <n v="41"/>
    <n v="3.5"/>
    <b v="1"/>
    <x v="0"/>
    <n v="1506"/>
    <x v="2"/>
    <x v="0"/>
    <x v="1"/>
  </r>
  <r>
    <n v="9866"/>
    <x v="37"/>
    <x v="384"/>
    <x v="6"/>
    <n v="5"/>
    <x v="1"/>
    <n v="59.95"/>
    <x v="330"/>
    <x v="1"/>
    <x v="1"/>
    <n v="1"/>
    <b v="0"/>
    <n v="466"/>
    <n v="174"/>
    <x v="0"/>
    <x v="2"/>
    <x v="4"/>
    <n v="51"/>
    <n v="4"/>
    <b v="1"/>
    <x v="0"/>
    <n v="3817"/>
    <x v="0"/>
    <x v="0"/>
    <x v="1"/>
  </r>
  <r>
    <n v="6389"/>
    <x v="242"/>
    <x v="428"/>
    <x v="13"/>
    <n v="23"/>
    <x v="1"/>
    <n v="275.77"/>
    <x v="221"/>
    <x v="3"/>
    <x v="2"/>
    <n v="3"/>
    <b v="0"/>
    <n v="701"/>
    <n v="4"/>
    <x v="1"/>
    <x v="0"/>
    <x v="0"/>
    <n v="64"/>
    <n v="3.5"/>
    <b v="0"/>
    <x v="0"/>
    <n v="4662"/>
    <x v="3"/>
    <x v="0"/>
    <x v="3"/>
  </r>
  <r>
    <n v="8733"/>
    <x v="127"/>
    <x v="347"/>
    <x v="17"/>
    <n v="6"/>
    <x v="2"/>
    <n v="95.94"/>
    <x v="13"/>
    <x v="4"/>
    <x v="4"/>
    <n v="4"/>
    <b v="1"/>
    <n v="742"/>
    <n v="140"/>
    <x v="4"/>
    <x v="1"/>
    <x v="4"/>
    <n v="37"/>
    <n v="4.0999999999999996"/>
    <b v="1"/>
    <x v="0"/>
    <n v="3708"/>
    <x v="2"/>
    <x v="0"/>
    <x v="3"/>
  </r>
  <r>
    <n v="8105"/>
    <x v="5"/>
    <x v="429"/>
    <x v="29"/>
    <n v="14"/>
    <x v="2"/>
    <n v="223.86"/>
    <x v="250"/>
    <x v="1"/>
    <x v="4"/>
    <n v="5"/>
    <b v="1"/>
    <n v="228"/>
    <n v="42"/>
    <x v="3"/>
    <x v="2"/>
    <x v="0"/>
    <n v="21"/>
    <n v="4"/>
    <b v="1"/>
    <x v="0"/>
    <n v="1256"/>
    <x v="0"/>
    <x v="0"/>
    <x v="0"/>
  </r>
  <r>
    <n v="3443"/>
    <x v="65"/>
    <x v="430"/>
    <x v="21"/>
    <n v="9"/>
    <x v="2"/>
    <n v="143.91"/>
    <x v="363"/>
    <x v="3"/>
    <x v="4"/>
    <n v="2"/>
    <b v="0"/>
    <n v="18"/>
    <n v="34"/>
    <x v="4"/>
    <x v="3"/>
    <x v="5"/>
    <n v="100"/>
    <n v="4.0999999999999996"/>
    <b v="1"/>
    <x v="0"/>
    <n v="1792"/>
    <x v="0"/>
    <x v="2"/>
    <x v="3"/>
  </r>
  <r>
    <n v="2664"/>
    <x v="17"/>
    <x v="226"/>
    <x v="12"/>
    <n v="13"/>
    <x v="0"/>
    <n v="103.87"/>
    <x v="263"/>
    <x v="5"/>
    <x v="2"/>
    <n v="3"/>
    <b v="1"/>
    <n v="826"/>
    <n v="79"/>
    <x v="5"/>
    <x v="2"/>
    <x v="1"/>
    <n v="34"/>
    <n v="3.5"/>
    <b v="0"/>
    <x v="0"/>
    <n v="402"/>
    <x v="1"/>
    <x v="2"/>
    <x v="1"/>
  </r>
  <r>
    <n v="1782"/>
    <x v="278"/>
    <x v="431"/>
    <x v="26"/>
    <n v="18"/>
    <x v="2"/>
    <n v="287.82"/>
    <x v="180"/>
    <x v="6"/>
    <x v="1"/>
    <n v="4"/>
    <b v="1"/>
    <n v="357"/>
    <n v="44"/>
    <x v="3"/>
    <x v="1"/>
    <x v="3"/>
    <n v="67"/>
    <n v="4.0999999999999996"/>
    <b v="0"/>
    <x v="0"/>
    <n v="1271"/>
    <x v="1"/>
    <x v="3"/>
    <x v="1"/>
  </r>
  <r>
    <n v="1337"/>
    <x v="279"/>
    <x v="338"/>
    <x v="17"/>
    <n v="19"/>
    <x v="0"/>
    <n v="151.81"/>
    <x v="264"/>
    <x v="6"/>
    <x v="2"/>
    <n v="1"/>
    <b v="0"/>
    <n v="474"/>
    <n v="2"/>
    <x v="5"/>
    <x v="0"/>
    <x v="1"/>
    <n v="31"/>
    <n v="3.5"/>
    <b v="0"/>
    <x v="0"/>
    <n v="4537"/>
    <x v="2"/>
    <x v="2"/>
    <x v="3"/>
  </r>
  <r>
    <n v="5901"/>
    <x v="2"/>
    <x v="432"/>
    <x v="13"/>
    <n v="20"/>
    <x v="0"/>
    <n v="159.80000000000001"/>
    <x v="289"/>
    <x v="4"/>
    <x v="3"/>
    <n v="5"/>
    <b v="1"/>
    <n v="946"/>
    <n v="166"/>
    <x v="6"/>
    <x v="3"/>
    <x v="0"/>
    <n v="96"/>
    <n v="4.5999999999999996"/>
    <b v="0"/>
    <x v="0"/>
    <n v="4815"/>
    <x v="4"/>
    <x v="4"/>
    <x v="1"/>
  </r>
  <r>
    <n v="2731"/>
    <x v="280"/>
    <x v="433"/>
    <x v="0"/>
    <n v="6"/>
    <x v="2"/>
    <n v="95.94"/>
    <x v="364"/>
    <x v="6"/>
    <x v="3"/>
    <n v="5"/>
    <b v="1"/>
    <n v="890"/>
    <n v="187"/>
    <x v="2"/>
    <x v="0"/>
    <x v="5"/>
    <n v="98"/>
    <n v="3"/>
    <b v="1"/>
    <x v="0"/>
    <n v="3510"/>
    <x v="3"/>
    <x v="3"/>
    <x v="2"/>
  </r>
  <r>
    <n v="8307"/>
    <x v="96"/>
    <x v="207"/>
    <x v="27"/>
    <n v="11"/>
    <x v="0"/>
    <n v="87.89"/>
    <x v="365"/>
    <x v="4"/>
    <x v="3"/>
    <n v="3"/>
    <b v="1"/>
    <n v="583"/>
    <n v="131"/>
    <x v="1"/>
    <x v="1"/>
    <x v="2"/>
    <n v="0"/>
    <n v="4"/>
    <b v="0"/>
    <x v="0"/>
    <n v="4789"/>
    <x v="4"/>
    <x v="0"/>
    <x v="2"/>
  </r>
  <r>
    <n v="8019"/>
    <x v="281"/>
    <x v="65"/>
    <x v="4"/>
    <n v="21"/>
    <x v="1"/>
    <n v="251.79"/>
    <x v="247"/>
    <x v="5"/>
    <x v="4"/>
    <n v="1"/>
    <b v="0"/>
    <n v="304"/>
    <n v="25"/>
    <x v="1"/>
    <x v="0"/>
    <x v="1"/>
    <n v="66"/>
    <n v="4.5999999999999996"/>
    <b v="0"/>
    <x v="0"/>
    <n v="863"/>
    <x v="2"/>
    <x v="2"/>
    <x v="1"/>
  </r>
  <r>
    <n v="4847"/>
    <x v="91"/>
    <x v="129"/>
    <x v="10"/>
    <n v="0"/>
    <x v="2"/>
    <n v="0"/>
    <x v="288"/>
    <x v="4"/>
    <x v="1"/>
    <n v="6"/>
    <b v="0"/>
    <n v="205"/>
    <n v="92"/>
    <x v="3"/>
    <x v="0"/>
    <x v="4"/>
    <n v="67"/>
    <n v="3.5"/>
    <b v="0"/>
    <x v="0"/>
    <n v="1584"/>
    <x v="4"/>
    <x v="4"/>
    <x v="0"/>
  </r>
  <r>
    <n v="9822"/>
    <x v="78"/>
    <x v="395"/>
    <x v="0"/>
    <n v="17"/>
    <x v="0"/>
    <n v="135.83000000000001"/>
    <x v="236"/>
    <x v="5"/>
    <x v="4"/>
    <n v="1"/>
    <b v="1"/>
    <n v="348"/>
    <n v="13"/>
    <x v="3"/>
    <x v="3"/>
    <x v="1"/>
    <n v="34"/>
    <n v="4.7"/>
    <b v="0"/>
    <x v="0"/>
    <n v="3178"/>
    <x v="2"/>
    <x v="4"/>
    <x v="3"/>
  </r>
  <r>
    <n v="9141"/>
    <x v="282"/>
    <x v="434"/>
    <x v="9"/>
    <n v="12"/>
    <x v="0"/>
    <n v="95.88"/>
    <x v="123"/>
    <x v="1"/>
    <x v="1"/>
    <n v="5"/>
    <b v="0"/>
    <n v="107"/>
    <n v="87"/>
    <x v="1"/>
    <x v="3"/>
    <x v="5"/>
    <n v="17"/>
    <n v="3.4"/>
    <b v="0"/>
    <x v="0"/>
    <n v="4108"/>
    <x v="1"/>
    <x v="2"/>
    <x v="0"/>
  </r>
  <r>
    <n v="7539"/>
    <x v="273"/>
    <x v="46"/>
    <x v="23"/>
    <n v="15"/>
    <x v="0"/>
    <n v="119.85000000000001"/>
    <x v="366"/>
    <x v="4"/>
    <x v="1"/>
    <n v="6"/>
    <b v="1"/>
    <n v="959"/>
    <n v="71"/>
    <x v="5"/>
    <x v="3"/>
    <x v="5"/>
    <n v="82"/>
    <n v="3.3"/>
    <b v="1"/>
    <x v="0"/>
    <n v="2562"/>
    <x v="4"/>
    <x v="1"/>
    <x v="3"/>
  </r>
  <r>
    <n v="1390"/>
    <x v="283"/>
    <x v="240"/>
    <x v="26"/>
    <n v="4"/>
    <x v="1"/>
    <n v="47.96"/>
    <x v="158"/>
    <x v="4"/>
    <x v="4"/>
    <n v="1"/>
    <b v="0"/>
    <n v="439"/>
    <n v="88"/>
    <x v="6"/>
    <x v="1"/>
    <x v="4"/>
    <n v="3"/>
    <n v="3.3"/>
    <b v="1"/>
    <x v="0"/>
    <n v="3499"/>
    <x v="2"/>
    <x v="1"/>
    <x v="3"/>
  </r>
  <r>
    <n v="9505"/>
    <x v="122"/>
    <x v="415"/>
    <x v="22"/>
    <n v="5"/>
    <x v="2"/>
    <n v="79.95"/>
    <x v="42"/>
    <x v="5"/>
    <x v="4"/>
    <n v="6"/>
    <b v="0"/>
    <n v="757"/>
    <n v="13"/>
    <x v="6"/>
    <x v="1"/>
    <x v="0"/>
    <n v="67"/>
    <n v="4.3"/>
    <b v="1"/>
    <x v="0"/>
    <n v="3645"/>
    <x v="4"/>
    <x v="0"/>
    <x v="3"/>
  </r>
  <r>
    <n v="6741"/>
    <x v="106"/>
    <x v="89"/>
    <x v="8"/>
    <n v="12"/>
    <x v="0"/>
    <n v="95.88"/>
    <x v="185"/>
    <x v="2"/>
    <x v="3"/>
    <n v="2"/>
    <b v="1"/>
    <n v="647"/>
    <n v="2"/>
    <x v="1"/>
    <x v="3"/>
    <x v="5"/>
    <n v="9"/>
    <n v="3.5"/>
    <b v="0"/>
    <x v="0"/>
    <n v="2989"/>
    <x v="0"/>
    <x v="4"/>
    <x v="3"/>
  </r>
  <r>
    <n v="1790"/>
    <x v="284"/>
    <x v="435"/>
    <x v="15"/>
    <n v="8"/>
    <x v="1"/>
    <n v="95.92"/>
    <x v="300"/>
    <x v="2"/>
    <x v="2"/>
    <n v="2"/>
    <b v="0"/>
    <n v="535"/>
    <n v="200"/>
    <x v="5"/>
    <x v="1"/>
    <x v="0"/>
    <n v="60"/>
    <n v="4.9000000000000004"/>
    <b v="1"/>
    <x v="0"/>
    <n v="55"/>
    <x v="4"/>
    <x v="2"/>
    <x v="0"/>
  </r>
  <r>
    <n v="6491"/>
    <x v="285"/>
    <x v="335"/>
    <x v="14"/>
    <n v="22"/>
    <x v="0"/>
    <n v="175.78"/>
    <x v="246"/>
    <x v="0"/>
    <x v="3"/>
    <n v="4"/>
    <b v="1"/>
    <n v="340"/>
    <n v="53"/>
    <x v="5"/>
    <x v="2"/>
    <x v="4"/>
    <n v="31"/>
    <n v="4.4000000000000004"/>
    <b v="0"/>
    <x v="0"/>
    <n v="1850"/>
    <x v="1"/>
    <x v="4"/>
    <x v="0"/>
  </r>
  <r>
    <n v="3102"/>
    <x v="107"/>
    <x v="436"/>
    <x v="12"/>
    <n v="2"/>
    <x v="0"/>
    <n v="15.98"/>
    <x v="259"/>
    <x v="1"/>
    <x v="1"/>
    <n v="2"/>
    <b v="0"/>
    <n v="670"/>
    <n v="147"/>
    <x v="0"/>
    <x v="1"/>
    <x v="0"/>
    <n v="42"/>
    <n v="4.3"/>
    <b v="1"/>
    <x v="0"/>
    <n v="4672"/>
    <x v="0"/>
    <x v="2"/>
    <x v="1"/>
  </r>
  <r>
    <n v="1300"/>
    <x v="286"/>
    <x v="437"/>
    <x v="17"/>
    <n v="17"/>
    <x v="1"/>
    <n v="203.83"/>
    <x v="367"/>
    <x v="6"/>
    <x v="0"/>
    <n v="6"/>
    <b v="1"/>
    <n v="780"/>
    <n v="128"/>
    <x v="6"/>
    <x v="1"/>
    <x v="4"/>
    <n v="12"/>
    <n v="4.5999999999999996"/>
    <b v="1"/>
    <x v="0"/>
    <n v="2615"/>
    <x v="1"/>
    <x v="0"/>
    <x v="2"/>
  </r>
  <r>
    <n v="5410"/>
    <x v="287"/>
    <x v="165"/>
    <x v="15"/>
    <n v="16"/>
    <x v="2"/>
    <n v="255.84"/>
    <x v="31"/>
    <x v="4"/>
    <x v="1"/>
    <n v="5"/>
    <b v="0"/>
    <n v="615"/>
    <n v="132"/>
    <x v="4"/>
    <x v="3"/>
    <x v="2"/>
    <n v="88"/>
    <n v="3.9"/>
    <b v="0"/>
    <x v="0"/>
    <n v="4927"/>
    <x v="3"/>
    <x v="3"/>
    <x v="2"/>
  </r>
  <r>
    <n v="2714"/>
    <x v="288"/>
    <x v="438"/>
    <x v="14"/>
    <n v="0"/>
    <x v="1"/>
    <n v="0"/>
    <x v="121"/>
    <x v="2"/>
    <x v="4"/>
    <n v="6"/>
    <b v="1"/>
    <n v="277"/>
    <n v="25"/>
    <x v="5"/>
    <x v="2"/>
    <x v="5"/>
    <n v="41"/>
    <n v="4.8"/>
    <b v="0"/>
    <x v="0"/>
    <n v="3069"/>
    <x v="4"/>
    <x v="0"/>
    <x v="3"/>
  </r>
  <r>
    <n v="4700"/>
    <x v="59"/>
    <x v="160"/>
    <x v="22"/>
    <n v="0"/>
    <x v="0"/>
    <n v="0"/>
    <x v="368"/>
    <x v="0"/>
    <x v="4"/>
    <n v="4"/>
    <b v="1"/>
    <n v="546"/>
    <n v="88"/>
    <x v="2"/>
    <x v="3"/>
    <x v="5"/>
    <n v="36"/>
    <n v="3.5"/>
    <b v="0"/>
    <x v="0"/>
    <n v="1906"/>
    <x v="3"/>
    <x v="4"/>
    <x v="3"/>
  </r>
  <r>
    <n v="7589"/>
    <x v="119"/>
    <x v="439"/>
    <x v="3"/>
    <n v="15"/>
    <x v="2"/>
    <n v="239.85"/>
    <x v="179"/>
    <x v="4"/>
    <x v="2"/>
    <n v="5"/>
    <b v="0"/>
    <n v="514"/>
    <n v="102"/>
    <x v="5"/>
    <x v="0"/>
    <x v="1"/>
    <n v="3"/>
    <n v="4.8"/>
    <b v="0"/>
    <x v="0"/>
    <n v="105"/>
    <x v="0"/>
    <x v="3"/>
    <x v="3"/>
  </r>
  <r>
    <n v="6866"/>
    <x v="71"/>
    <x v="15"/>
    <x v="24"/>
    <n v="6"/>
    <x v="1"/>
    <n v="71.94"/>
    <x v="292"/>
    <x v="4"/>
    <x v="1"/>
    <n v="3"/>
    <b v="1"/>
    <n v="952"/>
    <n v="48"/>
    <x v="0"/>
    <x v="2"/>
    <x v="4"/>
    <n v="54"/>
    <n v="4.5999999999999996"/>
    <b v="1"/>
    <x v="0"/>
    <n v="4"/>
    <x v="1"/>
    <x v="4"/>
    <x v="1"/>
  </r>
  <r>
    <n v="6960"/>
    <x v="289"/>
    <x v="196"/>
    <x v="29"/>
    <n v="12"/>
    <x v="2"/>
    <n v="191.88"/>
    <x v="224"/>
    <x v="3"/>
    <x v="3"/>
    <n v="6"/>
    <b v="1"/>
    <n v="780"/>
    <n v="16"/>
    <x v="6"/>
    <x v="0"/>
    <x v="5"/>
    <n v="1"/>
    <n v="3.3"/>
    <b v="1"/>
    <x v="0"/>
    <n v="1651"/>
    <x v="2"/>
    <x v="4"/>
    <x v="1"/>
  </r>
  <r>
    <n v="5808"/>
    <x v="216"/>
    <x v="360"/>
    <x v="4"/>
    <n v="7"/>
    <x v="2"/>
    <n v="111.93"/>
    <x v="14"/>
    <x v="0"/>
    <x v="4"/>
    <n v="5"/>
    <b v="0"/>
    <n v="976"/>
    <n v="105"/>
    <x v="0"/>
    <x v="3"/>
    <x v="2"/>
    <n v="50"/>
    <n v="4.7"/>
    <b v="1"/>
    <x v="0"/>
    <n v="1828"/>
    <x v="4"/>
    <x v="3"/>
    <x v="1"/>
  </r>
  <r>
    <n v="5525"/>
    <x v="84"/>
    <x v="440"/>
    <x v="27"/>
    <n v="14"/>
    <x v="2"/>
    <n v="223.86"/>
    <x v="118"/>
    <x v="0"/>
    <x v="3"/>
    <n v="2"/>
    <b v="0"/>
    <n v="91"/>
    <n v="137"/>
    <x v="5"/>
    <x v="3"/>
    <x v="1"/>
    <n v="37"/>
    <n v="3.4"/>
    <b v="1"/>
    <x v="0"/>
    <n v="396"/>
    <x v="2"/>
    <x v="0"/>
    <x v="0"/>
  </r>
  <r>
    <n v="1272"/>
    <x v="114"/>
    <x v="166"/>
    <x v="8"/>
    <n v="4"/>
    <x v="2"/>
    <n v="63.96"/>
    <x v="151"/>
    <x v="5"/>
    <x v="3"/>
    <n v="1"/>
    <b v="0"/>
    <n v="683"/>
    <n v="108"/>
    <x v="2"/>
    <x v="3"/>
    <x v="2"/>
    <n v="10"/>
    <n v="4.2"/>
    <b v="0"/>
    <x v="0"/>
    <n v="809"/>
    <x v="0"/>
    <x v="4"/>
    <x v="1"/>
  </r>
  <r>
    <n v="8063"/>
    <x v="133"/>
    <x v="437"/>
    <x v="20"/>
    <n v="17"/>
    <x v="0"/>
    <n v="135.83000000000001"/>
    <x v="139"/>
    <x v="5"/>
    <x v="1"/>
    <n v="6"/>
    <b v="0"/>
    <n v="53"/>
    <n v="153"/>
    <x v="1"/>
    <x v="0"/>
    <x v="3"/>
    <n v="2"/>
    <n v="3.1"/>
    <b v="1"/>
    <x v="0"/>
    <n v="1431"/>
    <x v="3"/>
    <x v="4"/>
    <x v="1"/>
  </r>
  <r>
    <n v="1856"/>
    <x v="290"/>
    <x v="429"/>
    <x v="11"/>
    <n v="14"/>
    <x v="2"/>
    <n v="223.86"/>
    <x v="369"/>
    <x v="4"/>
    <x v="0"/>
    <n v="2"/>
    <b v="1"/>
    <n v="246"/>
    <n v="182"/>
    <x v="5"/>
    <x v="1"/>
    <x v="3"/>
    <n v="89"/>
    <n v="3.1"/>
    <b v="0"/>
    <x v="0"/>
    <n v="2394"/>
    <x v="4"/>
    <x v="2"/>
    <x v="3"/>
  </r>
  <r>
    <n v="2830"/>
    <x v="260"/>
    <x v="124"/>
    <x v="23"/>
    <n v="19"/>
    <x v="1"/>
    <n v="227.81"/>
    <x v="370"/>
    <x v="5"/>
    <x v="1"/>
    <n v="1"/>
    <b v="1"/>
    <n v="389"/>
    <n v="137"/>
    <x v="3"/>
    <x v="3"/>
    <x v="5"/>
    <n v="2"/>
    <n v="4.8"/>
    <b v="1"/>
    <x v="0"/>
    <n v="4685"/>
    <x v="1"/>
    <x v="4"/>
    <x v="2"/>
  </r>
  <r>
    <n v="3287"/>
    <x v="227"/>
    <x v="422"/>
    <x v="18"/>
    <n v="11"/>
    <x v="2"/>
    <n v="175.89000000000001"/>
    <x v="371"/>
    <x v="4"/>
    <x v="0"/>
    <n v="2"/>
    <b v="0"/>
    <n v="399"/>
    <n v="9"/>
    <x v="6"/>
    <x v="0"/>
    <x v="2"/>
    <n v="73"/>
    <n v="4.4000000000000004"/>
    <b v="1"/>
    <x v="0"/>
    <n v="4332"/>
    <x v="0"/>
    <x v="4"/>
    <x v="3"/>
  </r>
  <r>
    <n v="5679"/>
    <x v="200"/>
    <x v="342"/>
    <x v="27"/>
    <n v="13"/>
    <x v="2"/>
    <n v="207.87"/>
    <x v="240"/>
    <x v="0"/>
    <x v="4"/>
    <n v="2"/>
    <b v="0"/>
    <n v="694"/>
    <n v="199"/>
    <x v="2"/>
    <x v="3"/>
    <x v="2"/>
    <n v="81"/>
    <n v="5"/>
    <b v="0"/>
    <x v="0"/>
    <n v="851"/>
    <x v="3"/>
    <x v="3"/>
    <x v="3"/>
  </r>
  <r>
    <n v="6399"/>
    <x v="47"/>
    <x v="203"/>
    <x v="21"/>
    <n v="23"/>
    <x v="1"/>
    <n v="275.77"/>
    <x v="322"/>
    <x v="3"/>
    <x v="0"/>
    <n v="2"/>
    <b v="0"/>
    <n v="434"/>
    <n v="11"/>
    <x v="0"/>
    <x v="2"/>
    <x v="5"/>
    <n v="80"/>
    <n v="4.5999999999999996"/>
    <b v="0"/>
    <x v="0"/>
    <n v="2261"/>
    <x v="3"/>
    <x v="2"/>
    <x v="3"/>
  </r>
  <r>
    <n v="8753"/>
    <x v="105"/>
    <x v="441"/>
    <x v="10"/>
    <n v="9"/>
    <x v="1"/>
    <n v="107.91"/>
    <x v="286"/>
    <x v="0"/>
    <x v="2"/>
    <n v="3"/>
    <b v="0"/>
    <n v="696"/>
    <n v="28"/>
    <x v="5"/>
    <x v="1"/>
    <x v="5"/>
    <n v="79"/>
    <n v="4.8"/>
    <b v="0"/>
    <x v="0"/>
    <n v="1500"/>
    <x v="0"/>
    <x v="4"/>
    <x v="0"/>
  </r>
  <r>
    <n v="9267"/>
    <x v="122"/>
    <x v="442"/>
    <x v="24"/>
    <n v="6"/>
    <x v="2"/>
    <n v="95.94"/>
    <x v="156"/>
    <x v="6"/>
    <x v="0"/>
    <n v="5"/>
    <b v="1"/>
    <n v="862"/>
    <n v="129"/>
    <x v="3"/>
    <x v="1"/>
    <x v="2"/>
    <n v="6"/>
    <n v="3.7"/>
    <b v="1"/>
    <x v="0"/>
    <n v="2130"/>
    <x v="4"/>
    <x v="1"/>
    <x v="1"/>
  </r>
  <r>
    <n v="9846"/>
    <x v="31"/>
    <x v="443"/>
    <x v="0"/>
    <n v="22"/>
    <x v="0"/>
    <n v="175.78"/>
    <x v="352"/>
    <x v="1"/>
    <x v="4"/>
    <n v="5"/>
    <b v="0"/>
    <n v="631"/>
    <n v="56"/>
    <x v="6"/>
    <x v="0"/>
    <x v="3"/>
    <n v="35"/>
    <n v="4.0999999999999996"/>
    <b v="0"/>
    <x v="0"/>
    <n v="4308"/>
    <x v="1"/>
    <x v="0"/>
    <x v="0"/>
  </r>
  <r>
    <n v="2382"/>
    <x v="263"/>
    <x v="444"/>
    <x v="28"/>
    <n v="5"/>
    <x v="2"/>
    <n v="79.95"/>
    <x v="372"/>
    <x v="2"/>
    <x v="1"/>
    <n v="3"/>
    <b v="0"/>
    <n v="144"/>
    <n v="142"/>
    <x v="3"/>
    <x v="3"/>
    <x v="0"/>
    <n v="81"/>
    <n v="4.7"/>
    <b v="1"/>
    <x v="0"/>
    <n v="421"/>
    <x v="3"/>
    <x v="1"/>
    <x v="3"/>
  </r>
  <r>
    <n v="3593"/>
    <x v="147"/>
    <x v="445"/>
    <x v="24"/>
    <n v="14"/>
    <x v="0"/>
    <n v="111.86"/>
    <x v="31"/>
    <x v="3"/>
    <x v="0"/>
    <n v="1"/>
    <b v="1"/>
    <n v="466"/>
    <n v="198"/>
    <x v="3"/>
    <x v="3"/>
    <x v="0"/>
    <n v="3"/>
    <n v="4.5"/>
    <b v="0"/>
    <x v="0"/>
    <n v="2163"/>
    <x v="3"/>
    <x v="0"/>
    <x v="0"/>
  </r>
  <r>
    <n v="4097"/>
    <x v="119"/>
    <x v="244"/>
    <x v="17"/>
    <n v="19"/>
    <x v="0"/>
    <n v="151.81"/>
    <x v="373"/>
    <x v="4"/>
    <x v="0"/>
    <n v="1"/>
    <b v="0"/>
    <n v="759"/>
    <n v="56"/>
    <x v="4"/>
    <x v="0"/>
    <x v="0"/>
    <n v="30"/>
    <n v="4"/>
    <b v="0"/>
    <x v="0"/>
    <n v="3354"/>
    <x v="4"/>
    <x v="2"/>
    <x v="0"/>
  </r>
  <r>
    <n v="2886"/>
    <x v="20"/>
    <x v="60"/>
    <x v="29"/>
    <n v="17"/>
    <x v="2"/>
    <n v="271.83"/>
    <x v="332"/>
    <x v="5"/>
    <x v="3"/>
    <n v="1"/>
    <b v="0"/>
    <n v="811"/>
    <n v="109"/>
    <x v="5"/>
    <x v="3"/>
    <x v="1"/>
    <n v="14"/>
    <n v="3.1"/>
    <b v="0"/>
    <x v="0"/>
    <n v="3702"/>
    <x v="3"/>
    <x v="4"/>
    <x v="2"/>
  </r>
  <r>
    <n v="3255"/>
    <x v="247"/>
    <x v="446"/>
    <x v="12"/>
    <n v="10"/>
    <x v="0"/>
    <n v="79.900000000000006"/>
    <x v="57"/>
    <x v="4"/>
    <x v="1"/>
    <n v="3"/>
    <b v="1"/>
    <n v="936"/>
    <n v="120"/>
    <x v="6"/>
    <x v="1"/>
    <x v="3"/>
    <n v="49"/>
    <n v="3.2"/>
    <b v="1"/>
    <x v="0"/>
    <n v="3758"/>
    <x v="4"/>
    <x v="0"/>
    <x v="3"/>
  </r>
  <r>
    <n v="6752"/>
    <x v="68"/>
    <x v="388"/>
    <x v="28"/>
    <n v="7"/>
    <x v="1"/>
    <n v="83.93"/>
    <x v="94"/>
    <x v="3"/>
    <x v="2"/>
    <n v="4"/>
    <b v="0"/>
    <n v="146"/>
    <n v="95"/>
    <x v="4"/>
    <x v="2"/>
    <x v="3"/>
    <n v="99"/>
    <n v="3.8"/>
    <b v="1"/>
    <x v="0"/>
    <n v="3942"/>
    <x v="4"/>
    <x v="0"/>
    <x v="3"/>
  </r>
  <r>
    <n v="7945"/>
    <x v="290"/>
    <x v="90"/>
    <x v="26"/>
    <n v="19"/>
    <x v="1"/>
    <n v="227.81"/>
    <x v="218"/>
    <x v="4"/>
    <x v="2"/>
    <n v="2"/>
    <b v="1"/>
    <n v="631"/>
    <n v="85"/>
    <x v="4"/>
    <x v="1"/>
    <x v="3"/>
    <n v="53"/>
    <n v="3.3"/>
    <b v="1"/>
    <x v="0"/>
    <n v="2242"/>
    <x v="1"/>
    <x v="4"/>
    <x v="3"/>
  </r>
  <r>
    <n v="6658"/>
    <x v="47"/>
    <x v="447"/>
    <x v="21"/>
    <n v="8"/>
    <x v="0"/>
    <n v="63.92"/>
    <x v="77"/>
    <x v="2"/>
    <x v="3"/>
    <n v="6"/>
    <b v="0"/>
    <n v="682"/>
    <n v="141"/>
    <x v="0"/>
    <x v="1"/>
    <x v="0"/>
    <n v="42"/>
    <n v="3.6"/>
    <b v="1"/>
    <x v="0"/>
    <n v="2561"/>
    <x v="1"/>
    <x v="3"/>
    <x v="0"/>
  </r>
  <r>
    <n v="5468"/>
    <x v="291"/>
    <x v="448"/>
    <x v="8"/>
    <n v="7"/>
    <x v="1"/>
    <n v="83.93"/>
    <x v="330"/>
    <x v="6"/>
    <x v="4"/>
    <n v="6"/>
    <b v="1"/>
    <n v="135"/>
    <n v="9"/>
    <x v="0"/>
    <x v="0"/>
    <x v="0"/>
    <n v="41"/>
    <n v="3"/>
    <b v="1"/>
    <x v="0"/>
    <n v="2465"/>
    <x v="4"/>
    <x v="0"/>
    <x v="0"/>
  </r>
  <r>
    <n v="7451"/>
    <x v="95"/>
    <x v="449"/>
    <x v="28"/>
    <n v="4"/>
    <x v="2"/>
    <n v="63.96"/>
    <x v="339"/>
    <x v="2"/>
    <x v="3"/>
    <n v="5"/>
    <b v="1"/>
    <n v="255"/>
    <n v="183"/>
    <x v="1"/>
    <x v="1"/>
    <x v="5"/>
    <n v="92"/>
    <n v="4.9000000000000004"/>
    <b v="0"/>
    <x v="0"/>
    <n v="4435"/>
    <x v="4"/>
    <x v="2"/>
    <x v="2"/>
  </r>
  <r>
    <n v="1253"/>
    <x v="47"/>
    <x v="450"/>
    <x v="21"/>
    <n v="4"/>
    <x v="1"/>
    <n v="47.96"/>
    <x v="133"/>
    <x v="4"/>
    <x v="1"/>
    <n v="1"/>
    <b v="1"/>
    <n v="702"/>
    <n v="58"/>
    <x v="6"/>
    <x v="0"/>
    <x v="5"/>
    <n v="13"/>
    <n v="3.2"/>
    <b v="0"/>
    <x v="0"/>
    <n v="4116"/>
    <x v="0"/>
    <x v="3"/>
    <x v="3"/>
  </r>
  <r>
    <n v="6746"/>
    <x v="252"/>
    <x v="411"/>
    <x v="14"/>
    <n v="0"/>
    <x v="0"/>
    <n v="0"/>
    <x v="1"/>
    <x v="5"/>
    <x v="2"/>
    <n v="5"/>
    <b v="0"/>
    <n v="151"/>
    <n v="109"/>
    <x v="2"/>
    <x v="3"/>
    <x v="4"/>
    <n v="27"/>
    <n v="3.3"/>
    <b v="0"/>
    <x v="0"/>
    <n v="944"/>
    <x v="2"/>
    <x v="0"/>
    <x v="3"/>
  </r>
  <r>
    <n v="8089"/>
    <x v="88"/>
    <x v="451"/>
    <x v="12"/>
    <n v="5"/>
    <x v="0"/>
    <n v="39.950000000000003"/>
    <x v="301"/>
    <x v="0"/>
    <x v="2"/>
    <n v="2"/>
    <b v="1"/>
    <n v="421"/>
    <n v="138"/>
    <x v="3"/>
    <x v="1"/>
    <x v="3"/>
    <n v="14"/>
    <n v="4.0999999999999996"/>
    <b v="0"/>
    <x v="0"/>
    <n v="4219"/>
    <x v="2"/>
    <x v="0"/>
    <x v="2"/>
  </r>
  <r>
    <n v="8045"/>
    <x v="133"/>
    <x v="144"/>
    <x v="3"/>
    <n v="12"/>
    <x v="0"/>
    <n v="95.88"/>
    <x v="374"/>
    <x v="6"/>
    <x v="3"/>
    <n v="5"/>
    <b v="1"/>
    <n v="354"/>
    <n v="129"/>
    <x v="6"/>
    <x v="3"/>
    <x v="5"/>
    <n v="14"/>
    <n v="3.9"/>
    <b v="0"/>
    <x v="0"/>
    <n v="4311"/>
    <x v="1"/>
    <x v="3"/>
    <x v="0"/>
  </r>
  <r>
    <n v="9417"/>
    <x v="30"/>
    <x v="117"/>
    <x v="14"/>
    <n v="1"/>
    <x v="1"/>
    <n v="11.99"/>
    <x v="30"/>
    <x v="0"/>
    <x v="4"/>
    <n v="4"/>
    <b v="0"/>
    <n v="377"/>
    <n v="135"/>
    <x v="2"/>
    <x v="2"/>
    <x v="3"/>
    <n v="90"/>
    <n v="4.0999999999999996"/>
    <b v="1"/>
    <x v="0"/>
    <n v="1972"/>
    <x v="2"/>
    <x v="1"/>
    <x v="1"/>
  </r>
  <r>
    <n v="3217"/>
    <x v="38"/>
    <x v="313"/>
    <x v="17"/>
    <n v="7"/>
    <x v="2"/>
    <n v="111.93"/>
    <x v="366"/>
    <x v="5"/>
    <x v="3"/>
    <n v="3"/>
    <b v="0"/>
    <n v="796"/>
    <n v="200"/>
    <x v="6"/>
    <x v="3"/>
    <x v="5"/>
    <n v="36"/>
    <n v="3.1"/>
    <b v="1"/>
    <x v="0"/>
    <n v="2132"/>
    <x v="0"/>
    <x v="4"/>
    <x v="1"/>
  </r>
  <r>
    <n v="4234"/>
    <x v="47"/>
    <x v="378"/>
    <x v="4"/>
    <n v="22"/>
    <x v="2"/>
    <n v="351.78000000000003"/>
    <x v="200"/>
    <x v="3"/>
    <x v="3"/>
    <n v="1"/>
    <b v="1"/>
    <n v="841"/>
    <n v="179"/>
    <x v="4"/>
    <x v="0"/>
    <x v="1"/>
    <n v="59"/>
    <n v="3.5"/>
    <b v="1"/>
    <x v="0"/>
    <n v="2370"/>
    <x v="2"/>
    <x v="4"/>
    <x v="3"/>
  </r>
  <r>
    <n v="1118"/>
    <x v="92"/>
    <x v="164"/>
    <x v="11"/>
    <n v="10"/>
    <x v="2"/>
    <n v="159.9"/>
    <x v="311"/>
    <x v="0"/>
    <x v="2"/>
    <n v="1"/>
    <b v="1"/>
    <n v="885"/>
    <n v="110"/>
    <x v="2"/>
    <x v="1"/>
    <x v="3"/>
    <n v="43"/>
    <n v="4.2"/>
    <b v="1"/>
    <x v="0"/>
    <n v="1312"/>
    <x v="2"/>
    <x v="4"/>
    <x v="1"/>
  </r>
  <r>
    <n v="4027"/>
    <x v="290"/>
    <x v="275"/>
    <x v="24"/>
    <n v="7"/>
    <x v="2"/>
    <n v="111.93"/>
    <x v="342"/>
    <x v="4"/>
    <x v="2"/>
    <n v="3"/>
    <b v="0"/>
    <n v="999"/>
    <n v="190"/>
    <x v="6"/>
    <x v="0"/>
    <x v="3"/>
    <n v="57"/>
    <n v="3.1"/>
    <b v="1"/>
    <x v="0"/>
    <n v="4920"/>
    <x v="4"/>
    <x v="0"/>
    <x v="3"/>
  </r>
  <r>
    <n v="8451"/>
    <x v="292"/>
    <x v="401"/>
    <x v="16"/>
    <n v="20"/>
    <x v="1"/>
    <n v="239.8"/>
    <x v="90"/>
    <x v="0"/>
    <x v="0"/>
    <n v="3"/>
    <b v="0"/>
    <n v="585"/>
    <n v="82"/>
    <x v="5"/>
    <x v="3"/>
    <x v="0"/>
    <n v="59"/>
    <n v="4.0999999999999996"/>
    <b v="1"/>
    <x v="0"/>
    <n v="2897"/>
    <x v="2"/>
    <x v="3"/>
    <x v="2"/>
  </r>
  <r>
    <n v="6647"/>
    <x v="13"/>
    <x v="452"/>
    <x v="26"/>
    <n v="1"/>
    <x v="2"/>
    <n v="15.99"/>
    <x v="108"/>
    <x v="1"/>
    <x v="3"/>
    <n v="2"/>
    <b v="0"/>
    <n v="617"/>
    <n v="89"/>
    <x v="1"/>
    <x v="0"/>
    <x v="1"/>
    <n v="64"/>
    <n v="3.2"/>
    <b v="1"/>
    <x v="0"/>
    <n v="1275"/>
    <x v="0"/>
    <x v="3"/>
    <x v="3"/>
  </r>
  <r>
    <n v="4002"/>
    <x v="199"/>
    <x v="453"/>
    <x v="11"/>
    <n v="8"/>
    <x v="1"/>
    <n v="95.92"/>
    <x v="99"/>
    <x v="4"/>
    <x v="2"/>
    <n v="6"/>
    <b v="0"/>
    <n v="196"/>
    <n v="132"/>
    <x v="6"/>
    <x v="3"/>
    <x v="3"/>
    <n v="84"/>
    <n v="3.7"/>
    <b v="1"/>
    <x v="0"/>
    <n v="340"/>
    <x v="4"/>
    <x v="2"/>
    <x v="1"/>
  </r>
  <r>
    <n v="6910"/>
    <x v="153"/>
    <x v="397"/>
    <x v="12"/>
    <n v="20"/>
    <x v="0"/>
    <n v="159.80000000000001"/>
    <x v="348"/>
    <x v="4"/>
    <x v="4"/>
    <n v="5"/>
    <b v="0"/>
    <n v="792"/>
    <n v="187"/>
    <x v="6"/>
    <x v="3"/>
    <x v="4"/>
    <n v="5"/>
    <n v="4.5999999999999996"/>
    <b v="1"/>
    <x v="0"/>
    <n v="444"/>
    <x v="2"/>
    <x v="1"/>
    <x v="3"/>
  </r>
  <r>
    <n v="3164"/>
    <x v="141"/>
    <x v="23"/>
    <x v="0"/>
    <n v="14"/>
    <x v="2"/>
    <n v="223.86"/>
    <x v="164"/>
    <x v="5"/>
    <x v="1"/>
    <n v="5"/>
    <b v="1"/>
    <n v="466"/>
    <n v="176"/>
    <x v="1"/>
    <x v="3"/>
    <x v="0"/>
    <n v="73"/>
    <n v="4.9000000000000004"/>
    <b v="0"/>
    <x v="0"/>
    <n v="292"/>
    <x v="1"/>
    <x v="1"/>
    <x v="2"/>
  </r>
  <r>
    <n v="2400"/>
    <x v="37"/>
    <x v="328"/>
    <x v="20"/>
    <n v="13"/>
    <x v="2"/>
    <n v="207.87"/>
    <x v="375"/>
    <x v="4"/>
    <x v="2"/>
    <n v="5"/>
    <b v="1"/>
    <n v="684"/>
    <n v="32"/>
    <x v="2"/>
    <x v="0"/>
    <x v="5"/>
    <n v="68"/>
    <n v="4"/>
    <b v="0"/>
    <x v="0"/>
    <n v="53"/>
    <x v="3"/>
    <x v="1"/>
    <x v="0"/>
  </r>
  <r>
    <n v="5499"/>
    <x v="183"/>
    <x v="60"/>
    <x v="3"/>
    <n v="17"/>
    <x v="2"/>
    <n v="271.83"/>
    <x v="329"/>
    <x v="4"/>
    <x v="2"/>
    <n v="1"/>
    <b v="1"/>
    <n v="155"/>
    <n v="94"/>
    <x v="2"/>
    <x v="1"/>
    <x v="1"/>
    <n v="96"/>
    <n v="3.5"/>
    <b v="0"/>
    <x v="0"/>
    <n v="1638"/>
    <x v="1"/>
    <x v="0"/>
    <x v="1"/>
  </r>
  <r>
    <n v="7221"/>
    <x v="165"/>
    <x v="63"/>
    <x v="9"/>
    <n v="8"/>
    <x v="2"/>
    <n v="127.92"/>
    <x v="376"/>
    <x v="2"/>
    <x v="2"/>
    <n v="5"/>
    <b v="1"/>
    <n v="450"/>
    <n v="147"/>
    <x v="4"/>
    <x v="1"/>
    <x v="0"/>
    <n v="11"/>
    <n v="4.4000000000000004"/>
    <b v="1"/>
    <x v="0"/>
    <n v="3542"/>
    <x v="4"/>
    <x v="1"/>
    <x v="0"/>
  </r>
  <r>
    <n v="4556"/>
    <x v="26"/>
    <x v="361"/>
    <x v="26"/>
    <n v="21"/>
    <x v="1"/>
    <n v="251.79"/>
    <x v="84"/>
    <x v="6"/>
    <x v="4"/>
    <n v="1"/>
    <b v="1"/>
    <n v="744"/>
    <n v="146"/>
    <x v="4"/>
    <x v="0"/>
    <x v="4"/>
    <n v="75"/>
    <n v="4.4000000000000004"/>
    <b v="0"/>
    <x v="0"/>
    <n v="4935"/>
    <x v="2"/>
    <x v="0"/>
    <x v="2"/>
  </r>
  <r>
    <n v="7175"/>
    <x v="232"/>
    <x v="454"/>
    <x v="1"/>
    <n v="1"/>
    <x v="1"/>
    <n v="11.99"/>
    <x v="114"/>
    <x v="6"/>
    <x v="0"/>
    <n v="6"/>
    <b v="0"/>
    <n v="51"/>
    <n v="27"/>
    <x v="1"/>
    <x v="1"/>
    <x v="1"/>
    <n v="66"/>
    <n v="3.2"/>
    <b v="1"/>
    <x v="0"/>
    <n v="1216"/>
    <x v="3"/>
    <x v="4"/>
    <x v="3"/>
  </r>
  <r>
    <n v="7072"/>
    <x v="265"/>
    <x v="148"/>
    <x v="4"/>
    <n v="21"/>
    <x v="2"/>
    <n v="335.79"/>
    <x v="109"/>
    <x v="2"/>
    <x v="1"/>
    <n v="4"/>
    <b v="1"/>
    <n v="897"/>
    <n v="19"/>
    <x v="5"/>
    <x v="0"/>
    <x v="4"/>
    <n v="14"/>
    <n v="3.5"/>
    <b v="1"/>
    <x v="0"/>
    <n v="4409"/>
    <x v="1"/>
    <x v="1"/>
    <x v="0"/>
  </r>
  <r>
    <n v="4320"/>
    <x v="134"/>
    <x v="359"/>
    <x v="6"/>
    <n v="11"/>
    <x v="2"/>
    <n v="175.89000000000001"/>
    <x v="360"/>
    <x v="0"/>
    <x v="3"/>
    <n v="3"/>
    <b v="1"/>
    <n v="499"/>
    <n v="124"/>
    <x v="1"/>
    <x v="0"/>
    <x v="1"/>
    <n v="78"/>
    <n v="4.7"/>
    <b v="1"/>
    <x v="0"/>
    <n v="2853"/>
    <x v="3"/>
    <x v="3"/>
    <x v="2"/>
  </r>
  <r>
    <n v="3558"/>
    <x v="293"/>
    <x v="359"/>
    <x v="17"/>
    <n v="11"/>
    <x v="2"/>
    <n v="175.89000000000001"/>
    <x v="348"/>
    <x v="2"/>
    <x v="3"/>
    <n v="4"/>
    <b v="0"/>
    <n v="179"/>
    <n v="29"/>
    <x v="1"/>
    <x v="2"/>
    <x v="2"/>
    <n v="84"/>
    <n v="4.5"/>
    <b v="0"/>
    <x v="0"/>
    <n v="1252"/>
    <x v="2"/>
    <x v="0"/>
    <x v="1"/>
  </r>
  <r>
    <n v="8581"/>
    <x v="69"/>
    <x v="455"/>
    <x v="8"/>
    <n v="11"/>
    <x v="1"/>
    <n v="131.89000000000001"/>
    <x v="377"/>
    <x v="6"/>
    <x v="3"/>
    <n v="1"/>
    <b v="1"/>
    <n v="889"/>
    <n v="145"/>
    <x v="0"/>
    <x v="0"/>
    <x v="0"/>
    <n v="60"/>
    <n v="4.5"/>
    <b v="1"/>
    <x v="0"/>
    <n v="3027"/>
    <x v="2"/>
    <x v="4"/>
    <x v="0"/>
  </r>
  <r>
    <n v="5827"/>
    <x v="84"/>
    <x v="456"/>
    <x v="3"/>
    <n v="20"/>
    <x v="2"/>
    <n v="319.8"/>
    <x v="250"/>
    <x v="5"/>
    <x v="4"/>
    <n v="2"/>
    <b v="0"/>
    <n v="191"/>
    <n v="25"/>
    <x v="2"/>
    <x v="2"/>
    <x v="1"/>
    <n v="44"/>
    <n v="4.5"/>
    <b v="1"/>
    <x v="0"/>
    <n v="1228"/>
    <x v="3"/>
    <x v="3"/>
    <x v="1"/>
  </r>
  <r>
    <n v="6929"/>
    <x v="23"/>
    <x v="248"/>
    <x v="21"/>
    <n v="1"/>
    <x v="1"/>
    <n v="11.99"/>
    <x v="49"/>
    <x v="0"/>
    <x v="3"/>
    <n v="5"/>
    <b v="1"/>
    <n v="42"/>
    <n v="196"/>
    <x v="3"/>
    <x v="2"/>
    <x v="0"/>
    <n v="74"/>
    <n v="4.5999999999999996"/>
    <b v="0"/>
    <x v="0"/>
    <n v="3616"/>
    <x v="1"/>
    <x v="2"/>
    <x v="1"/>
  </r>
  <r>
    <n v="9179"/>
    <x v="294"/>
    <x v="375"/>
    <x v="12"/>
    <n v="0"/>
    <x v="2"/>
    <n v="0"/>
    <x v="378"/>
    <x v="4"/>
    <x v="4"/>
    <n v="5"/>
    <b v="1"/>
    <n v="53"/>
    <n v="77"/>
    <x v="4"/>
    <x v="0"/>
    <x v="0"/>
    <n v="54"/>
    <n v="3.1"/>
    <b v="1"/>
    <x v="0"/>
    <n v="3913"/>
    <x v="3"/>
    <x v="0"/>
    <x v="2"/>
  </r>
  <r>
    <n v="7580"/>
    <x v="5"/>
    <x v="116"/>
    <x v="18"/>
    <n v="21"/>
    <x v="0"/>
    <n v="167.79"/>
    <x v="379"/>
    <x v="4"/>
    <x v="3"/>
    <n v="6"/>
    <b v="0"/>
    <n v="535"/>
    <n v="43"/>
    <x v="2"/>
    <x v="3"/>
    <x v="4"/>
    <n v="89"/>
    <n v="3.1"/>
    <b v="1"/>
    <x v="0"/>
    <n v="775"/>
    <x v="1"/>
    <x v="2"/>
    <x v="1"/>
  </r>
  <r>
    <n v="3858"/>
    <x v="59"/>
    <x v="457"/>
    <x v="21"/>
    <n v="17"/>
    <x v="2"/>
    <n v="271.83"/>
    <x v="78"/>
    <x v="6"/>
    <x v="0"/>
    <n v="6"/>
    <b v="0"/>
    <n v="416"/>
    <n v="79"/>
    <x v="6"/>
    <x v="0"/>
    <x v="0"/>
    <n v="33"/>
    <n v="3.2"/>
    <b v="1"/>
    <x v="0"/>
    <n v="2536"/>
    <x v="1"/>
    <x v="4"/>
    <x v="1"/>
  </r>
  <r>
    <n v="8627"/>
    <x v="91"/>
    <x v="40"/>
    <x v="15"/>
    <n v="2"/>
    <x v="1"/>
    <n v="23.98"/>
    <x v="43"/>
    <x v="5"/>
    <x v="0"/>
    <n v="2"/>
    <b v="0"/>
    <n v="287"/>
    <n v="39"/>
    <x v="6"/>
    <x v="0"/>
    <x v="4"/>
    <n v="9"/>
    <n v="4.9000000000000004"/>
    <b v="0"/>
    <x v="0"/>
    <n v="2331"/>
    <x v="3"/>
    <x v="1"/>
    <x v="1"/>
  </r>
  <r>
    <n v="7552"/>
    <x v="295"/>
    <x v="451"/>
    <x v="22"/>
    <n v="5"/>
    <x v="2"/>
    <n v="79.95"/>
    <x v="380"/>
    <x v="3"/>
    <x v="4"/>
    <n v="5"/>
    <b v="0"/>
    <n v="651"/>
    <n v="60"/>
    <x v="5"/>
    <x v="3"/>
    <x v="2"/>
    <n v="86"/>
    <n v="3.1"/>
    <b v="0"/>
    <x v="0"/>
    <n v="2953"/>
    <x v="1"/>
    <x v="4"/>
    <x v="3"/>
  </r>
  <r>
    <n v="6020"/>
    <x v="293"/>
    <x v="458"/>
    <x v="18"/>
    <n v="3"/>
    <x v="1"/>
    <n v="35.97"/>
    <x v="238"/>
    <x v="4"/>
    <x v="3"/>
    <n v="2"/>
    <b v="1"/>
    <n v="821"/>
    <n v="174"/>
    <x v="6"/>
    <x v="2"/>
    <x v="1"/>
    <n v="92"/>
    <n v="3.6"/>
    <b v="1"/>
    <x v="0"/>
    <n v="868"/>
    <x v="1"/>
    <x v="3"/>
    <x v="3"/>
  </r>
  <r>
    <n v="9408"/>
    <x v="126"/>
    <x v="130"/>
    <x v="29"/>
    <n v="18"/>
    <x v="0"/>
    <n v="143.82"/>
    <x v="284"/>
    <x v="5"/>
    <x v="2"/>
    <n v="3"/>
    <b v="1"/>
    <n v="396"/>
    <n v="22"/>
    <x v="4"/>
    <x v="3"/>
    <x v="0"/>
    <n v="70"/>
    <n v="3.5"/>
    <b v="1"/>
    <x v="0"/>
    <n v="4808"/>
    <x v="4"/>
    <x v="3"/>
    <x v="0"/>
  </r>
  <r>
    <n v="9990"/>
    <x v="296"/>
    <x v="306"/>
    <x v="21"/>
    <n v="10"/>
    <x v="2"/>
    <n v="159.9"/>
    <x v="311"/>
    <x v="3"/>
    <x v="4"/>
    <n v="5"/>
    <b v="1"/>
    <n v="726"/>
    <n v="103"/>
    <x v="5"/>
    <x v="0"/>
    <x v="2"/>
    <n v="39"/>
    <n v="3.5"/>
    <b v="1"/>
    <x v="0"/>
    <n v="4177"/>
    <x v="1"/>
    <x v="2"/>
    <x v="0"/>
  </r>
  <r>
    <n v="3687"/>
    <x v="134"/>
    <x v="459"/>
    <x v="13"/>
    <n v="13"/>
    <x v="2"/>
    <n v="207.87"/>
    <x v="293"/>
    <x v="4"/>
    <x v="0"/>
    <n v="2"/>
    <b v="1"/>
    <n v="420"/>
    <n v="24"/>
    <x v="6"/>
    <x v="1"/>
    <x v="3"/>
    <n v="61"/>
    <n v="4.8"/>
    <b v="0"/>
    <x v="0"/>
    <n v="564"/>
    <x v="1"/>
    <x v="3"/>
    <x v="3"/>
  </r>
  <r>
    <n v="4540"/>
    <x v="297"/>
    <x v="460"/>
    <x v="9"/>
    <n v="14"/>
    <x v="2"/>
    <n v="223.86"/>
    <x v="276"/>
    <x v="0"/>
    <x v="0"/>
    <n v="6"/>
    <b v="1"/>
    <n v="75"/>
    <n v="177"/>
    <x v="2"/>
    <x v="0"/>
    <x v="0"/>
    <n v="73"/>
    <n v="3.9"/>
    <b v="1"/>
    <x v="0"/>
    <n v="1702"/>
    <x v="1"/>
    <x v="2"/>
    <x v="1"/>
  </r>
  <r>
    <n v="8264"/>
    <x v="154"/>
    <x v="461"/>
    <x v="7"/>
    <n v="5"/>
    <x v="2"/>
    <n v="79.95"/>
    <x v="16"/>
    <x v="4"/>
    <x v="3"/>
    <n v="6"/>
    <b v="0"/>
    <n v="683"/>
    <n v="85"/>
    <x v="5"/>
    <x v="1"/>
    <x v="2"/>
    <n v="25"/>
    <n v="4.2"/>
    <b v="1"/>
    <x v="0"/>
    <n v="249"/>
    <x v="3"/>
    <x v="1"/>
    <x v="3"/>
  </r>
  <r>
    <n v="7448"/>
    <x v="13"/>
    <x v="462"/>
    <x v="19"/>
    <n v="19"/>
    <x v="0"/>
    <n v="151.81"/>
    <x v="257"/>
    <x v="3"/>
    <x v="1"/>
    <n v="5"/>
    <b v="1"/>
    <n v="487"/>
    <n v="128"/>
    <x v="3"/>
    <x v="3"/>
    <x v="2"/>
    <n v="41"/>
    <n v="4.5"/>
    <b v="1"/>
    <x v="0"/>
    <n v="30"/>
    <x v="0"/>
    <x v="2"/>
    <x v="1"/>
  </r>
  <r>
    <n v="1123"/>
    <x v="298"/>
    <x v="463"/>
    <x v="18"/>
    <n v="0"/>
    <x v="0"/>
    <n v="0"/>
    <x v="314"/>
    <x v="0"/>
    <x v="1"/>
    <n v="1"/>
    <b v="1"/>
    <n v="968"/>
    <n v="197"/>
    <x v="3"/>
    <x v="1"/>
    <x v="0"/>
    <n v="46"/>
    <n v="4"/>
    <b v="0"/>
    <x v="0"/>
    <n v="3842"/>
    <x v="4"/>
    <x v="2"/>
    <x v="3"/>
  </r>
  <r>
    <n v="4103"/>
    <x v="105"/>
    <x v="95"/>
    <x v="9"/>
    <n v="0"/>
    <x v="1"/>
    <n v="0"/>
    <x v="311"/>
    <x v="4"/>
    <x v="2"/>
    <n v="1"/>
    <b v="1"/>
    <n v="632"/>
    <n v="82"/>
    <x v="0"/>
    <x v="2"/>
    <x v="3"/>
    <n v="29"/>
    <n v="3.2"/>
    <b v="1"/>
    <x v="0"/>
    <n v="1299"/>
    <x v="1"/>
    <x v="1"/>
    <x v="3"/>
  </r>
  <r>
    <n v="2904"/>
    <x v="207"/>
    <x v="441"/>
    <x v="15"/>
    <n v="9"/>
    <x v="0"/>
    <n v="71.91"/>
    <x v="133"/>
    <x v="6"/>
    <x v="0"/>
    <n v="1"/>
    <b v="0"/>
    <n v="188"/>
    <n v="103"/>
    <x v="5"/>
    <x v="3"/>
    <x v="4"/>
    <n v="80"/>
    <n v="4.8"/>
    <b v="0"/>
    <x v="0"/>
    <n v="2346"/>
    <x v="2"/>
    <x v="4"/>
    <x v="2"/>
  </r>
  <r>
    <n v="5634"/>
    <x v="57"/>
    <x v="52"/>
    <x v="24"/>
    <n v="7"/>
    <x v="0"/>
    <n v="55.93"/>
    <x v="298"/>
    <x v="4"/>
    <x v="0"/>
    <n v="3"/>
    <b v="0"/>
    <n v="987"/>
    <n v="166"/>
    <x v="4"/>
    <x v="0"/>
    <x v="3"/>
    <n v="24"/>
    <n v="4.7"/>
    <b v="0"/>
    <x v="0"/>
    <n v="215"/>
    <x v="1"/>
    <x v="4"/>
    <x v="1"/>
  </r>
  <r>
    <n v="5360"/>
    <x v="42"/>
    <x v="429"/>
    <x v="3"/>
    <n v="14"/>
    <x v="0"/>
    <n v="111.86"/>
    <x v="73"/>
    <x v="0"/>
    <x v="2"/>
    <n v="1"/>
    <b v="1"/>
    <n v="925"/>
    <n v="12"/>
    <x v="2"/>
    <x v="0"/>
    <x v="0"/>
    <n v="22"/>
    <n v="4.2"/>
    <b v="1"/>
    <x v="0"/>
    <n v="3062"/>
    <x v="3"/>
    <x v="0"/>
    <x v="2"/>
  </r>
  <r>
    <n v="8571"/>
    <x v="152"/>
    <x v="464"/>
    <x v="1"/>
    <n v="18"/>
    <x v="2"/>
    <n v="287.82"/>
    <x v="150"/>
    <x v="0"/>
    <x v="2"/>
    <n v="5"/>
    <b v="1"/>
    <n v="838"/>
    <n v="159"/>
    <x v="1"/>
    <x v="1"/>
    <x v="5"/>
    <n v="39"/>
    <n v="4.8"/>
    <b v="0"/>
    <x v="0"/>
    <n v="2978"/>
    <x v="4"/>
    <x v="3"/>
    <x v="2"/>
  </r>
  <r>
    <n v="9439"/>
    <x v="299"/>
    <x v="465"/>
    <x v="11"/>
    <n v="12"/>
    <x v="1"/>
    <n v="143.88"/>
    <x v="201"/>
    <x v="2"/>
    <x v="0"/>
    <n v="4"/>
    <b v="0"/>
    <n v="295"/>
    <n v="55"/>
    <x v="1"/>
    <x v="2"/>
    <x v="2"/>
    <n v="31"/>
    <n v="3.7"/>
    <b v="0"/>
    <x v="0"/>
    <n v="1984"/>
    <x v="4"/>
    <x v="1"/>
    <x v="1"/>
  </r>
  <r>
    <n v="8356"/>
    <x v="246"/>
    <x v="466"/>
    <x v="2"/>
    <n v="22"/>
    <x v="2"/>
    <n v="351.78000000000003"/>
    <x v="261"/>
    <x v="5"/>
    <x v="2"/>
    <n v="1"/>
    <b v="0"/>
    <n v="844"/>
    <n v="98"/>
    <x v="2"/>
    <x v="3"/>
    <x v="4"/>
    <n v="15"/>
    <n v="3.6"/>
    <b v="1"/>
    <x v="0"/>
    <n v="945"/>
    <x v="0"/>
    <x v="4"/>
    <x v="3"/>
  </r>
  <r>
    <n v="2039"/>
    <x v="300"/>
    <x v="421"/>
    <x v="3"/>
    <n v="23"/>
    <x v="2"/>
    <n v="367.77"/>
    <x v="281"/>
    <x v="6"/>
    <x v="0"/>
    <n v="5"/>
    <b v="0"/>
    <n v="378"/>
    <n v="123"/>
    <x v="3"/>
    <x v="2"/>
    <x v="1"/>
    <n v="3"/>
    <n v="4.2"/>
    <b v="0"/>
    <x v="0"/>
    <n v="4134"/>
    <x v="1"/>
    <x v="1"/>
    <x v="0"/>
  </r>
  <r>
    <n v="2613"/>
    <x v="301"/>
    <x v="148"/>
    <x v="17"/>
    <n v="22"/>
    <x v="0"/>
    <n v="175.78"/>
    <x v="138"/>
    <x v="3"/>
    <x v="4"/>
    <n v="5"/>
    <b v="0"/>
    <n v="439"/>
    <n v="10"/>
    <x v="2"/>
    <x v="2"/>
    <x v="5"/>
    <n v="11"/>
    <n v="3.7"/>
    <b v="0"/>
    <x v="0"/>
    <n v="3741"/>
    <x v="4"/>
    <x v="0"/>
    <x v="2"/>
  </r>
  <r>
    <n v="8226"/>
    <x v="37"/>
    <x v="407"/>
    <x v="16"/>
    <n v="6"/>
    <x v="0"/>
    <n v="47.94"/>
    <x v="381"/>
    <x v="1"/>
    <x v="3"/>
    <n v="5"/>
    <b v="0"/>
    <n v="84"/>
    <n v="52"/>
    <x v="1"/>
    <x v="1"/>
    <x v="0"/>
    <n v="91"/>
    <n v="3.1"/>
    <b v="1"/>
    <x v="0"/>
    <n v="1408"/>
    <x v="1"/>
    <x v="3"/>
    <x v="3"/>
  </r>
  <r>
    <n v="1425"/>
    <x v="302"/>
    <x v="279"/>
    <x v="9"/>
    <n v="2"/>
    <x v="0"/>
    <n v="15.98"/>
    <x v="324"/>
    <x v="0"/>
    <x v="2"/>
    <n v="3"/>
    <b v="1"/>
    <n v="502"/>
    <n v="5"/>
    <x v="3"/>
    <x v="1"/>
    <x v="0"/>
    <n v="96"/>
    <n v="4.4000000000000004"/>
    <b v="1"/>
    <x v="0"/>
    <n v="1917"/>
    <x v="4"/>
    <x v="4"/>
    <x v="3"/>
  </r>
  <r>
    <n v="4479"/>
    <x v="0"/>
    <x v="467"/>
    <x v="27"/>
    <n v="1"/>
    <x v="2"/>
    <n v="15.99"/>
    <x v="262"/>
    <x v="6"/>
    <x v="0"/>
    <n v="2"/>
    <b v="1"/>
    <n v="549"/>
    <n v="158"/>
    <x v="3"/>
    <x v="1"/>
    <x v="2"/>
    <n v="96"/>
    <n v="3.1"/>
    <b v="1"/>
    <x v="0"/>
    <n v="1986"/>
    <x v="0"/>
    <x v="1"/>
    <x v="2"/>
  </r>
  <r>
    <n v="3393"/>
    <x v="18"/>
    <x v="162"/>
    <x v="14"/>
    <n v="10"/>
    <x v="0"/>
    <n v="79.900000000000006"/>
    <x v="308"/>
    <x v="4"/>
    <x v="0"/>
    <n v="2"/>
    <b v="1"/>
    <n v="699"/>
    <n v="174"/>
    <x v="6"/>
    <x v="2"/>
    <x v="5"/>
    <n v="13"/>
    <n v="3.8"/>
    <b v="1"/>
    <x v="0"/>
    <n v="3254"/>
    <x v="0"/>
    <x v="2"/>
    <x v="3"/>
  </r>
  <r>
    <n v="8528"/>
    <x v="121"/>
    <x v="160"/>
    <x v="26"/>
    <n v="0"/>
    <x v="0"/>
    <n v="0"/>
    <x v="382"/>
    <x v="2"/>
    <x v="3"/>
    <n v="1"/>
    <b v="0"/>
    <n v="423"/>
    <n v="110"/>
    <x v="6"/>
    <x v="2"/>
    <x v="2"/>
    <n v="61"/>
    <n v="4.7"/>
    <b v="1"/>
    <x v="0"/>
    <n v="3648"/>
    <x v="0"/>
    <x v="3"/>
    <x v="2"/>
  </r>
  <r>
    <n v="9372"/>
    <x v="37"/>
    <x v="100"/>
    <x v="22"/>
    <n v="21"/>
    <x v="0"/>
    <n v="167.79"/>
    <x v="49"/>
    <x v="4"/>
    <x v="1"/>
    <n v="1"/>
    <b v="1"/>
    <n v="964"/>
    <n v="165"/>
    <x v="6"/>
    <x v="3"/>
    <x v="4"/>
    <n v="47"/>
    <n v="4.4000000000000004"/>
    <b v="0"/>
    <x v="0"/>
    <n v="3552"/>
    <x v="2"/>
    <x v="4"/>
    <x v="1"/>
  </r>
  <r>
    <n v="5469"/>
    <x v="69"/>
    <x v="312"/>
    <x v="21"/>
    <n v="9"/>
    <x v="2"/>
    <n v="143.91"/>
    <x v="383"/>
    <x v="2"/>
    <x v="2"/>
    <n v="1"/>
    <b v="0"/>
    <n v="742"/>
    <n v="150"/>
    <x v="0"/>
    <x v="2"/>
    <x v="5"/>
    <n v="57"/>
    <n v="3"/>
    <b v="0"/>
    <x v="0"/>
    <n v="150"/>
    <x v="2"/>
    <x v="2"/>
    <x v="2"/>
  </r>
  <r>
    <n v="2603"/>
    <x v="303"/>
    <x v="15"/>
    <x v="8"/>
    <n v="6"/>
    <x v="1"/>
    <n v="71.94"/>
    <x v="181"/>
    <x v="6"/>
    <x v="0"/>
    <n v="5"/>
    <b v="0"/>
    <n v="97"/>
    <n v="172"/>
    <x v="0"/>
    <x v="2"/>
    <x v="3"/>
    <n v="89"/>
    <n v="4.3"/>
    <b v="1"/>
    <x v="0"/>
    <n v="786"/>
    <x v="2"/>
    <x v="2"/>
    <x v="3"/>
  </r>
  <r>
    <n v="5306"/>
    <x v="166"/>
    <x v="339"/>
    <x v="28"/>
    <n v="14"/>
    <x v="2"/>
    <n v="223.86"/>
    <x v="53"/>
    <x v="5"/>
    <x v="3"/>
    <n v="1"/>
    <b v="1"/>
    <n v="735"/>
    <n v="74"/>
    <x v="5"/>
    <x v="2"/>
    <x v="4"/>
    <n v="90"/>
    <n v="3.8"/>
    <b v="1"/>
    <x v="0"/>
    <n v="1808"/>
    <x v="4"/>
    <x v="1"/>
    <x v="0"/>
  </r>
  <r>
    <n v="7869"/>
    <x v="121"/>
    <x v="468"/>
    <x v="15"/>
    <n v="6"/>
    <x v="2"/>
    <n v="95.94"/>
    <x v="57"/>
    <x v="1"/>
    <x v="0"/>
    <n v="6"/>
    <b v="0"/>
    <n v="709"/>
    <n v="181"/>
    <x v="5"/>
    <x v="3"/>
    <x v="3"/>
    <n v="39"/>
    <n v="3.2"/>
    <b v="1"/>
    <x v="0"/>
    <n v="3091"/>
    <x v="3"/>
    <x v="3"/>
    <x v="1"/>
  </r>
  <r>
    <n v="1699"/>
    <x v="84"/>
    <x v="387"/>
    <x v="11"/>
    <n v="14"/>
    <x v="2"/>
    <n v="223.86"/>
    <x v="384"/>
    <x v="3"/>
    <x v="4"/>
    <n v="2"/>
    <b v="0"/>
    <n v="882"/>
    <n v="1"/>
    <x v="6"/>
    <x v="2"/>
    <x v="3"/>
    <n v="100"/>
    <n v="4.7"/>
    <b v="1"/>
    <x v="0"/>
    <n v="3697"/>
    <x v="1"/>
    <x v="1"/>
    <x v="1"/>
  </r>
  <r>
    <n v="3214"/>
    <x v="23"/>
    <x v="469"/>
    <x v="20"/>
    <n v="4"/>
    <x v="2"/>
    <n v="63.96"/>
    <x v="385"/>
    <x v="0"/>
    <x v="1"/>
    <n v="2"/>
    <b v="1"/>
    <n v="131"/>
    <n v="85"/>
    <x v="5"/>
    <x v="3"/>
    <x v="5"/>
    <n v="95"/>
    <n v="4.3"/>
    <b v="1"/>
    <x v="0"/>
    <n v="4835"/>
    <x v="3"/>
    <x v="2"/>
    <x v="3"/>
  </r>
  <r>
    <n v="1050"/>
    <x v="5"/>
    <x v="275"/>
    <x v="26"/>
    <n v="7"/>
    <x v="1"/>
    <n v="83.93"/>
    <x v="381"/>
    <x v="6"/>
    <x v="4"/>
    <n v="4"/>
    <b v="0"/>
    <n v="305"/>
    <n v="112"/>
    <x v="0"/>
    <x v="0"/>
    <x v="3"/>
    <n v="57"/>
    <n v="4.5"/>
    <b v="0"/>
    <x v="0"/>
    <n v="2023"/>
    <x v="1"/>
    <x v="3"/>
    <x v="2"/>
  </r>
  <r>
    <n v="3325"/>
    <x v="19"/>
    <x v="243"/>
    <x v="10"/>
    <n v="1"/>
    <x v="2"/>
    <n v="15.99"/>
    <x v="177"/>
    <x v="1"/>
    <x v="3"/>
    <n v="3"/>
    <b v="0"/>
    <n v="456"/>
    <n v="52"/>
    <x v="5"/>
    <x v="1"/>
    <x v="5"/>
    <n v="32"/>
    <n v="4.9000000000000004"/>
    <b v="1"/>
    <x v="0"/>
    <n v="1005"/>
    <x v="4"/>
    <x v="1"/>
    <x v="1"/>
  </r>
  <r>
    <n v="1970"/>
    <x v="47"/>
    <x v="470"/>
    <x v="3"/>
    <n v="14"/>
    <x v="2"/>
    <n v="223.86"/>
    <x v="169"/>
    <x v="2"/>
    <x v="2"/>
    <n v="1"/>
    <b v="1"/>
    <n v="385"/>
    <n v="82"/>
    <x v="4"/>
    <x v="3"/>
    <x v="4"/>
    <n v="87"/>
    <n v="3.3"/>
    <b v="0"/>
    <x v="0"/>
    <n v="876"/>
    <x v="4"/>
    <x v="0"/>
    <x v="3"/>
  </r>
  <r>
    <n v="6272"/>
    <x v="252"/>
    <x v="471"/>
    <x v="13"/>
    <n v="16"/>
    <x v="1"/>
    <n v="191.84"/>
    <x v="2"/>
    <x v="0"/>
    <x v="0"/>
    <n v="6"/>
    <b v="1"/>
    <n v="213"/>
    <n v="98"/>
    <x v="1"/>
    <x v="1"/>
    <x v="2"/>
    <n v="84"/>
    <n v="4.7"/>
    <b v="0"/>
    <x v="0"/>
    <n v="2089"/>
    <x v="4"/>
    <x v="1"/>
    <x v="3"/>
  </r>
  <r>
    <n v="4745"/>
    <x v="17"/>
    <x v="19"/>
    <x v="10"/>
    <n v="16"/>
    <x v="0"/>
    <n v="127.84"/>
    <x v="327"/>
    <x v="1"/>
    <x v="3"/>
    <n v="1"/>
    <b v="1"/>
    <n v="830"/>
    <n v="178"/>
    <x v="0"/>
    <x v="3"/>
    <x v="5"/>
    <n v="37"/>
    <n v="3.7"/>
    <b v="1"/>
    <x v="0"/>
    <n v="772"/>
    <x v="0"/>
    <x v="4"/>
    <x v="1"/>
  </r>
  <r>
    <n v="8867"/>
    <x v="83"/>
    <x v="472"/>
    <x v="18"/>
    <n v="17"/>
    <x v="2"/>
    <n v="271.83"/>
    <x v="172"/>
    <x v="5"/>
    <x v="1"/>
    <n v="2"/>
    <b v="1"/>
    <n v="601"/>
    <n v="75"/>
    <x v="6"/>
    <x v="2"/>
    <x v="1"/>
    <n v="92"/>
    <n v="4.5"/>
    <b v="0"/>
    <x v="0"/>
    <n v="373"/>
    <x v="2"/>
    <x v="3"/>
    <x v="2"/>
  </r>
  <r>
    <n v="4901"/>
    <x v="85"/>
    <x v="473"/>
    <x v="13"/>
    <n v="23"/>
    <x v="0"/>
    <n v="183.77"/>
    <x v="386"/>
    <x v="3"/>
    <x v="2"/>
    <n v="3"/>
    <b v="0"/>
    <n v="843"/>
    <n v="153"/>
    <x v="6"/>
    <x v="0"/>
    <x v="2"/>
    <n v="6"/>
    <n v="3.3"/>
    <b v="1"/>
    <x v="0"/>
    <n v="3425"/>
    <x v="4"/>
    <x v="1"/>
    <x v="2"/>
  </r>
  <r>
    <n v="9575"/>
    <x v="84"/>
    <x v="153"/>
    <x v="0"/>
    <n v="21"/>
    <x v="1"/>
    <n v="251.79"/>
    <x v="76"/>
    <x v="4"/>
    <x v="2"/>
    <n v="6"/>
    <b v="0"/>
    <n v="386"/>
    <n v="192"/>
    <x v="4"/>
    <x v="0"/>
    <x v="5"/>
    <n v="95"/>
    <n v="4.5999999999999996"/>
    <b v="1"/>
    <x v="0"/>
    <n v="4422"/>
    <x v="1"/>
    <x v="4"/>
    <x v="0"/>
  </r>
  <r>
    <n v="4471"/>
    <x v="181"/>
    <x v="383"/>
    <x v="11"/>
    <n v="8"/>
    <x v="1"/>
    <n v="95.92"/>
    <x v="138"/>
    <x v="1"/>
    <x v="3"/>
    <n v="3"/>
    <b v="0"/>
    <n v="291"/>
    <n v="37"/>
    <x v="3"/>
    <x v="2"/>
    <x v="2"/>
    <n v="51"/>
    <n v="3.8"/>
    <b v="0"/>
    <x v="0"/>
    <n v="4980"/>
    <x v="4"/>
    <x v="1"/>
    <x v="2"/>
  </r>
  <r>
    <n v="1385"/>
    <x v="304"/>
    <x v="34"/>
    <x v="5"/>
    <n v="2"/>
    <x v="1"/>
    <n v="23.98"/>
    <x v="197"/>
    <x v="1"/>
    <x v="4"/>
    <n v="3"/>
    <b v="0"/>
    <n v="198"/>
    <n v="195"/>
    <x v="1"/>
    <x v="2"/>
    <x v="4"/>
    <n v="55"/>
    <n v="4.9000000000000004"/>
    <b v="1"/>
    <x v="0"/>
    <n v="1367"/>
    <x v="4"/>
    <x v="0"/>
    <x v="0"/>
  </r>
  <r>
    <n v="4302"/>
    <x v="50"/>
    <x v="474"/>
    <x v="5"/>
    <n v="21"/>
    <x v="1"/>
    <n v="251.79"/>
    <x v="45"/>
    <x v="4"/>
    <x v="0"/>
    <n v="1"/>
    <b v="0"/>
    <n v="919"/>
    <n v="175"/>
    <x v="3"/>
    <x v="1"/>
    <x v="4"/>
    <n v="22"/>
    <n v="4"/>
    <b v="1"/>
    <x v="0"/>
    <n v="2728"/>
    <x v="1"/>
    <x v="0"/>
    <x v="0"/>
  </r>
  <r>
    <n v="4738"/>
    <x v="305"/>
    <x v="475"/>
    <x v="22"/>
    <n v="12"/>
    <x v="2"/>
    <n v="191.88"/>
    <x v="380"/>
    <x v="1"/>
    <x v="3"/>
    <n v="6"/>
    <b v="1"/>
    <n v="483"/>
    <n v="5"/>
    <x v="2"/>
    <x v="1"/>
    <x v="0"/>
    <n v="56"/>
    <n v="4.7"/>
    <b v="0"/>
    <x v="0"/>
    <n v="1556"/>
    <x v="4"/>
    <x v="0"/>
    <x v="1"/>
  </r>
  <r>
    <n v="2441"/>
    <x v="121"/>
    <x v="464"/>
    <x v="2"/>
    <n v="18"/>
    <x v="1"/>
    <n v="215.82"/>
    <x v="387"/>
    <x v="2"/>
    <x v="0"/>
    <n v="2"/>
    <b v="1"/>
    <n v="645"/>
    <n v="5"/>
    <x v="4"/>
    <x v="0"/>
    <x v="2"/>
    <n v="66"/>
    <n v="3.9"/>
    <b v="0"/>
    <x v="0"/>
    <n v="4566"/>
    <x v="4"/>
    <x v="1"/>
    <x v="0"/>
  </r>
  <r>
    <n v="6546"/>
    <x v="306"/>
    <x v="211"/>
    <x v="23"/>
    <n v="11"/>
    <x v="2"/>
    <n v="175.89000000000001"/>
    <x v="41"/>
    <x v="2"/>
    <x v="1"/>
    <n v="2"/>
    <b v="1"/>
    <n v="653"/>
    <n v="53"/>
    <x v="0"/>
    <x v="0"/>
    <x v="0"/>
    <n v="43"/>
    <n v="4.0999999999999996"/>
    <b v="1"/>
    <x v="0"/>
    <n v="2969"/>
    <x v="3"/>
    <x v="0"/>
    <x v="1"/>
  </r>
  <r>
    <n v="5459"/>
    <x v="151"/>
    <x v="275"/>
    <x v="0"/>
    <n v="8"/>
    <x v="2"/>
    <n v="127.92"/>
    <x v="388"/>
    <x v="4"/>
    <x v="3"/>
    <n v="2"/>
    <b v="0"/>
    <n v="727"/>
    <n v="5"/>
    <x v="5"/>
    <x v="3"/>
    <x v="5"/>
    <n v="8"/>
    <n v="4.5999999999999996"/>
    <b v="0"/>
    <x v="0"/>
    <n v="3421"/>
    <x v="2"/>
    <x v="3"/>
    <x v="0"/>
  </r>
  <r>
    <n v="7051"/>
    <x v="0"/>
    <x v="173"/>
    <x v="17"/>
    <n v="19"/>
    <x v="0"/>
    <n v="151.81"/>
    <x v="352"/>
    <x v="1"/>
    <x v="1"/>
    <n v="1"/>
    <b v="1"/>
    <n v="257"/>
    <n v="46"/>
    <x v="5"/>
    <x v="1"/>
    <x v="5"/>
    <n v="7"/>
    <n v="4.5"/>
    <b v="1"/>
    <x v="0"/>
    <n v="2535"/>
    <x v="4"/>
    <x v="1"/>
    <x v="1"/>
  </r>
  <r>
    <n v="6671"/>
    <x v="2"/>
    <x v="476"/>
    <x v="11"/>
    <n v="9"/>
    <x v="2"/>
    <n v="143.91"/>
    <x v="15"/>
    <x v="6"/>
    <x v="4"/>
    <n v="1"/>
    <b v="0"/>
    <n v="208"/>
    <n v="39"/>
    <x v="5"/>
    <x v="0"/>
    <x v="3"/>
    <n v="53"/>
    <n v="5"/>
    <b v="1"/>
    <x v="0"/>
    <n v="290"/>
    <x v="0"/>
    <x v="0"/>
    <x v="1"/>
  </r>
  <r>
    <n v="6013"/>
    <x v="24"/>
    <x v="477"/>
    <x v="25"/>
    <n v="3"/>
    <x v="2"/>
    <n v="47.97"/>
    <x v="238"/>
    <x v="5"/>
    <x v="2"/>
    <n v="4"/>
    <b v="1"/>
    <n v="471"/>
    <n v="91"/>
    <x v="1"/>
    <x v="1"/>
    <x v="2"/>
    <n v="70"/>
    <n v="4.4000000000000004"/>
    <b v="0"/>
    <x v="0"/>
    <n v="756"/>
    <x v="4"/>
    <x v="1"/>
    <x v="3"/>
  </r>
  <r>
    <n v="9996"/>
    <x v="234"/>
    <x v="280"/>
    <x v="28"/>
    <n v="4"/>
    <x v="0"/>
    <n v="31.96"/>
    <x v="127"/>
    <x v="5"/>
    <x v="0"/>
    <n v="2"/>
    <b v="1"/>
    <n v="512"/>
    <n v="153"/>
    <x v="2"/>
    <x v="2"/>
    <x v="0"/>
    <n v="70"/>
    <n v="3.3"/>
    <b v="1"/>
    <x v="0"/>
    <n v="947"/>
    <x v="2"/>
    <x v="2"/>
    <x v="0"/>
  </r>
  <r>
    <n v="4851"/>
    <x v="63"/>
    <x v="478"/>
    <x v="17"/>
    <n v="21"/>
    <x v="2"/>
    <n v="335.79"/>
    <x v="176"/>
    <x v="1"/>
    <x v="1"/>
    <n v="2"/>
    <b v="0"/>
    <n v="355"/>
    <n v="181"/>
    <x v="0"/>
    <x v="2"/>
    <x v="0"/>
    <n v="79"/>
    <n v="3.4"/>
    <b v="1"/>
    <x v="0"/>
    <n v="2138"/>
    <x v="1"/>
    <x v="3"/>
    <x v="0"/>
  </r>
  <r>
    <n v="2498"/>
    <x v="199"/>
    <x v="57"/>
    <x v="19"/>
    <n v="13"/>
    <x v="1"/>
    <n v="155.87"/>
    <x v="81"/>
    <x v="6"/>
    <x v="1"/>
    <n v="5"/>
    <b v="0"/>
    <n v="634"/>
    <n v="168"/>
    <x v="0"/>
    <x v="3"/>
    <x v="1"/>
    <n v="76"/>
    <n v="3.3"/>
    <b v="1"/>
    <x v="0"/>
    <n v="3151"/>
    <x v="1"/>
    <x v="3"/>
    <x v="3"/>
  </r>
  <r>
    <n v="6208"/>
    <x v="102"/>
    <x v="479"/>
    <x v="6"/>
    <n v="16"/>
    <x v="0"/>
    <n v="127.84"/>
    <x v="144"/>
    <x v="4"/>
    <x v="2"/>
    <n v="3"/>
    <b v="0"/>
    <n v="942"/>
    <n v="127"/>
    <x v="5"/>
    <x v="0"/>
    <x v="4"/>
    <n v="95"/>
    <n v="4.8"/>
    <b v="1"/>
    <x v="0"/>
    <n v="670"/>
    <x v="2"/>
    <x v="3"/>
    <x v="3"/>
  </r>
  <r>
    <n v="7171"/>
    <x v="8"/>
    <x v="27"/>
    <x v="29"/>
    <n v="9"/>
    <x v="1"/>
    <n v="107.91"/>
    <x v="363"/>
    <x v="0"/>
    <x v="1"/>
    <n v="3"/>
    <b v="1"/>
    <n v="350"/>
    <n v="134"/>
    <x v="5"/>
    <x v="1"/>
    <x v="4"/>
    <n v="1"/>
    <n v="3.9"/>
    <b v="0"/>
    <x v="0"/>
    <n v="3037"/>
    <x v="0"/>
    <x v="1"/>
    <x v="3"/>
  </r>
  <r>
    <n v="7667"/>
    <x v="305"/>
    <x v="231"/>
    <x v="6"/>
    <n v="23"/>
    <x v="2"/>
    <n v="367.77"/>
    <x v="389"/>
    <x v="6"/>
    <x v="1"/>
    <n v="3"/>
    <b v="0"/>
    <n v="326"/>
    <n v="59"/>
    <x v="5"/>
    <x v="0"/>
    <x v="0"/>
    <n v="57"/>
    <n v="3.9"/>
    <b v="0"/>
    <x v="0"/>
    <n v="3712"/>
    <x v="1"/>
    <x v="0"/>
    <x v="0"/>
  </r>
  <r>
    <n v="4912"/>
    <x v="163"/>
    <x v="480"/>
    <x v="15"/>
    <n v="13"/>
    <x v="2"/>
    <n v="207.87"/>
    <x v="224"/>
    <x v="2"/>
    <x v="1"/>
    <n v="3"/>
    <b v="0"/>
    <n v="61"/>
    <n v="148"/>
    <x v="2"/>
    <x v="3"/>
    <x v="1"/>
    <n v="95"/>
    <n v="4.0999999999999996"/>
    <b v="1"/>
    <x v="0"/>
    <n v="2029"/>
    <x v="0"/>
    <x v="3"/>
    <x v="0"/>
  </r>
  <r>
    <n v="7975"/>
    <x v="307"/>
    <x v="113"/>
    <x v="7"/>
    <n v="13"/>
    <x v="2"/>
    <n v="207.87"/>
    <x v="390"/>
    <x v="4"/>
    <x v="2"/>
    <n v="2"/>
    <b v="1"/>
    <n v="328"/>
    <n v="170"/>
    <x v="6"/>
    <x v="1"/>
    <x v="4"/>
    <n v="25"/>
    <n v="3.6"/>
    <b v="0"/>
    <x v="0"/>
    <n v="2406"/>
    <x v="2"/>
    <x v="1"/>
    <x v="0"/>
  </r>
  <r>
    <n v="6804"/>
    <x v="301"/>
    <x v="481"/>
    <x v="5"/>
    <n v="21"/>
    <x v="2"/>
    <n v="335.79"/>
    <x v="152"/>
    <x v="1"/>
    <x v="2"/>
    <n v="1"/>
    <b v="0"/>
    <n v="591"/>
    <n v="166"/>
    <x v="4"/>
    <x v="0"/>
    <x v="1"/>
    <n v="26"/>
    <n v="3.5"/>
    <b v="1"/>
    <x v="0"/>
    <n v="3264"/>
    <x v="1"/>
    <x v="4"/>
    <x v="0"/>
  </r>
  <r>
    <n v="3877"/>
    <x v="306"/>
    <x v="393"/>
    <x v="24"/>
    <n v="4"/>
    <x v="1"/>
    <n v="47.96"/>
    <x v="138"/>
    <x v="0"/>
    <x v="2"/>
    <n v="5"/>
    <b v="0"/>
    <n v="527"/>
    <n v="153"/>
    <x v="4"/>
    <x v="0"/>
    <x v="1"/>
    <n v="0"/>
    <n v="4.5999999999999996"/>
    <b v="0"/>
    <x v="0"/>
    <n v="1135"/>
    <x v="4"/>
    <x v="1"/>
    <x v="0"/>
  </r>
  <r>
    <n v="8768"/>
    <x v="120"/>
    <x v="482"/>
    <x v="15"/>
    <n v="0"/>
    <x v="2"/>
    <n v="0"/>
    <x v="183"/>
    <x v="2"/>
    <x v="3"/>
    <n v="1"/>
    <b v="1"/>
    <n v="115"/>
    <n v="122"/>
    <x v="4"/>
    <x v="1"/>
    <x v="0"/>
    <n v="86"/>
    <n v="3.5"/>
    <b v="0"/>
    <x v="0"/>
    <n v="3761"/>
    <x v="4"/>
    <x v="1"/>
    <x v="1"/>
  </r>
  <r>
    <n v="1420"/>
    <x v="70"/>
    <x v="34"/>
    <x v="21"/>
    <n v="2"/>
    <x v="0"/>
    <n v="15.98"/>
    <x v="391"/>
    <x v="3"/>
    <x v="3"/>
    <n v="5"/>
    <b v="1"/>
    <n v="732"/>
    <n v="144"/>
    <x v="6"/>
    <x v="0"/>
    <x v="5"/>
    <n v="73"/>
    <n v="4.9000000000000004"/>
    <b v="0"/>
    <x v="0"/>
    <n v="3633"/>
    <x v="4"/>
    <x v="4"/>
    <x v="0"/>
  </r>
  <r>
    <n v="2306"/>
    <x v="105"/>
    <x v="483"/>
    <x v="15"/>
    <n v="18"/>
    <x v="1"/>
    <n v="215.82"/>
    <x v="121"/>
    <x v="4"/>
    <x v="4"/>
    <n v="6"/>
    <b v="1"/>
    <n v="509"/>
    <n v="12"/>
    <x v="1"/>
    <x v="2"/>
    <x v="4"/>
    <n v="43"/>
    <n v="3.1"/>
    <b v="0"/>
    <x v="0"/>
    <n v="3308"/>
    <x v="0"/>
    <x v="1"/>
    <x v="1"/>
  </r>
  <r>
    <n v="2079"/>
    <x v="176"/>
    <x v="484"/>
    <x v="3"/>
    <n v="5"/>
    <x v="1"/>
    <n v="59.95"/>
    <x v="392"/>
    <x v="4"/>
    <x v="2"/>
    <n v="2"/>
    <b v="1"/>
    <n v="655"/>
    <n v="16"/>
    <x v="0"/>
    <x v="0"/>
    <x v="4"/>
    <n v="50"/>
    <n v="3.3"/>
    <b v="1"/>
    <x v="0"/>
    <n v="1311"/>
    <x v="3"/>
    <x v="0"/>
    <x v="0"/>
  </r>
  <r>
    <n v="3554"/>
    <x v="178"/>
    <x v="391"/>
    <x v="22"/>
    <n v="9"/>
    <x v="0"/>
    <n v="71.91"/>
    <x v="206"/>
    <x v="1"/>
    <x v="4"/>
    <n v="1"/>
    <b v="0"/>
    <n v="399"/>
    <n v="45"/>
    <x v="0"/>
    <x v="1"/>
    <x v="5"/>
    <n v="52"/>
    <n v="4"/>
    <b v="0"/>
    <x v="0"/>
    <n v="4333"/>
    <x v="1"/>
    <x v="1"/>
    <x v="2"/>
  </r>
  <r>
    <n v="7616"/>
    <x v="119"/>
    <x v="149"/>
    <x v="11"/>
    <n v="18"/>
    <x v="2"/>
    <n v="287.82"/>
    <x v="55"/>
    <x v="4"/>
    <x v="0"/>
    <n v="5"/>
    <b v="0"/>
    <n v="597"/>
    <n v="118"/>
    <x v="5"/>
    <x v="1"/>
    <x v="4"/>
    <n v="60"/>
    <n v="3.1"/>
    <b v="1"/>
    <x v="0"/>
    <n v="4575"/>
    <x v="0"/>
    <x v="0"/>
    <x v="1"/>
  </r>
  <r>
    <n v="5650"/>
    <x v="199"/>
    <x v="485"/>
    <x v="23"/>
    <n v="15"/>
    <x v="2"/>
    <n v="239.85"/>
    <x v="393"/>
    <x v="4"/>
    <x v="1"/>
    <n v="1"/>
    <b v="1"/>
    <n v="358"/>
    <n v="173"/>
    <x v="1"/>
    <x v="3"/>
    <x v="0"/>
    <n v="60"/>
    <n v="4.8"/>
    <b v="0"/>
    <x v="0"/>
    <n v="2448"/>
    <x v="1"/>
    <x v="2"/>
    <x v="3"/>
  </r>
  <r>
    <n v="9385"/>
    <x v="73"/>
    <x v="486"/>
    <x v="25"/>
    <n v="3"/>
    <x v="0"/>
    <n v="23.97"/>
    <x v="105"/>
    <x v="1"/>
    <x v="0"/>
    <n v="2"/>
    <b v="0"/>
    <n v="453"/>
    <n v="172"/>
    <x v="1"/>
    <x v="0"/>
    <x v="4"/>
    <n v="1"/>
    <n v="4.4000000000000004"/>
    <b v="1"/>
    <x v="0"/>
    <n v="1072"/>
    <x v="4"/>
    <x v="4"/>
    <x v="2"/>
  </r>
  <r>
    <n v="2482"/>
    <x v="70"/>
    <x v="47"/>
    <x v="26"/>
    <n v="20"/>
    <x v="0"/>
    <n v="159.80000000000001"/>
    <x v="244"/>
    <x v="0"/>
    <x v="2"/>
    <n v="2"/>
    <b v="1"/>
    <n v="378"/>
    <n v="117"/>
    <x v="3"/>
    <x v="2"/>
    <x v="0"/>
    <n v="63"/>
    <n v="4.8"/>
    <b v="1"/>
    <x v="0"/>
    <n v="1784"/>
    <x v="1"/>
    <x v="3"/>
    <x v="1"/>
  </r>
  <r>
    <n v="9017"/>
    <x v="228"/>
    <x v="469"/>
    <x v="11"/>
    <n v="4"/>
    <x v="1"/>
    <n v="47.96"/>
    <x v="103"/>
    <x v="3"/>
    <x v="2"/>
    <n v="2"/>
    <b v="1"/>
    <n v="750"/>
    <n v="146"/>
    <x v="3"/>
    <x v="2"/>
    <x v="4"/>
    <n v="100"/>
    <n v="4.0999999999999996"/>
    <b v="1"/>
    <x v="0"/>
    <n v="3787"/>
    <x v="1"/>
    <x v="0"/>
    <x v="0"/>
  </r>
  <r>
    <n v="7001"/>
    <x v="50"/>
    <x v="250"/>
    <x v="10"/>
    <n v="15"/>
    <x v="1"/>
    <n v="179.85"/>
    <x v="383"/>
    <x v="1"/>
    <x v="4"/>
    <n v="4"/>
    <b v="0"/>
    <n v="30"/>
    <n v="20"/>
    <x v="2"/>
    <x v="3"/>
    <x v="0"/>
    <n v="98"/>
    <n v="3.9"/>
    <b v="0"/>
    <x v="0"/>
    <n v="4477"/>
    <x v="3"/>
    <x v="2"/>
    <x v="3"/>
  </r>
  <r>
    <n v="2942"/>
    <x v="308"/>
    <x v="227"/>
    <x v="10"/>
    <n v="21"/>
    <x v="1"/>
    <n v="251.79"/>
    <x v="280"/>
    <x v="2"/>
    <x v="3"/>
    <n v="5"/>
    <b v="0"/>
    <n v="127"/>
    <n v="138"/>
    <x v="2"/>
    <x v="2"/>
    <x v="2"/>
    <n v="66"/>
    <n v="4.7"/>
    <b v="1"/>
    <x v="0"/>
    <n v="711"/>
    <x v="2"/>
    <x v="0"/>
    <x v="1"/>
  </r>
  <r>
    <n v="8833"/>
    <x v="14"/>
    <x v="390"/>
    <x v="11"/>
    <n v="6"/>
    <x v="0"/>
    <n v="47.94"/>
    <x v="269"/>
    <x v="1"/>
    <x v="3"/>
    <n v="2"/>
    <b v="0"/>
    <n v="216"/>
    <n v="162"/>
    <x v="6"/>
    <x v="0"/>
    <x v="0"/>
    <n v="99"/>
    <n v="3.7"/>
    <b v="1"/>
    <x v="0"/>
    <n v="3711"/>
    <x v="2"/>
    <x v="4"/>
    <x v="0"/>
  </r>
  <r>
    <n v="8079"/>
    <x v="13"/>
    <x v="406"/>
    <x v="0"/>
    <n v="17"/>
    <x v="0"/>
    <n v="135.83000000000001"/>
    <x v="394"/>
    <x v="0"/>
    <x v="1"/>
    <n v="2"/>
    <b v="1"/>
    <n v="12"/>
    <n v="133"/>
    <x v="1"/>
    <x v="1"/>
    <x v="0"/>
    <n v="100"/>
    <n v="3.4"/>
    <b v="0"/>
    <x v="0"/>
    <n v="2534"/>
    <x v="4"/>
    <x v="0"/>
    <x v="3"/>
  </r>
  <r>
    <n v="3797"/>
    <x v="13"/>
    <x v="358"/>
    <x v="6"/>
    <n v="6"/>
    <x v="1"/>
    <n v="71.94"/>
    <x v="340"/>
    <x v="2"/>
    <x v="3"/>
    <n v="5"/>
    <b v="0"/>
    <n v="421"/>
    <n v="3"/>
    <x v="0"/>
    <x v="3"/>
    <x v="4"/>
    <n v="96"/>
    <n v="4.5"/>
    <b v="1"/>
    <x v="0"/>
    <n v="2624"/>
    <x v="1"/>
    <x v="4"/>
    <x v="1"/>
  </r>
  <r>
    <n v="7268"/>
    <x v="309"/>
    <x v="326"/>
    <x v="6"/>
    <n v="19"/>
    <x v="2"/>
    <n v="303.81"/>
    <x v="275"/>
    <x v="0"/>
    <x v="2"/>
    <n v="2"/>
    <b v="0"/>
    <n v="988"/>
    <n v="82"/>
    <x v="0"/>
    <x v="0"/>
    <x v="1"/>
    <n v="73"/>
    <n v="3"/>
    <b v="1"/>
    <x v="0"/>
    <n v="3617"/>
    <x v="2"/>
    <x v="2"/>
    <x v="2"/>
  </r>
  <r>
    <n v="9803"/>
    <x v="184"/>
    <x v="469"/>
    <x v="16"/>
    <n v="4"/>
    <x v="1"/>
    <n v="47.96"/>
    <x v="58"/>
    <x v="1"/>
    <x v="2"/>
    <n v="1"/>
    <b v="0"/>
    <n v="376"/>
    <n v="44"/>
    <x v="0"/>
    <x v="3"/>
    <x v="2"/>
    <n v="42"/>
    <n v="3.9"/>
    <b v="0"/>
    <x v="0"/>
    <n v="3078"/>
    <x v="4"/>
    <x v="1"/>
    <x v="2"/>
  </r>
  <r>
    <n v="2165"/>
    <x v="310"/>
    <x v="340"/>
    <x v="26"/>
    <n v="5"/>
    <x v="2"/>
    <n v="79.95"/>
    <x v="395"/>
    <x v="3"/>
    <x v="2"/>
    <n v="2"/>
    <b v="0"/>
    <n v="542"/>
    <n v="80"/>
    <x v="4"/>
    <x v="0"/>
    <x v="4"/>
    <n v="53"/>
    <n v="4.2"/>
    <b v="0"/>
    <x v="0"/>
    <n v="164"/>
    <x v="2"/>
    <x v="0"/>
    <x v="1"/>
  </r>
  <r>
    <n v="1528"/>
    <x v="164"/>
    <x v="487"/>
    <x v="4"/>
    <n v="22"/>
    <x v="1"/>
    <n v="263.78000000000003"/>
    <x v="287"/>
    <x v="1"/>
    <x v="0"/>
    <n v="5"/>
    <b v="1"/>
    <n v="232"/>
    <n v="196"/>
    <x v="2"/>
    <x v="1"/>
    <x v="3"/>
    <n v="48"/>
    <n v="3.2"/>
    <b v="0"/>
    <x v="0"/>
    <n v="2805"/>
    <x v="2"/>
    <x v="2"/>
    <x v="2"/>
  </r>
  <r>
    <n v="5978"/>
    <x v="179"/>
    <x v="278"/>
    <x v="28"/>
    <n v="19"/>
    <x v="1"/>
    <n v="227.81"/>
    <x v="379"/>
    <x v="1"/>
    <x v="0"/>
    <n v="4"/>
    <b v="1"/>
    <n v="505"/>
    <n v="118"/>
    <x v="2"/>
    <x v="0"/>
    <x v="4"/>
    <n v="81"/>
    <n v="3.9"/>
    <b v="0"/>
    <x v="0"/>
    <n v="3848"/>
    <x v="1"/>
    <x v="1"/>
    <x v="3"/>
  </r>
  <r>
    <n v="5967"/>
    <x v="173"/>
    <x v="130"/>
    <x v="2"/>
    <n v="19"/>
    <x v="1"/>
    <n v="227.81"/>
    <x v="292"/>
    <x v="0"/>
    <x v="2"/>
    <n v="5"/>
    <b v="0"/>
    <n v="394"/>
    <n v="35"/>
    <x v="4"/>
    <x v="3"/>
    <x v="2"/>
    <n v="93"/>
    <n v="3.7"/>
    <b v="0"/>
    <x v="0"/>
    <n v="836"/>
    <x v="1"/>
    <x v="1"/>
    <x v="0"/>
  </r>
  <r>
    <n v="4254"/>
    <x v="46"/>
    <x v="68"/>
    <x v="13"/>
    <n v="16"/>
    <x v="1"/>
    <n v="191.84"/>
    <x v="125"/>
    <x v="6"/>
    <x v="1"/>
    <n v="2"/>
    <b v="1"/>
    <n v="769"/>
    <n v="132"/>
    <x v="3"/>
    <x v="0"/>
    <x v="0"/>
    <n v="82"/>
    <n v="4.3"/>
    <b v="1"/>
    <x v="0"/>
    <n v="2761"/>
    <x v="3"/>
    <x v="2"/>
    <x v="2"/>
  </r>
  <r>
    <n v="2186"/>
    <x v="209"/>
    <x v="488"/>
    <x v="13"/>
    <n v="0"/>
    <x v="0"/>
    <n v="0"/>
    <x v="19"/>
    <x v="1"/>
    <x v="4"/>
    <n v="4"/>
    <b v="0"/>
    <n v="89"/>
    <n v="90"/>
    <x v="3"/>
    <x v="1"/>
    <x v="5"/>
    <n v="48"/>
    <n v="5"/>
    <b v="1"/>
    <x v="0"/>
    <n v="4633"/>
    <x v="4"/>
    <x v="0"/>
    <x v="0"/>
  </r>
  <r>
    <n v="7644"/>
    <x v="311"/>
    <x v="197"/>
    <x v="1"/>
    <n v="0"/>
    <x v="2"/>
    <n v="0"/>
    <x v="85"/>
    <x v="0"/>
    <x v="2"/>
    <n v="3"/>
    <b v="1"/>
    <n v="240"/>
    <n v="83"/>
    <x v="1"/>
    <x v="2"/>
    <x v="0"/>
    <n v="76"/>
    <n v="4"/>
    <b v="0"/>
    <x v="0"/>
    <n v="4260"/>
    <x v="2"/>
    <x v="2"/>
    <x v="0"/>
  </r>
  <r>
    <n v="5897"/>
    <x v="128"/>
    <x v="489"/>
    <x v="27"/>
    <n v="14"/>
    <x v="0"/>
    <n v="111.86"/>
    <x v="319"/>
    <x v="1"/>
    <x v="0"/>
    <n v="2"/>
    <b v="0"/>
    <n v="181"/>
    <n v="15"/>
    <x v="5"/>
    <x v="2"/>
    <x v="1"/>
    <n v="0"/>
    <n v="4.2"/>
    <b v="0"/>
    <x v="0"/>
    <n v="447"/>
    <x v="4"/>
    <x v="2"/>
    <x v="2"/>
  </r>
  <r>
    <n v="7465"/>
    <x v="279"/>
    <x v="490"/>
    <x v="15"/>
    <n v="0"/>
    <x v="1"/>
    <n v="0"/>
    <x v="123"/>
    <x v="0"/>
    <x v="4"/>
    <n v="3"/>
    <b v="1"/>
    <n v="284"/>
    <n v="81"/>
    <x v="4"/>
    <x v="2"/>
    <x v="3"/>
    <n v="92"/>
    <n v="3.7"/>
    <b v="1"/>
    <x v="0"/>
    <n v="1298"/>
    <x v="4"/>
    <x v="2"/>
    <x v="3"/>
  </r>
  <r>
    <n v="3724"/>
    <x v="25"/>
    <x v="491"/>
    <x v="3"/>
    <n v="5"/>
    <x v="0"/>
    <n v="39.950000000000003"/>
    <x v="1"/>
    <x v="6"/>
    <x v="0"/>
    <n v="5"/>
    <b v="0"/>
    <n v="698"/>
    <n v="77"/>
    <x v="1"/>
    <x v="0"/>
    <x v="3"/>
    <n v="32"/>
    <n v="3.7"/>
    <b v="0"/>
    <x v="0"/>
    <n v="3445"/>
    <x v="3"/>
    <x v="3"/>
    <x v="3"/>
  </r>
  <r>
    <n v="2914"/>
    <x v="260"/>
    <x v="406"/>
    <x v="2"/>
    <n v="17"/>
    <x v="2"/>
    <n v="271.83"/>
    <x v="312"/>
    <x v="5"/>
    <x v="0"/>
    <n v="1"/>
    <b v="0"/>
    <n v="734"/>
    <n v="21"/>
    <x v="1"/>
    <x v="2"/>
    <x v="0"/>
    <n v="65"/>
    <n v="4.5999999999999996"/>
    <b v="0"/>
    <x v="0"/>
    <n v="3039"/>
    <x v="2"/>
    <x v="4"/>
    <x v="0"/>
  </r>
  <r>
    <n v="4110"/>
    <x v="78"/>
    <x v="492"/>
    <x v="29"/>
    <n v="9"/>
    <x v="1"/>
    <n v="107.91"/>
    <x v="255"/>
    <x v="1"/>
    <x v="3"/>
    <n v="4"/>
    <b v="0"/>
    <n v="951"/>
    <n v="86"/>
    <x v="2"/>
    <x v="0"/>
    <x v="1"/>
    <n v="88"/>
    <n v="4.4000000000000004"/>
    <b v="0"/>
    <x v="0"/>
    <n v="3815"/>
    <x v="2"/>
    <x v="3"/>
    <x v="1"/>
  </r>
  <r>
    <n v="6944"/>
    <x v="95"/>
    <x v="493"/>
    <x v="10"/>
    <n v="6"/>
    <x v="2"/>
    <n v="95.94"/>
    <x v="304"/>
    <x v="5"/>
    <x v="0"/>
    <n v="6"/>
    <b v="0"/>
    <n v="271"/>
    <n v="5"/>
    <x v="2"/>
    <x v="2"/>
    <x v="3"/>
    <n v="41"/>
    <n v="3.5"/>
    <b v="0"/>
    <x v="0"/>
    <n v="1135"/>
    <x v="3"/>
    <x v="2"/>
    <x v="0"/>
  </r>
  <r>
    <n v="3639"/>
    <x v="312"/>
    <x v="247"/>
    <x v="7"/>
    <n v="16"/>
    <x v="1"/>
    <n v="191.84"/>
    <x v="155"/>
    <x v="4"/>
    <x v="0"/>
    <n v="1"/>
    <b v="1"/>
    <n v="851"/>
    <n v="48"/>
    <x v="0"/>
    <x v="3"/>
    <x v="5"/>
    <n v="45"/>
    <n v="4.5999999999999996"/>
    <b v="0"/>
    <x v="0"/>
    <n v="2706"/>
    <x v="4"/>
    <x v="0"/>
    <x v="1"/>
  </r>
  <r>
    <n v="8416"/>
    <x v="183"/>
    <x v="494"/>
    <x v="26"/>
    <n v="19"/>
    <x v="1"/>
    <n v="227.81"/>
    <x v="396"/>
    <x v="1"/>
    <x v="2"/>
    <n v="3"/>
    <b v="1"/>
    <n v="302"/>
    <n v="6"/>
    <x v="2"/>
    <x v="0"/>
    <x v="0"/>
    <n v="81"/>
    <n v="3.5"/>
    <b v="1"/>
    <x v="0"/>
    <n v="3828"/>
    <x v="4"/>
    <x v="2"/>
    <x v="1"/>
  </r>
  <r>
    <n v="7753"/>
    <x v="59"/>
    <x v="438"/>
    <x v="0"/>
    <n v="0"/>
    <x v="0"/>
    <n v="0"/>
    <x v="271"/>
    <x v="1"/>
    <x v="0"/>
    <n v="3"/>
    <b v="0"/>
    <n v="829"/>
    <n v="117"/>
    <x v="0"/>
    <x v="2"/>
    <x v="0"/>
    <n v="65"/>
    <n v="4.9000000000000004"/>
    <b v="1"/>
    <x v="0"/>
    <n v="4409"/>
    <x v="2"/>
    <x v="0"/>
    <x v="3"/>
  </r>
  <r>
    <n v="9528"/>
    <x v="313"/>
    <x v="474"/>
    <x v="20"/>
    <n v="21"/>
    <x v="1"/>
    <n v="251.79"/>
    <x v="95"/>
    <x v="0"/>
    <x v="3"/>
    <n v="5"/>
    <b v="0"/>
    <n v="860"/>
    <n v="148"/>
    <x v="0"/>
    <x v="1"/>
    <x v="2"/>
    <n v="3"/>
    <n v="4.3"/>
    <b v="1"/>
    <x v="0"/>
    <n v="433"/>
    <x v="4"/>
    <x v="2"/>
    <x v="3"/>
  </r>
  <r>
    <n v="2960"/>
    <x v="46"/>
    <x v="495"/>
    <x v="28"/>
    <n v="12"/>
    <x v="1"/>
    <n v="143.88"/>
    <x v="181"/>
    <x v="2"/>
    <x v="3"/>
    <n v="4"/>
    <b v="1"/>
    <n v="964"/>
    <n v="187"/>
    <x v="0"/>
    <x v="3"/>
    <x v="5"/>
    <n v="6"/>
    <n v="3.2"/>
    <b v="0"/>
    <x v="0"/>
    <n v="2554"/>
    <x v="2"/>
    <x v="0"/>
    <x v="0"/>
  </r>
  <r>
    <n v="1090"/>
    <x v="287"/>
    <x v="257"/>
    <x v="26"/>
    <n v="6"/>
    <x v="2"/>
    <n v="95.94"/>
    <x v="216"/>
    <x v="2"/>
    <x v="0"/>
    <n v="2"/>
    <b v="0"/>
    <n v="40"/>
    <n v="52"/>
    <x v="1"/>
    <x v="3"/>
    <x v="4"/>
    <n v="4"/>
    <n v="4"/>
    <b v="1"/>
    <x v="0"/>
    <n v="1348"/>
    <x v="1"/>
    <x v="1"/>
    <x v="2"/>
  </r>
  <r>
    <n v="2410"/>
    <x v="13"/>
    <x v="375"/>
    <x v="23"/>
    <n v="0"/>
    <x v="1"/>
    <n v="0"/>
    <x v="186"/>
    <x v="6"/>
    <x v="2"/>
    <n v="3"/>
    <b v="1"/>
    <n v="568"/>
    <n v="62"/>
    <x v="5"/>
    <x v="1"/>
    <x v="2"/>
    <n v="50"/>
    <n v="4.8"/>
    <b v="0"/>
    <x v="0"/>
    <n v="1375"/>
    <x v="3"/>
    <x v="1"/>
    <x v="0"/>
  </r>
  <r>
    <n v="1575"/>
    <x v="46"/>
    <x v="480"/>
    <x v="11"/>
    <n v="14"/>
    <x v="1"/>
    <n v="167.86"/>
    <x v="387"/>
    <x v="5"/>
    <x v="3"/>
    <n v="4"/>
    <b v="1"/>
    <n v="666"/>
    <n v="100"/>
    <x v="4"/>
    <x v="2"/>
    <x v="2"/>
    <n v="97"/>
    <n v="3.1"/>
    <b v="0"/>
    <x v="0"/>
    <n v="3630"/>
    <x v="1"/>
    <x v="3"/>
    <x v="0"/>
  </r>
  <r>
    <n v="9259"/>
    <x v="93"/>
    <x v="496"/>
    <x v="19"/>
    <n v="3"/>
    <x v="1"/>
    <n v="35.97"/>
    <x v="397"/>
    <x v="4"/>
    <x v="4"/>
    <n v="1"/>
    <b v="1"/>
    <n v="318"/>
    <n v="37"/>
    <x v="6"/>
    <x v="3"/>
    <x v="3"/>
    <n v="69"/>
    <n v="3.9"/>
    <b v="1"/>
    <x v="0"/>
    <n v="1457"/>
    <x v="3"/>
    <x v="3"/>
    <x v="0"/>
  </r>
  <r>
    <n v="2170"/>
    <x v="43"/>
    <x v="301"/>
    <x v="1"/>
    <n v="13"/>
    <x v="2"/>
    <n v="207.87"/>
    <x v="276"/>
    <x v="0"/>
    <x v="2"/>
    <n v="4"/>
    <b v="0"/>
    <n v="609"/>
    <n v="181"/>
    <x v="1"/>
    <x v="0"/>
    <x v="0"/>
    <n v="81"/>
    <n v="4.7"/>
    <b v="1"/>
    <x v="0"/>
    <n v="3332"/>
    <x v="3"/>
    <x v="2"/>
    <x v="0"/>
  </r>
  <r>
    <n v="2237"/>
    <x v="98"/>
    <x v="174"/>
    <x v="13"/>
    <n v="18"/>
    <x v="0"/>
    <n v="143.82"/>
    <x v="398"/>
    <x v="5"/>
    <x v="2"/>
    <n v="1"/>
    <b v="0"/>
    <n v="163"/>
    <n v="69"/>
    <x v="3"/>
    <x v="0"/>
    <x v="1"/>
    <n v="24"/>
    <n v="4.8"/>
    <b v="1"/>
    <x v="0"/>
    <n v="3815"/>
    <x v="3"/>
    <x v="0"/>
    <x v="3"/>
  </r>
  <r>
    <n v="2697"/>
    <x v="56"/>
    <x v="238"/>
    <x v="28"/>
    <n v="6"/>
    <x v="2"/>
    <n v="95.94"/>
    <x v="306"/>
    <x v="1"/>
    <x v="4"/>
    <n v="3"/>
    <b v="0"/>
    <n v="648"/>
    <n v="46"/>
    <x v="0"/>
    <x v="1"/>
    <x v="3"/>
    <n v="0"/>
    <n v="4.5"/>
    <b v="0"/>
    <x v="0"/>
    <n v="3859"/>
    <x v="0"/>
    <x v="4"/>
    <x v="0"/>
  </r>
  <r>
    <n v="4488"/>
    <x v="120"/>
    <x v="464"/>
    <x v="21"/>
    <n v="18"/>
    <x v="0"/>
    <n v="143.82"/>
    <x v="370"/>
    <x v="6"/>
    <x v="1"/>
    <n v="3"/>
    <b v="0"/>
    <n v="975"/>
    <n v="10"/>
    <x v="1"/>
    <x v="0"/>
    <x v="4"/>
    <n v="48"/>
    <n v="3.2"/>
    <b v="0"/>
    <x v="0"/>
    <n v="3923"/>
    <x v="2"/>
    <x v="1"/>
    <x v="0"/>
  </r>
  <r>
    <n v="5291"/>
    <x v="314"/>
    <x v="350"/>
    <x v="6"/>
    <n v="9"/>
    <x v="1"/>
    <n v="107.91"/>
    <x v="60"/>
    <x v="1"/>
    <x v="0"/>
    <n v="6"/>
    <b v="1"/>
    <n v="15"/>
    <n v="36"/>
    <x v="5"/>
    <x v="1"/>
    <x v="4"/>
    <n v="37"/>
    <n v="4.2"/>
    <b v="0"/>
    <x v="0"/>
    <n v="4486"/>
    <x v="4"/>
    <x v="2"/>
    <x v="3"/>
  </r>
  <r>
    <n v="6287"/>
    <x v="216"/>
    <x v="497"/>
    <x v="10"/>
    <n v="19"/>
    <x v="1"/>
    <n v="227.81"/>
    <x v="16"/>
    <x v="3"/>
    <x v="1"/>
    <n v="2"/>
    <b v="1"/>
    <n v="268"/>
    <n v="11"/>
    <x v="1"/>
    <x v="1"/>
    <x v="4"/>
    <n v="62"/>
    <n v="5"/>
    <b v="0"/>
    <x v="0"/>
    <n v="993"/>
    <x v="1"/>
    <x v="1"/>
    <x v="1"/>
  </r>
  <r>
    <n v="1953"/>
    <x v="306"/>
    <x v="328"/>
    <x v="16"/>
    <n v="12"/>
    <x v="2"/>
    <n v="191.88"/>
    <x v="21"/>
    <x v="1"/>
    <x v="0"/>
    <n v="1"/>
    <b v="1"/>
    <n v="791"/>
    <n v="3"/>
    <x v="5"/>
    <x v="2"/>
    <x v="3"/>
    <n v="33"/>
    <n v="3.1"/>
    <b v="1"/>
    <x v="0"/>
    <n v="631"/>
    <x v="2"/>
    <x v="1"/>
    <x v="2"/>
  </r>
  <r>
    <n v="3457"/>
    <x v="123"/>
    <x v="463"/>
    <x v="4"/>
    <n v="0"/>
    <x v="2"/>
    <n v="0"/>
    <x v="180"/>
    <x v="5"/>
    <x v="2"/>
    <n v="1"/>
    <b v="0"/>
    <n v="257"/>
    <n v="173"/>
    <x v="4"/>
    <x v="1"/>
    <x v="4"/>
    <n v="16"/>
    <n v="3.7"/>
    <b v="1"/>
    <x v="0"/>
    <n v="214"/>
    <x v="2"/>
    <x v="1"/>
    <x v="0"/>
  </r>
  <r>
    <n v="6504"/>
    <x v="138"/>
    <x v="22"/>
    <x v="13"/>
    <n v="12"/>
    <x v="0"/>
    <n v="95.88"/>
    <x v="56"/>
    <x v="2"/>
    <x v="1"/>
    <n v="4"/>
    <b v="0"/>
    <n v="767"/>
    <n v="66"/>
    <x v="1"/>
    <x v="1"/>
    <x v="2"/>
    <n v="70"/>
    <n v="3.8"/>
    <b v="0"/>
    <x v="0"/>
    <n v="2327"/>
    <x v="1"/>
    <x v="2"/>
    <x v="0"/>
  </r>
  <r>
    <n v="7463"/>
    <x v="177"/>
    <x v="35"/>
    <x v="27"/>
    <n v="14"/>
    <x v="1"/>
    <n v="167.86"/>
    <x v="399"/>
    <x v="3"/>
    <x v="0"/>
    <n v="5"/>
    <b v="1"/>
    <n v="362"/>
    <n v="38"/>
    <x v="6"/>
    <x v="1"/>
    <x v="0"/>
    <n v="100"/>
    <n v="4"/>
    <b v="0"/>
    <x v="0"/>
    <n v="3679"/>
    <x v="2"/>
    <x v="4"/>
    <x v="1"/>
  </r>
  <r>
    <n v="3898"/>
    <x v="17"/>
    <x v="498"/>
    <x v="14"/>
    <n v="8"/>
    <x v="1"/>
    <n v="95.92"/>
    <x v="174"/>
    <x v="5"/>
    <x v="3"/>
    <n v="5"/>
    <b v="1"/>
    <n v="779"/>
    <n v="113"/>
    <x v="2"/>
    <x v="0"/>
    <x v="1"/>
    <n v="65"/>
    <n v="4.2"/>
    <b v="0"/>
    <x v="0"/>
    <n v="2238"/>
    <x v="0"/>
    <x v="4"/>
    <x v="3"/>
  </r>
  <r>
    <n v="8481"/>
    <x v="32"/>
    <x v="499"/>
    <x v="23"/>
    <n v="1"/>
    <x v="0"/>
    <n v="7.99"/>
    <x v="292"/>
    <x v="6"/>
    <x v="4"/>
    <n v="5"/>
    <b v="0"/>
    <n v="159"/>
    <n v="136"/>
    <x v="1"/>
    <x v="3"/>
    <x v="1"/>
    <n v="7"/>
    <n v="4.2"/>
    <b v="1"/>
    <x v="0"/>
    <n v="3655"/>
    <x v="2"/>
    <x v="2"/>
    <x v="1"/>
  </r>
  <r>
    <n v="7810"/>
    <x v="2"/>
    <x v="163"/>
    <x v="19"/>
    <n v="14"/>
    <x v="0"/>
    <n v="111.86"/>
    <x v="208"/>
    <x v="4"/>
    <x v="4"/>
    <n v="2"/>
    <b v="1"/>
    <n v="104"/>
    <n v="72"/>
    <x v="6"/>
    <x v="3"/>
    <x v="2"/>
    <n v="17"/>
    <n v="4.9000000000000004"/>
    <b v="1"/>
    <x v="0"/>
    <n v="1587"/>
    <x v="3"/>
    <x v="2"/>
    <x v="3"/>
  </r>
  <r>
    <n v="6534"/>
    <x v="196"/>
    <x v="412"/>
    <x v="11"/>
    <n v="20"/>
    <x v="1"/>
    <n v="239.8"/>
    <x v="400"/>
    <x v="3"/>
    <x v="2"/>
    <n v="6"/>
    <b v="0"/>
    <n v="570"/>
    <n v="29"/>
    <x v="2"/>
    <x v="0"/>
    <x v="1"/>
    <n v="56"/>
    <n v="3.9"/>
    <b v="1"/>
    <x v="0"/>
    <n v="4501"/>
    <x v="1"/>
    <x v="0"/>
    <x v="0"/>
  </r>
  <r>
    <n v="6025"/>
    <x v="125"/>
    <x v="381"/>
    <x v="9"/>
    <n v="11"/>
    <x v="2"/>
    <n v="175.89000000000001"/>
    <x v="96"/>
    <x v="4"/>
    <x v="3"/>
    <n v="5"/>
    <b v="1"/>
    <n v="112"/>
    <n v="149"/>
    <x v="4"/>
    <x v="3"/>
    <x v="2"/>
    <n v="74"/>
    <n v="3.4"/>
    <b v="1"/>
    <x v="0"/>
    <n v="1910"/>
    <x v="4"/>
    <x v="3"/>
    <x v="2"/>
  </r>
  <r>
    <n v="5825"/>
    <x v="315"/>
    <x v="419"/>
    <x v="0"/>
    <n v="10"/>
    <x v="0"/>
    <n v="79.900000000000006"/>
    <x v="399"/>
    <x v="1"/>
    <x v="3"/>
    <n v="4"/>
    <b v="1"/>
    <n v="568"/>
    <n v="151"/>
    <x v="5"/>
    <x v="3"/>
    <x v="5"/>
    <n v="11"/>
    <n v="3.6"/>
    <b v="0"/>
    <x v="0"/>
    <n v="2731"/>
    <x v="0"/>
    <x v="3"/>
    <x v="0"/>
  </r>
  <r>
    <n v="1185"/>
    <x v="157"/>
    <x v="500"/>
    <x v="1"/>
    <n v="22"/>
    <x v="2"/>
    <n v="351.78000000000003"/>
    <x v="286"/>
    <x v="6"/>
    <x v="2"/>
    <n v="2"/>
    <b v="0"/>
    <n v="943"/>
    <n v="42"/>
    <x v="2"/>
    <x v="0"/>
    <x v="3"/>
    <n v="85"/>
    <n v="3.5"/>
    <b v="1"/>
    <x v="0"/>
    <n v="4517"/>
    <x v="0"/>
    <x v="0"/>
    <x v="1"/>
  </r>
  <r>
    <n v="4392"/>
    <x v="180"/>
    <x v="65"/>
    <x v="21"/>
    <n v="21"/>
    <x v="1"/>
    <n v="251.79"/>
    <x v="319"/>
    <x v="2"/>
    <x v="2"/>
    <n v="6"/>
    <b v="0"/>
    <n v="887"/>
    <n v="128"/>
    <x v="0"/>
    <x v="2"/>
    <x v="1"/>
    <n v="59"/>
    <n v="4.4000000000000004"/>
    <b v="0"/>
    <x v="0"/>
    <n v="1238"/>
    <x v="3"/>
    <x v="0"/>
    <x v="2"/>
  </r>
  <r>
    <n v="5785"/>
    <x v="18"/>
    <x v="501"/>
    <x v="4"/>
    <n v="8"/>
    <x v="0"/>
    <n v="63.92"/>
    <x v="401"/>
    <x v="0"/>
    <x v="2"/>
    <n v="1"/>
    <b v="0"/>
    <n v="998"/>
    <n v="187"/>
    <x v="3"/>
    <x v="1"/>
    <x v="4"/>
    <n v="17"/>
    <n v="4.4000000000000004"/>
    <b v="0"/>
    <x v="0"/>
    <n v="1786"/>
    <x v="2"/>
    <x v="4"/>
    <x v="2"/>
  </r>
  <r>
    <n v="4718"/>
    <x v="32"/>
    <x v="470"/>
    <x v="9"/>
    <n v="14"/>
    <x v="2"/>
    <n v="223.86"/>
    <x v="402"/>
    <x v="1"/>
    <x v="3"/>
    <n v="1"/>
    <b v="1"/>
    <n v="484"/>
    <n v="112"/>
    <x v="3"/>
    <x v="2"/>
    <x v="0"/>
    <n v="88"/>
    <n v="3.5"/>
    <b v="1"/>
    <x v="0"/>
    <n v="1683"/>
    <x v="4"/>
    <x v="4"/>
    <x v="2"/>
  </r>
  <r>
    <n v="3992"/>
    <x v="84"/>
    <x v="6"/>
    <x v="9"/>
    <n v="3"/>
    <x v="1"/>
    <n v="35.97"/>
    <x v="348"/>
    <x v="0"/>
    <x v="2"/>
    <n v="5"/>
    <b v="1"/>
    <n v="458"/>
    <n v="145"/>
    <x v="5"/>
    <x v="1"/>
    <x v="3"/>
    <n v="91"/>
    <n v="3.3"/>
    <b v="1"/>
    <x v="0"/>
    <n v="996"/>
    <x v="3"/>
    <x v="1"/>
    <x v="1"/>
  </r>
  <r>
    <n v="6100"/>
    <x v="232"/>
    <x v="85"/>
    <x v="8"/>
    <n v="4"/>
    <x v="1"/>
    <n v="47.96"/>
    <x v="351"/>
    <x v="5"/>
    <x v="1"/>
    <n v="4"/>
    <b v="0"/>
    <n v="925"/>
    <n v="124"/>
    <x v="5"/>
    <x v="3"/>
    <x v="0"/>
    <n v="37"/>
    <n v="4.0999999999999996"/>
    <b v="0"/>
    <x v="0"/>
    <n v="608"/>
    <x v="0"/>
    <x v="2"/>
    <x v="1"/>
  </r>
  <r>
    <n v="8495"/>
    <x v="316"/>
    <x v="205"/>
    <x v="29"/>
    <n v="10"/>
    <x v="0"/>
    <n v="79.900000000000006"/>
    <x v="135"/>
    <x v="5"/>
    <x v="3"/>
    <n v="2"/>
    <b v="0"/>
    <n v="559"/>
    <n v="136"/>
    <x v="6"/>
    <x v="2"/>
    <x v="1"/>
    <n v="58"/>
    <n v="3.6"/>
    <b v="0"/>
    <x v="0"/>
    <n v="4650"/>
    <x v="1"/>
    <x v="4"/>
    <x v="2"/>
  </r>
  <r>
    <n v="3083"/>
    <x v="290"/>
    <x v="133"/>
    <x v="0"/>
    <n v="15"/>
    <x v="0"/>
    <n v="119.85000000000001"/>
    <x v="145"/>
    <x v="3"/>
    <x v="3"/>
    <n v="5"/>
    <b v="1"/>
    <n v="895"/>
    <n v="3"/>
    <x v="0"/>
    <x v="2"/>
    <x v="1"/>
    <n v="87"/>
    <n v="3.2"/>
    <b v="1"/>
    <x v="0"/>
    <n v="1340"/>
    <x v="3"/>
    <x v="0"/>
    <x v="0"/>
  </r>
  <r>
    <n v="9936"/>
    <x v="42"/>
    <x v="483"/>
    <x v="6"/>
    <n v="19"/>
    <x v="0"/>
    <n v="151.81"/>
    <x v="37"/>
    <x v="0"/>
    <x v="1"/>
    <n v="6"/>
    <b v="1"/>
    <n v="570"/>
    <n v="18"/>
    <x v="5"/>
    <x v="2"/>
    <x v="0"/>
    <n v="5"/>
    <n v="4.5999999999999996"/>
    <b v="1"/>
    <x v="0"/>
    <n v="1821"/>
    <x v="0"/>
    <x v="1"/>
    <x v="2"/>
  </r>
  <r>
    <n v="2418"/>
    <x v="63"/>
    <x v="502"/>
    <x v="4"/>
    <n v="2"/>
    <x v="2"/>
    <n v="31.98"/>
    <x v="291"/>
    <x v="6"/>
    <x v="1"/>
    <n v="4"/>
    <b v="1"/>
    <n v="187"/>
    <n v="48"/>
    <x v="0"/>
    <x v="2"/>
    <x v="5"/>
    <n v="6"/>
    <n v="3.4"/>
    <b v="1"/>
    <x v="0"/>
    <n v="3020"/>
    <x v="3"/>
    <x v="3"/>
    <x v="1"/>
  </r>
  <r>
    <n v="4089"/>
    <x v="26"/>
    <x v="197"/>
    <x v="6"/>
    <n v="0"/>
    <x v="1"/>
    <n v="0"/>
    <x v="403"/>
    <x v="2"/>
    <x v="3"/>
    <n v="6"/>
    <b v="1"/>
    <n v="900"/>
    <n v="135"/>
    <x v="1"/>
    <x v="1"/>
    <x v="5"/>
    <n v="87"/>
    <n v="4.8"/>
    <b v="0"/>
    <x v="0"/>
    <n v="1243"/>
    <x v="0"/>
    <x v="4"/>
    <x v="3"/>
  </r>
  <r>
    <n v="8876"/>
    <x v="317"/>
    <x v="244"/>
    <x v="16"/>
    <n v="19"/>
    <x v="1"/>
    <n v="227.81"/>
    <x v="111"/>
    <x v="4"/>
    <x v="2"/>
    <n v="3"/>
    <b v="1"/>
    <n v="194"/>
    <n v="187"/>
    <x v="3"/>
    <x v="0"/>
    <x v="5"/>
    <n v="44"/>
    <n v="4.4000000000000004"/>
    <b v="1"/>
    <x v="0"/>
    <n v="540"/>
    <x v="0"/>
    <x v="1"/>
    <x v="3"/>
  </r>
  <r>
    <n v="3959"/>
    <x v="167"/>
    <x v="211"/>
    <x v="17"/>
    <n v="11"/>
    <x v="2"/>
    <n v="175.89000000000001"/>
    <x v="324"/>
    <x v="2"/>
    <x v="4"/>
    <n v="2"/>
    <b v="1"/>
    <n v="155"/>
    <n v="115"/>
    <x v="0"/>
    <x v="1"/>
    <x v="1"/>
    <n v="92"/>
    <n v="4.3"/>
    <b v="0"/>
    <x v="0"/>
    <n v="2583"/>
    <x v="1"/>
    <x v="3"/>
    <x v="3"/>
  </r>
  <r>
    <n v="2011"/>
    <x v="318"/>
    <x v="173"/>
    <x v="22"/>
    <n v="18"/>
    <x v="0"/>
    <n v="143.82"/>
    <x v="173"/>
    <x v="6"/>
    <x v="2"/>
    <n v="1"/>
    <b v="1"/>
    <n v="184"/>
    <n v="172"/>
    <x v="3"/>
    <x v="3"/>
    <x v="4"/>
    <n v="41"/>
    <n v="4.8"/>
    <b v="0"/>
    <x v="0"/>
    <n v="3463"/>
    <x v="0"/>
    <x v="0"/>
    <x v="2"/>
  </r>
  <r>
    <n v="7896"/>
    <x v="47"/>
    <x v="503"/>
    <x v="26"/>
    <n v="5"/>
    <x v="1"/>
    <n v="59.95"/>
    <x v="180"/>
    <x v="2"/>
    <x v="4"/>
    <n v="5"/>
    <b v="1"/>
    <n v="539"/>
    <n v="152"/>
    <x v="1"/>
    <x v="1"/>
    <x v="1"/>
    <n v="48"/>
    <n v="3.8"/>
    <b v="1"/>
    <x v="0"/>
    <n v="4130"/>
    <x v="1"/>
    <x v="0"/>
    <x v="3"/>
  </r>
  <r>
    <n v="5495"/>
    <x v="319"/>
    <x v="398"/>
    <x v="26"/>
    <n v="10"/>
    <x v="1"/>
    <n v="119.9"/>
    <x v="93"/>
    <x v="3"/>
    <x v="2"/>
    <n v="6"/>
    <b v="1"/>
    <n v="182"/>
    <n v="14"/>
    <x v="0"/>
    <x v="1"/>
    <x v="5"/>
    <n v="90"/>
    <n v="3.4"/>
    <b v="0"/>
    <x v="0"/>
    <n v="3918"/>
    <x v="3"/>
    <x v="2"/>
    <x v="0"/>
  </r>
  <r>
    <n v="6219"/>
    <x v="138"/>
    <x v="77"/>
    <x v="17"/>
    <n v="4"/>
    <x v="1"/>
    <n v="47.96"/>
    <x v="404"/>
    <x v="1"/>
    <x v="4"/>
    <n v="1"/>
    <b v="0"/>
    <n v="981"/>
    <n v="60"/>
    <x v="2"/>
    <x v="0"/>
    <x v="4"/>
    <n v="41"/>
    <n v="4.4000000000000004"/>
    <b v="1"/>
    <x v="0"/>
    <n v="4264"/>
    <x v="1"/>
    <x v="1"/>
    <x v="0"/>
  </r>
  <r>
    <n v="4458"/>
    <x v="320"/>
    <x v="504"/>
    <x v="8"/>
    <n v="12"/>
    <x v="2"/>
    <n v="191.88"/>
    <x v="198"/>
    <x v="2"/>
    <x v="0"/>
    <n v="3"/>
    <b v="1"/>
    <n v="489"/>
    <n v="7"/>
    <x v="3"/>
    <x v="1"/>
    <x v="2"/>
    <n v="54"/>
    <n v="4.5"/>
    <b v="1"/>
    <x v="0"/>
    <n v="1485"/>
    <x v="4"/>
    <x v="2"/>
    <x v="1"/>
  </r>
  <r>
    <n v="4115"/>
    <x v="321"/>
    <x v="59"/>
    <x v="24"/>
    <n v="0"/>
    <x v="2"/>
    <n v="0"/>
    <x v="267"/>
    <x v="5"/>
    <x v="1"/>
    <n v="5"/>
    <b v="1"/>
    <n v="603"/>
    <n v="72"/>
    <x v="3"/>
    <x v="2"/>
    <x v="0"/>
    <n v="88"/>
    <n v="3.3"/>
    <b v="0"/>
    <x v="0"/>
    <n v="3508"/>
    <x v="2"/>
    <x v="4"/>
    <x v="3"/>
  </r>
  <r>
    <n v="6586"/>
    <x v="310"/>
    <x v="284"/>
    <x v="1"/>
    <n v="22"/>
    <x v="2"/>
    <n v="351.78000000000003"/>
    <x v="194"/>
    <x v="5"/>
    <x v="2"/>
    <n v="1"/>
    <b v="0"/>
    <n v="445"/>
    <n v="153"/>
    <x v="6"/>
    <x v="0"/>
    <x v="0"/>
    <n v="13"/>
    <n v="4.2"/>
    <b v="0"/>
    <x v="0"/>
    <n v="3433"/>
    <x v="1"/>
    <x v="3"/>
    <x v="1"/>
  </r>
  <r>
    <n v="3985"/>
    <x v="125"/>
    <x v="505"/>
    <x v="20"/>
    <n v="6"/>
    <x v="2"/>
    <n v="95.94"/>
    <x v="202"/>
    <x v="3"/>
    <x v="4"/>
    <n v="6"/>
    <b v="0"/>
    <n v="233"/>
    <n v="10"/>
    <x v="5"/>
    <x v="3"/>
    <x v="3"/>
    <n v="71"/>
    <n v="4.5999999999999996"/>
    <b v="0"/>
    <x v="0"/>
    <n v="3610"/>
    <x v="0"/>
    <x v="3"/>
    <x v="0"/>
  </r>
  <r>
    <n v="8501"/>
    <x v="20"/>
    <x v="416"/>
    <x v="4"/>
    <n v="7"/>
    <x v="1"/>
    <n v="83.93"/>
    <x v="117"/>
    <x v="3"/>
    <x v="3"/>
    <n v="2"/>
    <b v="1"/>
    <n v="464"/>
    <n v="171"/>
    <x v="0"/>
    <x v="3"/>
    <x v="4"/>
    <n v="88"/>
    <n v="4.5999999999999996"/>
    <b v="1"/>
    <x v="0"/>
    <n v="3307"/>
    <x v="2"/>
    <x v="2"/>
    <x v="2"/>
  </r>
  <r>
    <n v="4048"/>
    <x v="63"/>
    <x v="224"/>
    <x v="6"/>
    <n v="6"/>
    <x v="1"/>
    <n v="71.94"/>
    <x v="405"/>
    <x v="4"/>
    <x v="0"/>
    <n v="1"/>
    <b v="0"/>
    <n v="273"/>
    <n v="96"/>
    <x v="5"/>
    <x v="2"/>
    <x v="5"/>
    <n v="34"/>
    <n v="4.9000000000000004"/>
    <b v="1"/>
    <x v="0"/>
    <n v="868"/>
    <x v="2"/>
    <x v="2"/>
    <x v="2"/>
  </r>
  <r>
    <n v="4466"/>
    <x v="37"/>
    <x v="506"/>
    <x v="12"/>
    <n v="1"/>
    <x v="1"/>
    <n v="11.99"/>
    <x v="287"/>
    <x v="1"/>
    <x v="3"/>
    <n v="2"/>
    <b v="0"/>
    <n v="162"/>
    <n v="147"/>
    <x v="5"/>
    <x v="1"/>
    <x v="4"/>
    <n v="82"/>
    <n v="4.3"/>
    <b v="0"/>
    <x v="0"/>
    <n v="4358"/>
    <x v="2"/>
    <x v="1"/>
    <x v="0"/>
  </r>
  <r>
    <n v="5479"/>
    <x v="59"/>
    <x v="206"/>
    <x v="23"/>
    <n v="21"/>
    <x v="0"/>
    <n v="167.79"/>
    <x v="253"/>
    <x v="6"/>
    <x v="4"/>
    <n v="4"/>
    <b v="0"/>
    <n v="218"/>
    <n v="5"/>
    <x v="3"/>
    <x v="0"/>
    <x v="5"/>
    <n v="86"/>
    <n v="3.6"/>
    <b v="0"/>
    <x v="0"/>
    <n v="4552"/>
    <x v="1"/>
    <x v="4"/>
    <x v="0"/>
  </r>
  <r>
    <n v="2480"/>
    <x v="279"/>
    <x v="332"/>
    <x v="6"/>
    <n v="15"/>
    <x v="2"/>
    <n v="239.85"/>
    <x v="90"/>
    <x v="5"/>
    <x v="3"/>
    <n v="3"/>
    <b v="0"/>
    <n v="39"/>
    <n v="18"/>
    <x v="2"/>
    <x v="3"/>
    <x v="1"/>
    <n v="75"/>
    <n v="3.3"/>
    <b v="1"/>
    <x v="0"/>
    <n v="3003"/>
    <x v="1"/>
    <x v="2"/>
    <x v="2"/>
  </r>
  <r>
    <n v="6288"/>
    <x v="113"/>
    <x v="448"/>
    <x v="11"/>
    <n v="8"/>
    <x v="2"/>
    <n v="127.92"/>
    <x v="364"/>
    <x v="6"/>
    <x v="1"/>
    <n v="2"/>
    <b v="0"/>
    <n v="107"/>
    <n v="140"/>
    <x v="4"/>
    <x v="0"/>
    <x v="5"/>
    <n v="7"/>
    <n v="4.8"/>
    <b v="0"/>
    <x v="0"/>
    <n v="783"/>
    <x v="2"/>
    <x v="1"/>
    <x v="1"/>
  </r>
  <r>
    <n v="9973"/>
    <x v="84"/>
    <x v="414"/>
    <x v="1"/>
    <n v="20"/>
    <x v="1"/>
    <n v="239.8"/>
    <x v="87"/>
    <x v="6"/>
    <x v="4"/>
    <n v="4"/>
    <b v="0"/>
    <n v="513"/>
    <n v="52"/>
    <x v="1"/>
    <x v="1"/>
    <x v="5"/>
    <n v="19"/>
    <n v="4.7"/>
    <b v="0"/>
    <x v="0"/>
    <n v="3578"/>
    <x v="2"/>
    <x v="1"/>
    <x v="0"/>
  </r>
  <r>
    <n v="6078"/>
    <x v="273"/>
    <x v="209"/>
    <x v="1"/>
    <n v="2"/>
    <x v="0"/>
    <n v="15.98"/>
    <x v="172"/>
    <x v="5"/>
    <x v="4"/>
    <n v="5"/>
    <b v="0"/>
    <n v="905"/>
    <n v="128"/>
    <x v="5"/>
    <x v="3"/>
    <x v="1"/>
    <n v="70"/>
    <n v="4.3"/>
    <b v="0"/>
    <x v="0"/>
    <n v="1952"/>
    <x v="3"/>
    <x v="2"/>
    <x v="1"/>
  </r>
  <r>
    <n v="5362"/>
    <x v="145"/>
    <x v="498"/>
    <x v="12"/>
    <n v="8"/>
    <x v="2"/>
    <n v="127.92"/>
    <x v="130"/>
    <x v="5"/>
    <x v="4"/>
    <n v="3"/>
    <b v="1"/>
    <n v="551"/>
    <n v="96"/>
    <x v="2"/>
    <x v="3"/>
    <x v="3"/>
    <n v="65"/>
    <n v="4.5999999999999996"/>
    <b v="1"/>
    <x v="0"/>
    <n v="860"/>
    <x v="3"/>
    <x v="4"/>
    <x v="2"/>
  </r>
  <r>
    <n v="1687"/>
    <x v="30"/>
    <x v="295"/>
    <x v="24"/>
    <n v="7"/>
    <x v="0"/>
    <n v="55.93"/>
    <x v="19"/>
    <x v="0"/>
    <x v="4"/>
    <n v="5"/>
    <b v="1"/>
    <n v="190"/>
    <n v="193"/>
    <x v="6"/>
    <x v="0"/>
    <x v="0"/>
    <n v="13"/>
    <n v="3.1"/>
    <b v="0"/>
    <x v="0"/>
    <n v="3"/>
    <x v="3"/>
    <x v="2"/>
    <x v="0"/>
  </r>
  <r>
    <n v="8986"/>
    <x v="187"/>
    <x v="129"/>
    <x v="17"/>
    <n v="0"/>
    <x v="2"/>
    <n v="0"/>
    <x v="215"/>
    <x v="0"/>
    <x v="1"/>
    <n v="2"/>
    <b v="1"/>
    <n v="69"/>
    <n v="35"/>
    <x v="1"/>
    <x v="2"/>
    <x v="1"/>
    <n v="13"/>
    <n v="3.3"/>
    <b v="1"/>
    <x v="0"/>
    <n v="1836"/>
    <x v="2"/>
    <x v="1"/>
    <x v="1"/>
  </r>
  <r>
    <n v="5994"/>
    <x v="217"/>
    <x v="87"/>
    <x v="22"/>
    <n v="13"/>
    <x v="0"/>
    <n v="103.87"/>
    <x v="406"/>
    <x v="1"/>
    <x v="3"/>
    <n v="5"/>
    <b v="0"/>
    <n v="274"/>
    <n v="83"/>
    <x v="2"/>
    <x v="2"/>
    <x v="1"/>
    <n v="45"/>
    <n v="3.9"/>
    <b v="0"/>
    <x v="0"/>
    <n v="808"/>
    <x v="0"/>
    <x v="0"/>
    <x v="3"/>
  </r>
  <r>
    <n v="6293"/>
    <x v="84"/>
    <x v="282"/>
    <x v="18"/>
    <n v="2"/>
    <x v="2"/>
    <n v="31.98"/>
    <x v="407"/>
    <x v="2"/>
    <x v="4"/>
    <n v="4"/>
    <b v="0"/>
    <n v="605"/>
    <n v="93"/>
    <x v="5"/>
    <x v="1"/>
    <x v="2"/>
    <n v="13"/>
    <n v="4.8"/>
    <b v="0"/>
    <x v="0"/>
    <n v="2141"/>
    <x v="1"/>
    <x v="0"/>
    <x v="0"/>
  </r>
  <r>
    <n v="7558"/>
    <x v="166"/>
    <x v="454"/>
    <x v="23"/>
    <n v="0"/>
    <x v="1"/>
    <n v="0"/>
    <x v="408"/>
    <x v="2"/>
    <x v="1"/>
    <n v="5"/>
    <b v="1"/>
    <n v="225"/>
    <n v="94"/>
    <x v="5"/>
    <x v="1"/>
    <x v="4"/>
    <n v="61"/>
    <n v="3.7"/>
    <b v="0"/>
    <x v="0"/>
    <n v="1254"/>
    <x v="3"/>
    <x v="0"/>
    <x v="1"/>
  </r>
  <r>
    <n v="1805"/>
    <x v="13"/>
    <x v="507"/>
    <x v="10"/>
    <n v="21"/>
    <x v="1"/>
    <n v="251.79"/>
    <x v="63"/>
    <x v="5"/>
    <x v="4"/>
    <n v="4"/>
    <b v="1"/>
    <n v="386"/>
    <n v="195"/>
    <x v="0"/>
    <x v="3"/>
    <x v="1"/>
    <n v="59"/>
    <n v="4.5999999999999996"/>
    <b v="0"/>
    <x v="0"/>
    <n v="2864"/>
    <x v="3"/>
    <x v="0"/>
    <x v="0"/>
  </r>
  <r>
    <n v="1661"/>
    <x v="168"/>
    <x v="508"/>
    <x v="23"/>
    <n v="19"/>
    <x v="2"/>
    <n v="303.81"/>
    <x v="180"/>
    <x v="5"/>
    <x v="4"/>
    <n v="5"/>
    <b v="1"/>
    <n v="442"/>
    <n v="110"/>
    <x v="1"/>
    <x v="2"/>
    <x v="0"/>
    <n v="91"/>
    <n v="4.7"/>
    <b v="1"/>
    <x v="0"/>
    <n v="4589"/>
    <x v="0"/>
    <x v="4"/>
    <x v="1"/>
  </r>
  <r>
    <n v="8960"/>
    <x v="290"/>
    <x v="283"/>
    <x v="3"/>
    <n v="10"/>
    <x v="2"/>
    <n v="159.9"/>
    <x v="146"/>
    <x v="6"/>
    <x v="0"/>
    <n v="2"/>
    <b v="1"/>
    <n v="382"/>
    <n v="25"/>
    <x v="2"/>
    <x v="0"/>
    <x v="5"/>
    <n v="72"/>
    <n v="4.4000000000000004"/>
    <b v="0"/>
    <x v="0"/>
    <n v="2932"/>
    <x v="0"/>
    <x v="4"/>
    <x v="3"/>
  </r>
  <r>
    <n v="6131"/>
    <x v="10"/>
    <x v="298"/>
    <x v="6"/>
    <n v="4"/>
    <x v="0"/>
    <n v="31.96"/>
    <x v="405"/>
    <x v="4"/>
    <x v="3"/>
    <n v="2"/>
    <b v="1"/>
    <n v="156"/>
    <n v="166"/>
    <x v="6"/>
    <x v="3"/>
    <x v="0"/>
    <n v="53"/>
    <n v="5"/>
    <b v="0"/>
    <x v="0"/>
    <n v="1697"/>
    <x v="4"/>
    <x v="2"/>
    <x v="0"/>
  </r>
  <r>
    <n v="4114"/>
    <x v="151"/>
    <x v="288"/>
    <x v="2"/>
    <n v="12"/>
    <x v="1"/>
    <n v="143.88"/>
    <x v="237"/>
    <x v="4"/>
    <x v="3"/>
    <n v="6"/>
    <b v="1"/>
    <n v="687"/>
    <n v="160"/>
    <x v="3"/>
    <x v="1"/>
    <x v="4"/>
    <n v="88"/>
    <n v="4.5"/>
    <b v="0"/>
    <x v="0"/>
    <n v="1411"/>
    <x v="4"/>
    <x v="2"/>
    <x v="1"/>
  </r>
  <r>
    <n v="4833"/>
    <x v="36"/>
    <x v="275"/>
    <x v="5"/>
    <n v="7"/>
    <x v="0"/>
    <n v="55.93"/>
    <x v="409"/>
    <x v="1"/>
    <x v="4"/>
    <n v="4"/>
    <b v="1"/>
    <n v="778"/>
    <n v="122"/>
    <x v="1"/>
    <x v="2"/>
    <x v="0"/>
    <n v="12"/>
    <n v="3.8"/>
    <b v="1"/>
    <x v="0"/>
    <n v="3437"/>
    <x v="3"/>
    <x v="1"/>
    <x v="1"/>
  </r>
  <r>
    <n v="2401"/>
    <x v="183"/>
    <x v="506"/>
    <x v="3"/>
    <n v="1"/>
    <x v="0"/>
    <n v="7.99"/>
    <x v="193"/>
    <x v="5"/>
    <x v="4"/>
    <n v="6"/>
    <b v="0"/>
    <n v="616"/>
    <n v="45"/>
    <x v="5"/>
    <x v="0"/>
    <x v="3"/>
    <n v="22"/>
    <n v="4.9000000000000004"/>
    <b v="1"/>
    <x v="0"/>
    <n v="4509"/>
    <x v="2"/>
    <x v="0"/>
    <x v="1"/>
  </r>
  <r>
    <n v="1037"/>
    <x v="44"/>
    <x v="509"/>
    <x v="10"/>
    <n v="17"/>
    <x v="0"/>
    <n v="135.83000000000001"/>
    <x v="302"/>
    <x v="3"/>
    <x v="0"/>
    <n v="3"/>
    <b v="1"/>
    <n v="314"/>
    <n v="50"/>
    <x v="1"/>
    <x v="2"/>
    <x v="2"/>
    <n v="7"/>
    <n v="4.9000000000000004"/>
    <b v="1"/>
    <x v="0"/>
    <n v="3165"/>
    <x v="2"/>
    <x v="1"/>
    <x v="2"/>
  </r>
  <r>
    <n v="2675"/>
    <x v="322"/>
    <x v="510"/>
    <x v="22"/>
    <n v="21"/>
    <x v="2"/>
    <n v="335.79"/>
    <x v="256"/>
    <x v="3"/>
    <x v="2"/>
    <n v="1"/>
    <b v="1"/>
    <n v="666"/>
    <n v="65"/>
    <x v="6"/>
    <x v="0"/>
    <x v="1"/>
    <n v="21"/>
    <n v="4.3"/>
    <b v="0"/>
    <x v="0"/>
    <n v="2538"/>
    <x v="1"/>
    <x v="2"/>
    <x v="0"/>
  </r>
  <r>
    <n v="1665"/>
    <x v="31"/>
    <x v="391"/>
    <x v="6"/>
    <n v="9"/>
    <x v="1"/>
    <n v="107.91"/>
    <x v="272"/>
    <x v="5"/>
    <x v="3"/>
    <n v="2"/>
    <b v="0"/>
    <n v="767"/>
    <n v="83"/>
    <x v="4"/>
    <x v="3"/>
    <x v="1"/>
    <n v="58"/>
    <n v="3"/>
    <b v="1"/>
    <x v="0"/>
    <n v="245"/>
    <x v="1"/>
    <x v="0"/>
    <x v="3"/>
  </r>
  <r>
    <n v="5671"/>
    <x v="115"/>
    <x v="372"/>
    <x v="26"/>
    <n v="18"/>
    <x v="1"/>
    <n v="215.82"/>
    <x v="275"/>
    <x v="1"/>
    <x v="0"/>
    <n v="3"/>
    <b v="1"/>
    <n v="811"/>
    <n v="3"/>
    <x v="0"/>
    <x v="0"/>
    <x v="5"/>
    <n v="17"/>
    <n v="4.2"/>
    <b v="0"/>
    <x v="0"/>
    <n v="1364"/>
    <x v="2"/>
    <x v="0"/>
    <x v="2"/>
  </r>
  <r>
    <n v="5153"/>
    <x v="103"/>
    <x v="415"/>
    <x v="13"/>
    <n v="5"/>
    <x v="0"/>
    <n v="39.950000000000003"/>
    <x v="410"/>
    <x v="2"/>
    <x v="1"/>
    <n v="4"/>
    <b v="1"/>
    <n v="413"/>
    <n v="154"/>
    <x v="1"/>
    <x v="0"/>
    <x v="5"/>
    <n v="64"/>
    <n v="4.0999999999999996"/>
    <b v="0"/>
    <x v="0"/>
    <n v="732"/>
    <x v="1"/>
    <x v="4"/>
    <x v="1"/>
  </r>
  <r>
    <n v="1114"/>
    <x v="141"/>
    <x v="421"/>
    <x v="1"/>
    <n v="23"/>
    <x v="1"/>
    <n v="275.77"/>
    <x v="183"/>
    <x v="4"/>
    <x v="0"/>
    <n v="3"/>
    <b v="0"/>
    <n v="324"/>
    <n v="175"/>
    <x v="0"/>
    <x v="1"/>
    <x v="1"/>
    <n v="18"/>
    <n v="3.3"/>
    <b v="0"/>
    <x v="0"/>
    <n v="4976"/>
    <x v="4"/>
    <x v="3"/>
    <x v="1"/>
  </r>
  <r>
    <n v="6180"/>
    <x v="322"/>
    <x v="511"/>
    <x v="3"/>
    <n v="3"/>
    <x v="1"/>
    <n v="35.97"/>
    <x v="246"/>
    <x v="6"/>
    <x v="1"/>
    <n v="5"/>
    <b v="1"/>
    <n v="52"/>
    <n v="108"/>
    <x v="5"/>
    <x v="2"/>
    <x v="1"/>
    <n v="94"/>
    <n v="4.0999999999999996"/>
    <b v="0"/>
    <x v="0"/>
    <n v="4176"/>
    <x v="4"/>
    <x v="2"/>
    <x v="0"/>
  </r>
  <r>
    <n v="8237"/>
    <x v="5"/>
    <x v="396"/>
    <x v="19"/>
    <n v="18"/>
    <x v="0"/>
    <n v="143.82"/>
    <x v="411"/>
    <x v="5"/>
    <x v="2"/>
    <n v="6"/>
    <b v="0"/>
    <n v="680"/>
    <n v="50"/>
    <x v="0"/>
    <x v="2"/>
    <x v="4"/>
    <n v="52"/>
    <n v="3.4"/>
    <b v="0"/>
    <x v="0"/>
    <n v="2919"/>
    <x v="0"/>
    <x v="1"/>
    <x v="0"/>
  </r>
  <r>
    <n v="9500"/>
    <x v="323"/>
    <x v="387"/>
    <x v="5"/>
    <n v="14"/>
    <x v="1"/>
    <n v="167.86"/>
    <x v="137"/>
    <x v="3"/>
    <x v="1"/>
    <n v="1"/>
    <b v="1"/>
    <n v="780"/>
    <n v="76"/>
    <x v="0"/>
    <x v="2"/>
    <x v="2"/>
    <n v="21"/>
    <n v="4.4000000000000004"/>
    <b v="1"/>
    <x v="0"/>
    <n v="3081"/>
    <x v="4"/>
    <x v="1"/>
    <x v="0"/>
  </r>
  <r>
    <n v="7476"/>
    <x v="1"/>
    <x v="512"/>
    <x v="12"/>
    <n v="17"/>
    <x v="1"/>
    <n v="203.83"/>
    <x v="338"/>
    <x v="4"/>
    <x v="0"/>
    <n v="1"/>
    <b v="1"/>
    <n v="569"/>
    <n v="176"/>
    <x v="6"/>
    <x v="1"/>
    <x v="5"/>
    <n v="18"/>
    <n v="3.8"/>
    <b v="1"/>
    <x v="0"/>
    <n v="3138"/>
    <x v="1"/>
    <x v="0"/>
    <x v="3"/>
  </r>
  <r>
    <n v="9908"/>
    <x v="284"/>
    <x v="221"/>
    <x v="22"/>
    <n v="23"/>
    <x v="1"/>
    <n v="275.77"/>
    <x v="377"/>
    <x v="6"/>
    <x v="0"/>
    <n v="1"/>
    <b v="0"/>
    <n v="256"/>
    <n v="183"/>
    <x v="5"/>
    <x v="2"/>
    <x v="1"/>
    <n v="89"/>
    <n v="3.2"/>
    <b v="1"/>
    <x v="0"/>
    <n v="1180"/>
    <x v="2"/>
    <x v="3"/>
    <x v="1"/>
  </r>
  <r>
    <n v="1534"/>
    <x v="5"/>
    <x v="77"/>
    <x v="13"/>
    <n v="4"/>
    <x v="0"/>
    <n v="31.96"/>
    <x v="412"/>
    <x v="0"/>
    <x v="1"/>
    <n v="4"/>
    <b v="0"/>
    <n v="799"/>
    <n v="137"/>
    <x v="0"/>
    <x v="2"/>
    <x v="2"/>
    <n v="78"/>
    <n v="4.5999999999999996"/>
    <b v="1"/>
    <x v="0"/>
    <n v="4518"/>
    <x v="1"/>
    <x v="4"/>
    <x v="1"/>
  </r>
  <r>
    <n v="4613"/>
    <x v="23"/>
    <x v="397"/>
    <x v="22"/>
    <n v="21"/>
    <x v="2"/>
    <n v="335.79"/>
    <x v="413"/>
    <x v="0"/>
    <x v="1"/>
    <n v="2"/>
    <b v="0"/>
    <n v="237"/>
    <n v="55"/>
    <x v="4"/>
    <x v="3"/>
    <x v="2"/>
    <n v="15"/>
    <n v="4.9000000000000004"/>
    <b v="1"/>
    <x v="0"/>
    <n v="3843"/>
    <x v="0"/>
    <x v="0"/>
    <x v="1"/>
  </r>
  <r>
    <n v="5063"/>
    <x v="216"/>
    <x v="358"/>
    <x v="7"/>
    <n v="5"/>
    <x v="0"/>
    <n v="39.950000000000003"/>
    <x v="414"/>
    <x v="0"/>
    <x v="4"/>
    <n v="5"/>
    <b v="1"/>
    <n v="138"/>
    <n v="3"/>
    <x v="5"/>
    <x v="1"/>
    <x v="0"/>
    <n v="12"/>
    <n v="3.9"/>
    <b v="1"/>
    <x v="0"/>
    <n v="3604"/>
    <x v="3"/>
    <x v="1"/>
    <x v="2"/>
  </r>
  <r>
    <n v="4548"/>
    <x v="95"/>
    <x v="174"/>
    <x v="8"/>
    <n v="17"/>
    <x v="0"/>
    <n v="135.83000000000001"/>
    <x v="336"/>
    <x v="6"/>
    <x v="4"/>
    <n v="6"/>
    <b v="0"/>
    <n v="636"/>
    <n v="176"/>
    <x v="6"/>
    <x v="3"/>
    <x v="5"/>
    <n v="32"/>
    <n v="3.7"/>
    <b v="1"/>
    <x v="0"/>
    <n v="4445"/>
    <x v="0"/>
    <x v="1"/>
    <x v="3"/>
  </r>
  <r>
    <n v="7556"/>
    <x v="268"/>
    <x v="166"/>
    <x v="29"/>
    <n v="4"/>
    <x v="2"/>
    <n v="63.96"/>
    <x v="4"/>
    <x v="0"/>
    <x v="2"/>
    <n v="6"/>
    <b v="1"/>
    <n v="461"/>
    <n v="178"/>
    <x v="0"/>
    <x v="3"/>
    <x v="0"/>
    <n v="79"/>
    <n v="3.7"/>
    <b v="0"/>
    <x v="0"/>
    <n v="1587"/>
    <x v="4"/>
    <x v="0"/>
    <x v="3"/>
  </r>
  <r>
    <n v="1846"/>
    <x v="324"/>
    <x v="229"/>
    <x v="19"/>
    <n v="5"/>
    <x v="2"/>
    <n v="79.95"/>
    <x v="415"/>
    <x v="2"/>
    <x v="1"/>
    <n v="6"/>
    <b v="0"/>
    <n v="20"/>
    <n v="128"/>
    <x v="4"/>
    <x v="2"/>
    <x v="4"/>
    <n v="50"/>
    <n v="5"/>
    <b v="0"/>
    <x v="0"/>
    <n v="4400"/>
    <x v="2"/>
    <x v="3"/>
    <x v="0"/>
  </r>
  <r>
    <n v="7088"/>
    <x v="26"/>
    <x v="359"/>
    <x v="18"/>
    <n v="10"/>
    <x v="1"/>
    <n v="119.9"/>
    <x v="149"/>
    <x v="3"/>
    <x v="3"/>
    <n v="5"/>
    <b v="1"/>
    <n v="276"/>
    <n v="138"/>
    <x v="4"/>
    <x v="0"/>
    <x v="3"/>
    <n v="56"/>
    <n v="4.7"/>
    <b v="0"/>
    <x v="0"/>
    <n v="2891"/>
    <x v="0"/>
    <x v="2"/>
    <x v="2"/>
  </r>
  <r>
    <n v="1179"/>
    <x v="180"/>
    <x v="390"/>
    <x v="13"/>
    <n v="6"/>
    <x v="1"/>
    <n v="71.94"/>
    <x v="199"/>
    <x v="6"/>
    <x v="4"/>
    <n v="1"/>
    <b v="1"/>
    <n v="603"/>
    <n v="141"/>
    <x v="5"/>
    <x v="3"/>
    <x v="0"/>
    <n v="44"/>
    <n v="3.3"/>
    <b v="1"/>
    <x v="0"/>
    <n v="1363"/>
    <x v="0"/>
    <x v="0"/>
    <x v="3"/>
  </r>
  <r>
    <n v="2190"/>
    <x v="312"/>
    <x v="74"/>
    <x v="21"/>
    <n v="11"/>
    <x v="0"/>
    <n v="87.89"/>
    <x v="187"/>
    <x v="4"/>
    <x v="4"/>
    <n v="1"/>
    <b v="1"/>
    <n v="799"/>
    <n v="14"/>
    <x v="0"/>
    <x v="2"/>
    <x v="2"/>
    <n v="32"/>
    <n v="3.3"/>
    <b v="0"/>
    <x v="0"/>
    <n v="2323"/>
    <x v="2"/>
    <x v="4"/>
    <x v="1"/>
  </r>
  <r>
    <n v="2847"/>
    <x v="17"/>
    <x v="429"/>
    <x v="12"/>
    <n v="14"/>
    <x v="2"/>
    <n v="223.86"/>
    <x v="203"/>
    <x v="3"/>
    <x v="1"/>
    <n v="3"/>
    <b v="0"/>
    <n v="785"/>
    <n v="147"/>
    <x v="6"/>
    <x v="2"/>
    <x v="2"/>
    <n v="21"/>
    <n v="4.8"/>
    <b v="1"/>
    <x v="0"/>
    <n v="4291"/>
    <x v="2"/>
    <x v="3"/>
    <x v="2"/>
  </r>
  <r>
    <n v="6570"/>
    <x v="133"/>
    <x v="197"/>
    <x v="20"/>
    <n v="0"/>
    <x v="1"/>
    <n v="0"/>
    <x v="21"/>
    <x v="6"/>
    <x v="3"/>
    <n v="3"/>
    <b v="1"/>
    <n v="28"/>
    <n v="189"/>
    <x v="1"/>
    <x v="2"/>
    <x v="5"/>
    <n v="26"/>
    <n v="4.5999999999999996"/>
    <b v="1"/>
    <x v="0"/>
    <n v="4938"/>
    <x v="0"/>
    <x v="4"/>
    <x v="1"/>
  </r>
  <r>
    <n v="1149"/>
    <x v="47"/>
    <x v="233"/>
    <x v="14"/>
    <n v="17"/>
    <x v="1"/>
    <n v="203.83"/>
    <x v="335"/>
    <x v="0"/>
    <x v="0"/>
    <n v="2"/>
    <b v="1"/>
    <n v="637"/>
    <n v="14"/>
    <x v="0"/>
    <x v="1"/>
    <x v="5"/>
    <n v="50"/>
    <n v="3.2"/>
    <b v="1"/>
    <x v="0"/>
    <n v="913"/>
    <x v="1"/>
    <x v="3"/>
    <x v="0"/>
  </r>
  <r>
    <n v="1336"/>
    <x v="46"/>
    <x v="212"/>
    <x v="5"/>
    <n v="7"/>
    <x v="1"/>
    <n v="83.93"/>
    <x v="9"/>
    <x v="2"/>
    <x v="0"/>
    <n v="3"/>
    <b v="1"/>
    <n v="79"/>
    <n v="130"/>
    <x v="1"/>
    <x v="0"/>
    <x v="5"/>
    <n v="47"/>
    <n v="3.9"/>
    <b v="0"/>
    <x v="0"/>
    <n v="3925"/>
    <x v="3"/>
    <x v="4"/>
    <x v="2"/>
  </r>
  <r>
    <n v="6956"/>
    <x v="126"/>
    <x v="476"/>
    <x v="24"/>
    <n v="9"/>
    <x v="2"/>
    <n v="143.91"/>
    <x v="190"/>
    <x v="2"/>
    <x v="3"/>
    <n v="1"/>
    <b v="1"/>
    <n v="175"/>
    <n v="125"/>
    <x v="3"/>
    <x v="1"/>
    <x v="2"/>
    <n v="44"/>
    <n v="3.6"/>
    <b v="1"/>
    <x v="0"/>
    <n v="2517"/>
    <x v="3"/>
    <x v="4"/>
    <x v="1"/>
  </r>
  <r>
    <n v="7015"/>
    <x v="308"/>
    <x v="315"/>
    <x v="28"/>
    <n v="2"/>
    <x v="1"/>
    <n v="23.98"/>
    <x v="144"/>
    <x v="1"/>
    <x v="1"/>
    <n v="3"/>
    <b v="1"/>
    <n v="684"/>
    <n v="127"/>
    <x v="5"/>
    <x v="3"/>
    <x v="2"/>
    <n v="97"/>
    <n v="4.5999999999999996"/>
    <b v="0"/>
    <x v="0"/>
    <n v="2070"/>
    <x v="3"/>
    <x v="1"/>
    <x v="0"/>
  </r>
  <r>
    <n v="4104"/>
    <x v="325"/>
    <x v="513"/>
    <x v="8"/>
    <n v="15"/>
    <x v="2"/>
    <n v="239.85"/>
    <x v="333"/>
    <x v="2"/>
    <x v="4"/>
    <n v="5"/>
    <b v="0"/>
    <n v="247"/>
    <n v="197"/>
    <x v="0"/>
    <x v="3"/>
    <x v="5"/>
    <n v="90"/>
    <n v="4.7"/>
    <b v="0"/>
    <x v="0"/>
    <n v="4726"/>
    <x v="3"/>
    <x v="0"/>
    <x v="1"/>
  </r>
  <r>
    <n v="9413"/>
    <x v="31"/>
    <x v="514"/>
    <x v="25"/>
    <n v="15"/>
    <x v="2"/>
    <n v="239.85"/>
    <x v="386"/>
    <x v="2"/>
    <x v="2"/>
    <n v="3"/>
    <b v="1"/>
    <n v="741"/>
    <n v="68"/>
    <x v="0"/>
    <x v="3"/>
    <x v="0"/>
    <n v="30"/>
    <n v="5"/>
    <b v="1"/>
    <x v="0"/>
    <n v="1536"/>
    <x v="0"/>
    <x v="0"/>
    <x v="2"/>
  </r>
  <r>
    <n v="8300"/>
    <x v="107"/>
    <x v="388"/>
    <x v="0"/>
    <n v="7"/>
    <x v="2"/>
    <n v="111.93"/>
    <x v="250"/>
    <x v="3"/>
    <x v="1"/>
    <n v="4"/>
    <b v="0"/>
    <n v="623"/>
    <n v="53"/>
    <x v="1"/>
    <x v="2"/>
    <x v="4"/>
    <n v="17"/>
    <n v="3.5"/>
    <b v="0"/>
    <x v="0"/>
    <n v="2113"/>
    <x v="1"/>
    <x v="4"/>
    <x v="3"/>
  </r>
  <r>
    <n v="5126"/>
    <x v="114"/>
    <x v="515"/>
    <x v="25"/>
    <n v="6"/>
    <x v="0"/>
    <n v="47.94"/>
    <x v="353"/>
    <x v="1"/>
    <x v="1"/>
    <n v="1"/>
    <b v="1"/>
    <n v="327"/>
    <n v="76"/>
    <x v="2"/>
    <x v="0"/>
    <x v="5"/>
    <n v="9"/>
    <n v="4.3"/>
    <b v="1"/>
    <x v="0"/>
    <n v="428"/>
    <x v="4"/>
    <x v="1"/>
    <x v="3"/>
  </r>
  <r>
    <n v="1754"/>
    <x v="8"/>
    <x v="21"/>
    <x v="8"/>
    <n v="5"/>
    <x v="2"/>
    <n v="79.95"/>
    <x v="268"/>
    <x v="6"/>
    <x v="3"/>
    <n v="6"/>
    <b v="0"/>
    <n v="760"/>
    <n v="72"/>
    <x v="6"/>
    <x v="2"/>
    <x v="5"/>
    <n v="91"/>
    <n v="4.8"/>
    <b v="1"/>
    <x v="0"/>
    <n v="2336"/>
    <x v="2"/>
    <x v="3"/>
    <x v="3"/>
  </r>
  <r>
    <n v="7089"/>
    <x v="158"/>
    <x v="397"/>
    <x v="11"/>
    <n v="21"/>
    <x v="0"/>
    <n v="167.79"/>
    <x v="416"/>
    <x v="6"/>
    <x v="1"/>
    <n v="3"/>
    <b v="0"/>
    <n v="522"/>
    <n v="10"/>
    <x v="0"/>
    <x v="0"/>
    <x v="2"/>
    <n v="70"/>
    <n v="3.8"/>
    <b v="0"/>
    <x v="0"/>
    <n v="2344"/>
    <x v="1"/>
    <x v="1"/>
    <x v="2"/>
  </r>
  <r>
    <n v="1697"/>
    <x v="19"/>
    <x v="470"/>
    <x v="12"/>
    <n v="14"/>
    <x v="0"/>
    <n v="111.86"/>
    <x v="417"/>
    <x v="0"/>
    <x v="3"/>
    <n v="2"/>
    <b v="1"/>
    <n v="76"/>
    <n v="157"/>
    <x v="0"/>
    <x v="1"/>
    <x v="5"/>
    <n v="6"/>
    <n v="3.1"/>
    <b v="1"/>
    <x v="0"/>
    <n v="1351"/>
    <x v="3"/>
    <x v="4"/>
    <x v="3"/>
  </r>
  <r>
    <n v="4768"/>
    <x v="243"/>
    <x v="171"/>
    <x v="16"/>
    <n v="11"/>
    <x v="2"/>
    <n v="175.89000000000001"/>
    <x v="16"/>
    <x v="3"/>
    <x v="3"/>
    <n v="4"/>
    <b v="0"/>
    <n v="61"/>
    <n v="61"/>
    <x v="5"/>
    <x v="1"/>
    <x v="5"/>
    <n v="88"/>
    <n v="3.7"/>
    <b v="1"/>
    <x v="0"/>
    <n v="165"/>
    <x v="4"/>
    <x v="3"/>
    <x v="3"/>
  </r>
  <r>
    <n v="4205"/>
    <x v="105"/>
    <x v="344"/>
    <x v="27"/>
    <n v="11"/>
    <x v="2"/>
    <n v="175.89000000000001"/>
    <x v="49"/>
    <x v="5"/>
    <x v="4"/>
    <n v="4"/>
    <b v="1"/>
    <n v="800"/>
    <n v="101"/>
    <x v="0"/>
    <x v="3"/>
    <x v="4"/>
    <n v="89"/>
    <n v="4.3"/>
    <b v="0"/>
    <x v="0"/>
    <n v="3411"/>
    <x v="1"/>
    <x v="4"/>
    <x v="1"/>
  </r>
  <r>
    <n v="8844"/>
    <x v="38"/>
    <x v="230"/>
    <x v="13"/>
    <n v="2"/>
    <x v="0"/>
    <n v="15.98"/>
    <x v="232"/>
    <x v="2"/>
    <x v="0"/>
    <n v="6"/>
    <b v="1"/>
    <n v="226"/>
    <n v="104"/>
    <x v="0"/>
    <x v="1"/>
    <x v="1"/>
    <n v="59"/>
    <n v="3.3"/>
    <b v="1"/>
    <x v="0"/>
    <n v="615"/>
    <x v="3"/>
    <x v="3"/>
    <x v="0"/>
  </r>
  <r>
    <n v="1103"/>
    <x v="188"/>
    <x v="326"/>
    <x v="3"/>
    <n v="18"/>
    <x v="0"/>
    <n v="143.82"/>
    <x v="395"/>
    <x v="2"/>
    <x v="2"/>
    <n v="1"/>
    <b v="0"/>
    <n v="792"/>
    <n v="141"/>
    <x v="1"/>
    <x v="2"/>
    <x v="3"/>
    <n v="18"/>
    <n v="4.2"/>
    <b v="0"/>
    <x v="0"/>
    <n v="1538"/>
    <x v="0"/>
    <x v="4"/>
    <x v="3"/>
  </r>
  <r>
    <n v="2180"/>
    <x v="326"/>
    <x v="508"/>
    <x v="24"/>
    <n v="19"/>
    <x v="0"/>
    <n v="151.81"/>
    <x v="303"/>
    <x v="4"/>
    <x v="3"/>
    <n v="5"/>
    <b v="0"/>
    <n v="498"/>
    <n v="67"/>
    <x v="2"/>
    <x v="0"/>
    <x v="2"/>
    <n v="67"/>
    <n v="3"/>
    <b v="1"/>
    <x v="0"/>
    <n v="1835"/>
    <x v="2"/>
    <x v="0"/>
    <x v="0"/>
  </r>
  <r>
    <n v="6607"/>
    <x v="327"/>
    <x v="516"/>
    <x v="3"/>
    <n v="22"/>
    <x v="2"/>
    <n v="351.78000000000003"/>
    <x v="182"/>
    <x v="1"/>
    <x v="1"/>
    <n v="3"/>
    <b v="1"/>
    <n v="950"/>
    <n v="163"/>
    <x v="6"/>
    <x v="1"/>
    <x v="5"/>
    <n v="96"/>
    <n v="4.9000000000000004"/>
    <b v="1"/>
    <x v="0"/>
    <n v="3515"/>
    <x v="2"/>
    <x v="0"/>
    <x v="0"/>
  </r>
  <r>
    <n v="7949"/>
    <x v="178"/>
    <x v="517"/>
    <x v="18"/>
    <n v="22"/>
    <x v="1"/>
    <n v="263.78000000000003"/>
    <x v="305"/>
    <x v="5"/>
    <x v="3"/>
    <n v="4"/>
    <b v="0"/>
    <n v="906"/>
    <n v="141"/>
    <x v="4"/>
    <x v="2"/>
    <x v="0"/>
    <n v="56"/>
    <n v="4.5"/>
    <b v="1"/>
    <x v="0"/>
    <n v="1657"/>
    <x v="1"/>
    <x v="0"/>
    <x v="3"/>
  </r>
  <r>
    <n v="5337"/>
    <x v="227"/>
    <x v="188"/>
    <x v="14"/>
    <n v="3"/>
    <x v="0"/>
    <n v="23.97"/>
    <x v="418"/>
    <x v="4"/>
    <x v="2"/>
    <n v="4"/>
    <b v="1"/>
    <n v="245"/>
    <n v="116"/>
    <x v="6"/>
    <x v="3"/>
    <x v="2"/>
    <n v="71"/>
    <n v="4.2"/>
    <b v="1"/>
    <x v="0"/>
    <n v="2209"/>
    <x v="0"/>
    <x v="2"/>
    <x v="0"/>
  </r>
  <r>
    <n v="8477"/>
    <x v="90"/>
    <x v="41"/>
    <x v="3"/>
    <n v="16"/>
    <x v="0"/>
    <n v="127.84"/>
    <x v="163"/>
    <x v="1"/>
    <x v="4"/>
    <n v="2"/>
    <b v="0"/>
    <n v="33"/>
    <n v="7"/>
    <x v="0"/>
    <x v="0"/>
    <x v="1"/>
    <n v="13"/>
    <n v="4.8"/>
    <b v="1"/>
    <x v="0"/>
    <n v="1327"/>
    <x v="2"/>
    <x v="3"/>
    <x v="2"/>
  </r>
  <r>
    <n v="7673"/>
    <x v="328"/>
    <x v="37"/>
    <x v="7"/>
    <n v="15"/>
    <x v="0"/>
    <n v="119.85000000000001"/>
    <x v="147"/>
    <x v="0"/>
    <x v="4"/>
    <n v="2"/>
    <b v="0"/>
    <n v="70"/>
    <n v="41"/>
    <x v="5"/>
    <x v="3"/>
    <x v="3"/>
    <n v="78"/>
    <n v="3.7"/>
    <b v="0"/>
    <x v="0"/>
    <n v="4337"/>
    <x v="0"/>
    <x v="4"/>
    <x v="1"/>
  </r>
  <r>
    <n v="6113"/>
    <x v="329"/>
    <x v="343"/>
    <x v="2"/>
    <n v="13"/>
    <x v="1"/>
    <n v="155.87"/>
    <x v="111"/>
    <x v="5"/>
    <x v="0"/>
    <n v="4"/>
    <b v="1"/>
    <n v="779"/>
    <n v="86"/>
    <x v="2"/>
    <x v="3"/>
    <x v="0"/>
    <n v="85"/>
    <n v="4.7"/>
    <b v="1"/>
    <x v="0"/>
    <n v="398"/>
    <x v="3"/>
    <x v="4"/>
    <x v="1"/>
  </r>
  <r>
    <n v="7457"/>
    <x v="220"/>
    <x v="278"/>
    <x v="26"/>
    <n v="19"/>
    <x v="1"/>
    <n v="227.81"/>
    <x v="9"/>
    <x v="2"/>
    <x v="2"/>
    <n v="1"/>
    <b v="1"/>
    <n v="536"/>
    <n v="150"/>
    <x v="2"/>
    <x v="1"/>
    <x v="2"/>
    <n v="7"/>
    <n v="3.2"/>
    <b v="1"/>
    <x v="0"/>
    <n v="1508"/>
    <x v="0"/>
    <x v="3"/>
    <x v="2"/>
  </r>
  <r>
    <n v="6639"/>
    <x v="182"/>
    <x v="81"/>
    <x v="13"/>
    <n v="12"/>
    <x v="0"/>
    <n v="95.88"/>
    <x v="370"/>
    <x v="0"/>
    <x v="1"/>
    <n v="6"/>
    <b v="1"/>
    <n v="902"/>
    <n v="20"/>
    <x v="5"/>
    <x v="0"/>
    <x v="2"/>
    <n v="62"/>
    <n v="3.9"/>
    <b v="1"/>
    <x v="0"/>
    <n v="249"/>
    <x v="1"/>
    <x v="0"/>
    <x v="1"/>
  </r>
  <r>
    <n v="5220"/>
    <x v="78"/>
    <x v="518"/>
    <x v="23"/>
    <n v="15"/>
    <x v="0"/>
    <n v="119.85000000000001"/>
    <x v="15"/>
    <x v="4"/>
    <x v="2"/>
    <n v="3"/>
    <b v="1"/>
    <n v="493"/>
    <n v="168"/>
    <x v="0"/>
    <x v="0"/>
    <x v="4"/>
    <n v="55"/>
    <n v="3.4"/>
    <b v="1"/>
    <x v="0"/>
    <n v="954"/>
    <x v="3"/>
    <x v="2"/>
    <x v="1"/>
  </r>
  <r>
    <n v="6970"/>
    <x v="165"/>
    <x v="107"/>
    <x v="21"/>
    <n v="0"/>
    <x v="0"/>
    <n v="0"/>
    <x v="406"/>
    <x v="6"/>
    <x v="0"/>
    <n v="3"/>
    <b v="1"/>
    <n v="589"/>
    <n v="103"/>
    <x v="1"/>
    <x v="2"/>
    <x v="0"/>
    <n v="93"/>
    <n v="3.2"/>
    <b v="1"/>
    <x v="0"/>
    <n v="3313"/>
    <x v="2"/>
    <x v="0"/>
    <x v="2"/>
  </r>
  <r>
    <n v="6705"/>
    <x v="30"/>
    <x v="519"/>
    <x v="28"/>
    <n v="2"/>
    <x v="0"/>
    <n v="15.98"/>
    <x v="151"/>
    <x v="6"/>
    <x v="2"/>
    <n v="6"/>
    <b v="1"/>
    <n v="206"/>
    <n v="132"/>
    <x v="5"/>
    <x v="1"/>
    <x v="0"/>
    <n v="63"/>
    <n v="3.5"/>
    <b v="1"/>
    <x v="0"/>
    <n v="1790"/>
    <x v="1"/>
    <x v="0"/>
    <x v="1"/>
  </r>
  <r>
    <n v="2477"/>
    <x v="164"/>
    <x v="152"/>
    <x v="29"/>
    <n v="20"/>
    <x v="2"/>
    <n v="319.8"/>
    <x v="152"/>
    <x v="2"/>
    <x v="2"/>
    <n v="6"/>
    <b v="1"/>
    <n v="752"/>
    <n v="21"/>
    <x v="0"/>
    <x v="1"/>
    <x v="0"/>
    <n v="94"/>
    <n v="3.9"/>
    <b v="0"/>
    <x v="0"/>
    <n v="2864"/>
    <x v="1"/>
    <x v="0"/>
    <x v="3"/>
  </r>
  <r>
    <n v="6236"/>
    <x v="301"/>
    <x v="376"/>
    <x v="7"/>
    <n v="20"/>
    <x v="1"/>
    <n v="239.8"/>
    <x v="211"/>
    <x v="0"/>
    <x v="2"/>
    <n v="3"/>
    <b v="0"/>
    <n v="514"/>
    <n v="68"/>
    <x v="3"/>
    <x v="2"/>
    <x v="2"/>
    <n v="4"/>
    <n v="4.7"/>
    <b v="0"/>
    <x v="0"/>
    <n v="1872"/>
    <x v="4"/>
    <x v="1"/>
    <x v="0"/>
  </r>
  <r>
    <n v="4079"/>
    <x v="330"/>
    <x v="466"/>
    <x v="1"/>
    <n v="22"/>
    <x v="0"/>
    <n v="175.78"/>
    <x v="249"/>
    <x v="4"/>
    <x v="0"/>
    <n v="6"/>
    <b v="1"/>
    <n v="858"/>
    <n v="58"/>
    <x v="5"/>
    <x v="1"/>
    <x v="1"/>
    <n v="21"/>
    <n v="4.5"/>
    <b v="1"/>
    <x v="0"/>
    <n v="2521"/>
    <x v="0"/>
    <x v="3"/>
    <x v="3"/>
  </r>
  <r>
    <n v="7927"/>
    <x v="265"/>
    <x v="517"/>
    <x v="8"/>
    <n v="22"/>
    <x v="0"/>
    <n v="175.78"/>
    <x v="368"/>
    <x v="3"/>
    <x v="4"/>
    <n v="3"/>
    <b v="0"/>
    <n v="970"/>
    <n v="59"/>
    <x v="5"/>
    <x v="2"/>
    <x v="3"/>
    <n v="78"/>
    <n v="4.5999999999999996"/>
    <b v="1"/>
    <x v="0"/>
    <n v="4426"/>
    <x v="4"/>
    <x v="4"/>
    <x v="0"/>
  </r>
  <r>
    <n v="5059"/>
    <x v="2"/>
    <x v="436"/>
    <x v="12"/>
    <n v="2"/>
    <x v="1"/>
    <n v="23.98"/>
    <x v="286"/>
    <x v="5"/>
    <x v="4"/>
    <n v="4"/>
    <b v="0"/>
    <n v="510"/>
    <n v="87"/>
    <x v="4"/>
    <x v="1"/>
    <x v="2"/>
    <n v="99"/>
    <n v="3.5"/>
    <b v="0"/>
    <x v="0"/>
    <n v="3100"/>
    <x v="2"/>
    <x v="3"/>
    <x v="3"/>
  </r>
  <r>
    <n v="4210"/>
    <x v="122"/>
    <x v="520"/>
    <x v="29"/>
    <n v="11"/>
    <x v="1"/>
    <n v="131.89000000000001"/>
    <x v="155"/>
    <x v="4"/>
    <x v="1"/>
    <n v="2"/>
    <b v="0"/>
    <n v="770"/>
    <n v="132"/>
    <x v="2"/>
    <x v="1"/>
    <x v="3"/>
    <n v="99"/>
    <n v="4.4000000000000004"/>
    <b v="0"/>
    <x v="0"/>
    <n v="4273"/>
    <x v="4"/>
    <x v="0"/>
    <x v="2"/>
  </r>
  <r>
    <n v="5054"/>
    <x v="2"/>
    <x v="517"/>
    <x v="10"/>
    <n v="22"/>
    <x v="1"/>
    <n v="263.78000000000003"/>
    <x v="46"/>
    <x v="3"/>
    <x v="3"/>
    <n v="2"/>
    <b v="0"/>
    <n v="903"/>
    <n v="19"/>
    <x v="1"/>
    <x v="2"/>
    <x v="0"/>
    <n v="76"/>
    <n v="4.5999999999999996"/>
    <b v="0"/>
    <x v="0"/>
    <n v="1254"/>
    <x v="3"/>
    <x v="3"/>
    <x v="2"/>
  </r>
  <r>
    <n v="5836"/>
    <x v="224"/>
    <x v="175"/>
    <x v="18"/>
    <n v="3"/>
    <x v="2"/>
    <n v="47.97"/>
    <x v="397"/>
    <x v="2"/>
    <x v="1"/>
    <n v="5"/>
    <b v="1"/>
    <n v="347"/>
    <n v="55"/>
    <x v="6"/>
    <x v="3"/>
    <x v="2"/>
    <n v="64"/>
    <n v="4.5999999999999996"/>
    <b v="1"/>
    <x v="0"/>
    <n v="4817"/>
    <x v="2"/>
    <x v="0"/>
    <x v="1"/>
  </r>
  <r>
    <n v="8612"/>
    <x v="133"/>
    <x v="172"/>
    <x v="13"/>
    <n v="9"/>
    <x v="0"/>
    <n v="71.91"/>
    <x v="81"/>
    <x v="5"/>
    <x v="3"/>
    <n v="5"/>
    <b v="0"/>
    <n v="600"/>
    <n v="109"/>
    <x v="5"/>
    <x v="3"/>
    <x v="2"/>
    <n v="76"/>
    <n v="4"/>
    <b v="0"/>
    <x v="0"/>
    <n v="2330"/>
    <x v="0"/>
    <x v="1"/>
    <x v="2"/>
  </r>
  <r>
    <n v="7445"/>
    <x v="29"/>
    <x v="22"/>
    <x v="16"/>
    <n v="12"/>
    <x v="2"/>
    <n v="191.88"/>
    <x v="386"/>
    <x v="4"/>
    <x v="2"/>
    <n v="6"/>
    <b v="1"/>
    <n v="583"/>
    <n v="127"/>
    <x v="0"/>
    <x v="2"/>
    <x v="4"/>
    <n v="0"/>
    <n v="3.6"/>
    <b v="0"/>
    <x v="0"/>
    <n v="244"/>
    <x v="1"/>
    <x v="0"/>
    <x v="0"/>
  </r>
  <r>
    <n v="6135"/>
    <x v="22"/>
    <x v="243"/>
    <x v="18"/>
    <n v="1"/>
    <x v="0"/>
    <n v="7.99"/>
    <x v="193"/>
    <x v="1"/>
    <x v="1"/>
    <n v="5"/>
    <b v="1"/>
    <n v="446"/>
    <n v="114"/>
    <x v="4"/>
    <x v="2"/>
    <x v="4"/>
    <n v="84"/>
    <n v="4.5"/>
    <b v="1"/>
    <x v="0"/>
    <n v="1539"/>
    <x v="4"/>
    <x v="1"/>
    <x v="0"/>
  </r>
  <r>
    <n v="3168"/>
    <x v="167"/>
    <x v="453"/>
    <x v="18"/>
    <n v="7"/>
    <x v="0"/>
    <n v="55.93"/>
    <x v="12"/>
    <x v="0"/>
    <x v="2"/>
    <n v="2"/>
    <b v="1"/>
    <n v="797"/>
    <n v="81"/>
    <x v="4"/>
    <x v="0"/>
    <x v="3"/>
    <n v="12"/>
    <n v="5"/>
    <b v="1"/>
    <x v="0"/>
    <n v="2657"/>
    <x v="2"/>
    <x v="3"/>
    <x v="2"/>
  </r>
  <r>
    <n v="2981"/>
    <x v="331"/>
    <x v="442"/>
    <x v="25"/>
    <n v="6"/>
    <x v="1"/>
    <n v="71.94"/>
    <x v="150"/>
    <x v="2"/>
    <x v="3"/>
    <n v="2"/>
    <b v="1"/>
    <n v="665"/>
    <n v="96"/>
    <x v="6"/>
    <x v="1"/>
    <x v="3"/>
    <n v="24"/>
    <n v="4.7"/>
    <b v="1"/>
    <x v="0"/>
    <n v="4851"/>
    <x v="0"/>
    <x v="2"/>
    <x v="3"/>
  </r>
  <r>
    <n v="7739"/>
    <x v="103"/>
    <x v="521"/>
    <x v="11"/>
    <n v="20"/>
    <x v="0"/>
    <n v="159.80000000000001"/>
    <x v="382"/>
    <x v="2"/>
    <x v="4"/>
    <n v="3"/>
    <b v="1"/>
    <n v="188"/>
    <n v="140"/>
    <x v="6"/>
    <x v="3"/>
    <x v="5"/>
    <n v="78"/>
    <n v="3.9"/>
    <b v="0"/>
    <x v="0"/>
    <n v="2341"/>
    <x v="0"/>
    <x v="1"/>
    <x v="3"/>
  </r>
  <r>
    <n v="5905"/>
    <x v="152"/>
    <x v="356"/>
    <x v="28"/>
    <n v="9"/>
    <x v="2"/>
    <n v="143.91"/>
    <x v="244"/>
    <x v="5"/>
    <x v="3"/>
    <n v="5"/>
    <b v="0"/>
    <n v="489"/>
    <n v="6"/>
    <x v="3"/>
    <x v="0"/>
    <x v="3"/>
    <n v="72"/>
    <n v="4.5"/>
    <b v="0"/>
    <x v="0"/>
    <n v="3356"/>
    <x v="4"/>
    <x v="4"/>
    <x v="0"/>
  </r>
  <r>
    <n v="1443"/>
    <x v="166"/>
    <x v="522"/>
    <x v="6"/>
    <n v="17"/>
    <x v="1"/>
    <n v="203.83"/>
    <x v="159"/>
    <x v="1"/>
    <x v="1"/>
    <n v="2"/>
    <b v="0"/>
    <n v="377"/>
    <n v="14"/>
    <x v="0"/>
    <x v="2"/>
    <x v="1"/>
    <n v="53"/>
    <n v="4.5999999999999996"/>
    <b v="0"/>
    <x v="0"/>
    <n v="228"/>
    <x v="4"/>
    <x v="4"/>
    <x v="0"/>
  </r>
  <r>
    <n v="6181"/>
    <x v="274"/>
    <x v="129"/>
    <x v="21"/>
    <n v="0"/>
    <x v="1"/>
    <n v="0"/>
    <x v="61"/>
    <x v="4"/>
    <x v="4"/>
    <n v="3"/>
    <b v="1"/>
    <n v="424"/>
    <n v="125"/>
    <x v="2"/>
    <x v="2"/>
    <x v="5"/>
    <n v="13"/>
    <n v="4.7"/>
    <b v="1"/>
    <x v="0"/>
    <n v="2821"/>
    <x v="2"/>
    <x v="0"/>
    <x v="1"/>
  </r>
  <r>
    <n v="8406"/>
    <x v="332"/>
    <x v="22"/>
    <x v="2"/>
    <n v="12"/>
    <x v="1"/>
    <n v="143.88"/>
    <x v="298"/>
    <x v="0"/>
    <x v="3"/>
    <n v="5"/>
    <b v="1"/>
    <n v="491"/>
    <n v="197"/>
    <x v="2"/>
    <x v="0"/>
    <x v="5"/>
    <n v="54"/>
    <n v="3.3"/>
    <b v="1"/>
    <x v="0"/>
    <n v="4380"/>
    <x v="0"/>
    <x v="0"/>
    <x v="0"/>
  </r>
  <r>
    <n v="5389"/>
    <x v="333"/>
    <x v="523"/>
    <x v="26"/>
    <n v="6"/>
    <x v="1"/>
    <n v="71.94"/>
    <x v="42"/>
    <x v="1"/>
    <x v="4"/>
    <n v="1"/>
    <b v="0"/>
    <n v="521"/>
    <n v="128"/>
    <x v="5"/>
    <x v="3"/>
    <x v="4"/>
    <n v="59"/>
    <n v="4.5999999999999996"/>
    <b v="1"/>
    <x v="0"/>
    <n v="2131"/>
    <x v="1"/>
    <x v="3"/>
    <x v="3"/>
  </r>
  <r>
    <n v="4586"/>
    <x v="334"/>
    <x v="82"/>
    <x v="15"/>
    <n v="13"/>
    <x v="0"/>
    <n v="103.87"/>
    <x v="419"/>
    <x v="0"/>
    <x v="0"/>
    <n v="4"/>
    <b v="1"/>
    <n v="506"/>
    <n v="193"/>
    <x v="5"/>
    <x v="1"/>
    <x v="3"/>
    <n v="79"/>
    <n v="4.3"/>
    <b v="0"/>
    <x v="0"/>
    <n v="3589"/>
    <x v="2"/>
    <x v="1"/>
    <x v="0"/>
  </r>
  <r>
    <n v="4020"/>
    <x v="316"/>
    <x v="357"/>
    <x v="3"/>
    <n v="8"/>
    <x v="2"/>
    <n v="127.92"/>
    <x v="141"/>
    <x v="2"/>
    <x v="1"/>
    <n v="6"/>
    <b v="0"/>
    <n v="390"/>
    <n v="43"/>
    <x v="2"/>
    <x v="1"/>
    <x v="2"/>
    <n v="33"/>
    <n v="4"/>
    <b v="0"/>
    <x v="0"/>
    <n v="4162"/>
    <x v="1"/>
    <x v="3"/>
    <x v="3"/>
  </r>
  <r>
    <n v="1635"/>
    <x v="196"/>
    <x v="265"/>
    <x v="21"/>
    <n v="11"/>
    <x v="2"/>
    <n v="175.89000000000001"/>
    <x v="3"/>
    <x v="2"/>
    <x v="1"/>
    <n v="5"/>
    <b v="1"/>
    <n v="276"/>
    <n v="182"/>
    <x v="4"/>
    <x v="3"/>
    <x v="2"/>
    <n v="52"/>
    <n v="4.9000000000000004"/>
    <b v="1"/>
    <x v="0"/>
    <n v="1013"/>
    <x v="2"/>
    <x v="0"/>
    <x v="3"/>
  </r>
  <r>
    <n v="9257"/>
    <x v="58"/>
    <x v="524"/>
    <x v="26"/>
    <n v="5"/>
    <x v="0"/>
    <n v="39.950000000000003"/>
    <x v="420"/>
    <x v="4"/>
    <x v="1"/>
    <n v="1"/>
    <b v="1"/>
    <n v="896"/>
    <n v="9"/>
    <x v="4"/>
    <x v="1"/>
    <x v="2"/>
    <n v="60"/>
    <n v="3.2"/>
    <b v="0"/>
    <x v="0"/>
    <n v="2731"/>
    <x v="1"/>
    <x v="2"/>
    <x v="2"/>
  </r>
  <r>
    <n v="6380"/>
    <x v="13"/>
    <x v="42"/>
    <x v="2"/>
    <n v="20"/>
    <x v="0"/>
    <n v="159.80000000000001"/>
    <x v="421"/>
    <x v="1"/>
    <x v="3"/>
    <n v="2"/>
    <b v="1"/>
    <n v="29"/>
    <n v="82"/>
    <x v="3"/>
    <x v="3"/>
    <x v="0"/>
    <n v="64"/>
    <n v="3.4"/>
    <b v="0"/>
    <x v="0"/>
    <n v="833"/>
    <x v="0"/>
    <x v="2"/>
    <x v="1"/>
  </r>
  <r>
    <n v="6385"/>
    <x v="227"/>
    <x v="479"/>
    <x v="14"/>
    <n v="16"/>
    <x v="1"/>
    <n v="191.84"/>
    <x v="6"/>
    <x v="3"/>
    <x v="1"/>
    <n v="5"/>
    <b v="0"/>
    <n v="523"/>
    <n v="30"/>
    <x v="5"/>
    <x v="3"/>
    <x v="1"/>
    <n v="2"/>
    <n v="4.8"/>
    <b v="0"/>
    <x v="0"/>
    <n v="2428"/>
    <x v="0"/>
    <x v="2"/>
    <x v="0"/>
  </r>
  <r>
    <n v="6858"/>
    <x v="138"/>
    <x v="525"/>
    <x v="20"/>
    <n v="11"/>
    <x v="1"/>
    <n v="131.89000000000001"/>
    <x v="259"/>
    <x v="3"/>
    <x v="1"/>
    <n v="2"/>
    <b v="0"/>
    <n v="918"/>
    <n v="82"/>
    <x v="3"/>
    <x v="1"/>
    <x v="1"/>
    <n v="81"/>
    <n v="3.2"/>
    <b v="0"/>
    <x v="0"/>
    <n v="4555"/>
    <x v="2"/>
    <x v="4"/>
    <x v="3"/>
  </r>
  <r>
    <n v="8875"/>
    <x v="196"/>
    <x v="10"/>
    <x v="6"/>
    <n v="20"/>
    <x v="2"/>
    <n v="319.8"/>
    <x v="243"/>
    <x v="0"/>
    <x v="3"/>
    <n v="2"/>
    <b v="0"/>
    <n v="40"/>
    <n v="166"/>
    <x v="2"/>
    <x v="3"/>
    <x v="5"/>
    <n v="83"/>
    <n v="4.2"/>
    <b v="0"/>
    <x v="0"/>
    <n v="4777"/>
    <x v="4"/>
    <x v="1"/>
    <x v="2"/>
  </r>
  <r>
    <n v="3334"/>
    <x v="123"/>
    <x v="453"/>
    <x v="21"/>
    <n v="7"/>
    <x v="2"/>
    <n v="111.93"/>
    <x v="339"/>
    <x v="0"/>
    <x v="0"/>
    <n v="1"/>
    <b v="1"/>
    <n v="614"/>
    <n v="69"/>
    <x v="6"/>
    <x v="0"/>
    <x v="3"/>
    <n v="27"/>
    <n v="3.6"/>
    <b v="1"/>
    <x v="0"/>
    <n v="459"/>
    <x v="0"/>
    <x v="1"/>
    <x v="0"/>
  </r>
  <r>
    <n v="5850"/>
    <x v="30"/>
    <x v="439"/>
    <x v="11"/>
    <n v="16"/>
    <x v="2"/>
    <n v="255.84"/>
    <x v="9"/>
    <x v="0"/>
    <x v="2"/>
    <n v="1"/>
    <b v="0"/>
    <n v="833"/>
    <n v="89"/>
    <x v="6"/>
    <x v="3"/>
    <x v="3"/>
    <n v="32"/>
    <n v="4.9000000000000004"/>
    <b v="0"/>
    <x v="0"/>
    <n v="2644"/>
    <x v="2"/>
    <x v="2"/>
    <x v="1"/>
  </r>
  <r>
    <n v="8593"/>
    <x v="46"/>
    <x v="294"/>
    <x v="5"/>
    <n v="4"/>
    <x v="2"/>
    <n v="63.96"/>
    <x v="396"/>
    <x v="4"/>
    <x v="4"/>
    <n v="3"/>
    <b v="0"/>
    <n v="238"/>
    <n v="39"/>
    <x v="6"/>
    <x v="3"/>
    <x v="1"/>
    <n v="23"/>
    <n v="4.7"/>
    <b v="0"/>
    <x v="0"/>
    <n v="2678"/>
    <x v="2"/>
    <x v="3"/>
    <x v="1"/>
  </r>
  <r>
    <n v="6278"/>
    <x v="158"/>
    <x v="157"/>
    <x v="9"/>
    <n v="17"/>
    <x v="0"/>
    <n v="135.83000000000001"/>
    <x v="114"/>
    <x v="1"/>
    <x v="1"/>
    <n v="6"/>
    <b v="1"/>
    <n v="861"/>
    <n v="59"/>
    <x v="0"/>
    <x v="1"/>
    <x v="0"/>
    <n v="42"/>
    <n v="4.4000000000000004"/>
    <b v="0"/>
    <x v="0"/>
    <n v="1129"/>
    <x v="3"/>
    <x v="3"/>
    <x v="2"/>
  </r>
  <r>
    <n v="1388"/>
    <x v="47"/>
    <x v="246"/>
    <x v="5"/>
    <n v="10"/>
    <x v="2"/>
    <n v="159.9"/>
    <x v="376"/>
    <x v="6"/>
    <x v="0"/>
    <n v="3"/>
    <b v="1"/>
    <n v="999"/>
    <n v="127"/>
    <x v="0"/>
    <x v="3"/>
    <x v="0"/>
    <n v="4"/>
    <n v="4"/>
    <b v="0"/>
    <x v="0"/>
    <n v="1258"/>
    <x v="1"/>
    <x v="2"/>
    <x v="0"/>
  </r>
  <r>
    <n v="2521"/>
    <x v="40"/>
    <x v="526"/>
    <x v="12"/>
    <n v="6"/>
    <x v="2"/>
    <n v="95.94"/>
    <x v="364"/>
    <x v="0"/>
    <x v="4"/>
    <n v="4"/>
    <b v="0"/>
    <n v="118"/>
    <n v="6"/>
    <x v="0"/>
    <x v="3"/>
    <x v="4"/>
    <n v="57"/>
    <n v="5"/>
    <b v="0"/>
    <x v="0"/>
    <n v="3213"/>
    <x v="0"/>
    <x v="4"/>
    <x v="1"/>
  </r>
  <r>
    <n v="1269"/>
    <x v="335"/>
    <x v="527"/>
    <x v="26"/>
    <n v="22"/>
    <x v="2"/>
    <n v="351.78000000000003"/>
    <x v="88"/>
    <x v="0"/>
    <x v="0"/>
    <n v="2"/>
    <b v="0"/>
    <n v="404"/>
    <n v="177"/>
    <x v="0"/>
    <x v="3"/>
    <x v="3"/>
    <n v="81"/>
    <n v="4.4000000000000004"/>
    <b v="0"/>
    <x v="0"/>
    <n v="4127"/>
    <x v="4"/>
    <x v="2"/>
    <x v="1"/>
  </r>
  <r>
    <n v="9959"/>
    <x v="110"/>
    <x v="281"/>
    <x v="5"/>
    <n v="2"/>
    <x v="2"/>
    <n v="31.98"/>
    <x v="297"/>
    <x v="0"/>
    <x v="3"/>
    <n v="6"/>
    <b v="1"/>
    <n v="938"/>
    <n v="75"/>
    <x v="5"/>
    <x v="1"/>
    <x v="1"/>
    <n v="51"/>
    <n v="3.1"/>
    <b v="0"/>
    <x v="0"/>
    <n v="1961"/>
    <x v="2"/>
    <x v="1"/>
    <x v="3"/>
  </r>
  <r>
    <n v="7549"/>
    <x v="332"/>
    <x v="118"/>
    <x v="14"/>
    <n v="5"/>
    <x v="2"/>
    <n v="79.95"/>
    <x v="169"/>
    <x v="6"/>
    <x v="1"/>
    <n v="5"/>
    <b v="1"/>
    <n v="112"/>
    <n v="181"/>
    <x v="6"/>
    <x v="2"/>
    <x v="1"/>
    <n v="47"/>
    <n v="3.2"/>
    <b v="1"/>
    <x v="0"/>
    <n v="1708"/>
    <x v="1"/>
    <x v="2"/>
    <x v="3"/>
  </r>
  <r>
    <n v="4747"/>
    <x v="84"/>
    <x v="528"/>
    <x v="28"/>
    <n v="9"/>
    <x v="1"/>
    <n v="107.91"/>
    <x v="210"/>
    <x v="0"/>
    <x v="3"/>
    <n v="1"/>
    <b v="1"/>
    <n v="430"/>
    <n v="188"/>
    <x v="2"/>
    <x v="2"/>
    <x v="5"/>
    <n v="78"/>
    <n v="4.4000000000000004"/>
    <b v="1"/>
    <x v="0"/>
    <n v="2288"/>
    <x v="2"/>
    <x v="4"/>
    <x v="2"/>
  </r>
  <r>
    <n v="8320"/>
    <x v="248"/>
    <x v="289"/>
    <x v="28"/>
    <n v="11"/>
    <x v="2"/>
    <n v="175.89000000000001"/>
    <x v="422"/>
    <x v="5"/>
    <x v="2"/>
    <n v="2"/>
    <b v="0"/>
    <n v="626"/>
    <n v="69"/>
    <x v="0"/>
    <x v="0"/>
    <x v="2"/>
    <n v="17"/>
    <n v="4.2"/>
    <b v="1"/>
    <x v="0"/>
    <n v="4570"/>
    <x v="3"/>
    <x v="0"/>
    <x v="2"/>
  </r>
  <r>
    <n v="1333"/>
    <x v="20"/>
    <x v="529"/>
    <x v="4"/>
    <n v="7"/>
    <x v="2"/>
    <n v="111.93"/>
    <x v="410"/>
    <x v="2"/>
    <x v="3"/>
    <n v="4"/>
    <b v="1"/>
    <n v="819"/>
    <n v="143"/>
    <x v="1"/>
    <x v="2"/>
    <x v="1"/>
    <n v="23"/>
    <n v="5"/>
    <b v="0"/>
    <x v="0"/>
    <n v="2547"/>
    <x v="1"/>
    <x v="3"/>
    <x v="1"/>
  </r>
  <r>
    <n v="5254"/>
    <x v="243"/>
    <x v="281"/>
    <x v="10"/>
    <n v="2"/>
    <x v="2"/>
    <n v="31.98"/>
    <x v="423"/>
    <x v="6"/>
    <x v="4"/>
    <n v="3"/>
    <b v="0"/>
    <n v="718"/>
    <n v="3"/>
    <x v="1"/>
    <x v="1"/>
    <x v="1"/>
    <n v="43"/>
    <n v="4.2"/>
    <b v="1"/>
    <x v="0"/>
    <n v="4655"/>
    <x v="1"/>
    <x v="2"/>
    <x v="0"/>
  </r>
  <r>
    <n v="6842"/>
    <x v="297"/>
    <x v="31"/>
    <x v="23"/>
    <n v="17"/>
    <x v="2"/>
    <n v="271.83"/>
    <x v="326"/>
    <x v="1"/>
    <x v="1"/>
    <n v="4"/>
    <b v="1"/>
    <n v="109"/>
    <n v="174"/>
    <x v="1"/>
    <x v="1"/>
    <x v="0"/>
    <n v="74"/>
    <n v="4.4000000000000004"/>
    <b v="1"/>
    <x v="0"/>
    <n v="1656"/>
    <x v="4"/>
    <x v="4"/>
    <x v="0"/>
  </r>
  <r>
    <n v="9333"/>
    <x v="291"/>
    <x v="530"/>
    <x v="6"/>
    <n v="12"/>
    <x v="1"/>
    <n v="143.88"/>
    <x v="198"/>
    <x v="5"/>
    <x v="2"/>
    <n v="1"/>
    <b v="0"/>
    <n v="544"/>
    <n v="25"/>
    <x v="3"/>
    <x v="3"/>
    <x v="1"/>
    <n v="47"/>
    <n v="3.6"/>
    <b v="0"/>
    <x v="0"/>
    <n v="2761"/>
    <x v="3"/>
    <x v="1"/>
    <x v="1"/>
  </r>
  <r>
    <n v="9122"/>
    <x v="336"/>
    <x v="531"/>
    <x v="11"/>
    <n v="4"/>
    <x v="2"/>
    <n v="63.96"/>
    <x v="204"/>
    <x v="0"/>
    <x v="0"/>
    <n v="2"/>
    <b v="1"/>
    <n v="25"/>
    <n v="171"/>
    <x v="6"/>
    <x v="0"/>
    <x v="0"/>
    <n v="79"/>
    <n v="4"/>
    <b v="0"/>
    <x v="0"/>
    <n v="773"/>
    <x v="1"/>
    <x v="1"/>
    <x v="1"/>
  </r>
  <r>
    <n v="6221"/>
    <x v="40"/>
    <x v="160"/>
    <x v="9"/>
    <n v="0"/>
    <x v="1"/>
    <n v="0"/>
    <x v="380"/>
    <x v="0"/>
    <x v="3"/>
    <n v="1"/>
    <b v="1"/>
    <n v="513"/>
    <n v="70"/>
    <x v="0"/>
    <x v="2"/>
    <x v="3"/>
    <n v="86"/>
    <n v="3.7"/>
    <b v="0"/>
    <x v="0"/>
    <n v="1652"/>
    <x v="1"/>
    <x v="2"/>
    <x v="0"/>
  </r>
  <r>
    <n v="9957"/>
    <x v="158"/>
    <x v="532"/>
    <x v="0"/>
    <n v="13"/>
    <x v="2"/>
    <n v="207.87"/>
    <x v="134"/>
    <x v="3"/>
    <x v="2"/>
    <n v="6"/>
    <b v="1"/>
    <n v="1000"/>
    <n v="48"/>
    <x v="6"/>
    <x v="1"/>
    <x v="3"/>
    <n v="92"/>
    <n v="3.7"/>
    <b v="0"/>
    <x v="0"/>
    <n v="1037"/>
    <x v="4"/>
    <x v="4"/>
    <x v="0"/>
  </r>
  <r>
    <n v="4680"/>
    <x v="337"/>
    <x v="533"/>
    <x v="11"/>
    <n v="0"/>
    <x v="1"/>
    <n v="0"/>
    <x v="199"/>
    <x v="6"/>
    <x v="3"/>
    <n v="5"/>
    <b v="1"/>
    <n v="749"/>
    <n v="66"/>
    <x v="0"/>
    <x v="3"/>
    <x v="1"/>
    <n v="37"/>
    <n v="3.3"/>
    <b v="1"/>
    <x v="0"/>
    <n v="4505"/>
    <x v="2"/>
    <x v="0"/>
    <x v="3"/>
  </r>
  <r>
    <n v="5974"/>
    <x v="338"/>
    <x v="76"/>
    <x v="16"/>
    <n v="1"/>
    <x v="2"/>
    <n v="15.99"/>
    <x v="408"/>
    <x v="3"/>
    <x v="0"/>
    <n v="5"/>
    <b v="1"/>
    <n v="600"/>
    <n v="199"/>
    <x v="2"/>
    <x v="3"/>
    <x v="1"/>
    <n v="56"/>
    <n v="3.7"/>
    <b v="0"/>
    <x v="0"/>
    <n v="3648"/>
    <x v="4"/>
    <x v="2"/>
    <x v="1"/>
  </r>
  <r>
    <n v="6938"/>
    <x v="173"/>
    <x v="170"/>
    <x v="20"/>
    <n v="7"/>
    <x v="1"/>
    <n v="83.93"/>
    <x v="183"/>
    <x v="0"/>
    <x v="4"/>
    <n v="6"/>
    <b v="0"/>
    <n v="897"/>
    <n v="59"/>
    <x v="5"/>
    <x v="2"/>
    <x v="0"/>
    <n v="11"/>
    <n v="3.4"/>
    <b v="0"/>
    <x v="0"/>
    <n v="4015"/>
    <x v="1"/>
    <x v="2"/>
    <x v="3"/>
  </r>
  <r>
    <n v="1175"/>
    <x v="263"/>
    <x v="534"/>
    <x v="18"/>
    <n v="8"/>
    <x v="2"/>
    <n v="127.92"/>
    <x v="116"/>
    <x v="5"/>
    <x v="0"/>
    <n v="6"/>
    <b v="1"/>
    <n v="412"/>
    <n v="117"/>
    <x v="5"/>
    <x v="2"/>
    <x v="0"/>
    <n v="48"/>
    <n v="4"/>
    <b v="1"/>
    <x v="0"/>
    <n v="2050"/>
    <x v="4"/>
    <x v="1"/>
    <x v="3"/>
  </r>
  <r>
    <n v="1260"/>
    <x v="205"/>
    <x v="534"/>
    <x v="25"/>
    <n v="8"/>
    <x v="0"/>
    <n v="63.92"/>
    <x v="139"/>
    <x v="3"/>
    <x v="3"/>
    <n v="2"/>
    <b v="0"/>
    <n v="669"/>
    <n v="155"/>
    <x v="5"/>
    <x v="1"/>
    <x v="2"/>
    <n v="40"/>
    <n v="4.8"/>
    <b v="1"/>
    <x v="0"/>
    <n v="2390"/>
    <x v="4"/>
    <x v="0"/>
    <x v="0"/>
  </r>
  <r>
    <n v="4645"/>
    <x v="32"/>
    <x v="535"/>
    <x v="2"/>
    <n v="18"/>
    <x v="0"/>
    <n v="143.82"/>
    <x v="244"/>
    <x v="0"/>
    <x v="4"/>
    <n v="5"/>
    <b v="1"/>
    <n v="323"/>
    <n v="130"/>
    <x v="5"/>
    <x v="3"/>
    <x v="5"/>
    <n v="29"/>
    <n v="3"/>
    <b v="1"/>
    <x v="0"/>
    <n v="3079"/>
    <x v="1"/>
    <x v="0"/>
    <x v="3"/>
  </r>
  <r>
    <n v="1637"/>
    <x v="27"/>
    <x v="536"/>
    <x v="4"/>
    <n v="7"/>
    <x v="2"/>
    <n v="111.93"/>
    <x v="195"/>
    <x v="2"/>
    <x v="4"/>
    <n v="3"/>
    <b v="1"/>
    <n v="646"/>
    <n v="38"/>
    <x v="2"/>
    <x v="3"/>
    <x v="0"/>
    <n v="37"/>
    <n v="4.0999999999999996"/>
    <b v="0"/>
    <x v="0"/>
    <n v="4111"/>
    <x v="4"/>
    <x v="3"/>
    <x v="0"/>
  </r>
  <r>
    <n v="7960"/>
    <x v="234"/>
    <x v="527"/>
    <x v="7"/>
    <n v="22"/>
    <x v="2"/>
    <n v="351.78000000000003"/>
    <x v="73"/>
    <x v="5"/>
    <x v="1"/>
    <n v="3"/>
    <b v="0"/>
    <n v="507"/>
    <n v="130"/>
    <x v="1"/>
    <x v="2"/>
    <x v="4"/>
    <n v="41"/>
    <n v="3.3"/>
    <b v="1"/>
    <x v="0"/>
    <n v="3221"/>
    <x v="0"/>
    <x v="2"/>
    <x v="2"/>
  </r>
  <r>
    <n v="9693"/>
    <x v="339"/>
    <x v="28"/>
    <x v="10"/>
    <n v="8"/>
    <x v="2"/>
    <n v="127.92"/>
    <x v="294"/>
    <x v="5"/>
    <x v="3"/>
    <n v="1"/>
    <b v="0"/>
    <n v="881"/>
    <n v="15"/>
    <x v="2"/>
    <x v="0"/>
    <x v="2"/>
    <n v="22"/>
    <n v="3.6"/>
    <b v="0"/>
    <x v="0"/>
    <n v="2461"/>
    <x v="4"/>
    <x v="2"/>
    <x v="3"/>
  </r>
  <r>
    <n v="8743"/>
    <x v="72"/>
    <x v="27"/>
    <x v="9"/>
    <n v="9"/>
    <x v="1"/>
    <n v="107.91"/>
    <x v="138"/>
    <x v="0"/>
    <x v="0"/>
    <n v="5"/>
    <b v="1"/>
    <n v="594"/>
    <n v="127"/>
    <x v="3"/>
    <x v="0"/>
    <x v="1"/>
    <n v="79"/>
    <n v="3.9"/>
    <b v="0"/>
    <x v="0"/>
    <n v="2858"/>
    <x v="0"/>
    <x v="3"/>
    <x v="2"/>
  </r>
  <r>
    <n v="3379"/>
    <x v="319"/>
    <x v="199"/>
    <x v="20"/>
    <n v="15"/>
    <x v="2"/>
    <n v="239.85"/>
    <x v="366"/>
    <x v="2"/>
    <x v="0"/>
    <n v="1"/>
    <b v="1"/>
    <n v="667"/>
    <n v="75"/>
    <x v="3"/>
    <x v="0"/>
    <x v="1"/>
    <n v="89"/>
    <n v="4.5"/>
    <b v="0"/>
    <x v="0"/>
    <n v="4076"/>
    <x v="4"/>
    <x v="4"/>
    <x v="3"/>
  </r>
  <r>
    <n v="7696"/>
    <x v="84"/>
    <x v="301"/>
    <x v="10"/>
    <n v="12"/>
    <x v="2"/>
    <n v="191.88"/>
    <x v="338"/>
    <x v="0"/>
    <x v="2"/>
    <n v="5"/>
    <b v="0"/>
    <n v="709"/>
    <n v="151"/>
    <x v="2"/>
    <x v="1"/>
    <x v="1"/>
    <n v="72"/>
    <n v="3.7"/>
    <b v="0"/>
    <x v="0"/>
    <n v="2163"/>
    <x v="3"/>
    <x v="3"/>
    <x v="3"/>
  </r>
  <r>
    <n v="8552"/>
    <x v="0"/>
    <x v="537"/>
    <x v="12"/>
    <n v="12"/>
    <x v="2"/>
    <n v="191.88"/>
    <x v="377"/>
    <x v="0"/>
    <x v="2"/>
    <n v="4"/>
    <b v="0"/>
    <n v="537"/>
    <n v="101"/>
    <x v="2"/>
    <x v="1"/>
    <x v="3"/>
    <n v="64"/>
    <n v="3"/>
    <b v="1"/>
    <x v="0"/>
    <n v="3726"/>
    <x v="1"/>
    <x v="4"/>
    <x v="2"/>
  </r>
  <r>
    <n v="5065"/>
    <x v="105"/>
    <x v="220"/>
    <x v="10"/>
    <n v="21"/>
    <x v="1"/>
    <n v="251.79"/>
    <x v="300"/>
    <x v="6"/>
    <x v="2"/>
    <n v="6"/>
    <b v="1"/>
    <n v="490"/>
    <n v="22"/>
    <x v="2"/>
    <x v="3"/>
    <x v="1"/>
    <n v="62"/>
    <n v="4.7"/>
    <b v="1"/>
    <x v="0"/>
    <n v="47"/>
    <x v="1"/>
    <x v="4"/>
    <x v="3"/>
  </r>
  <r>
    <n v="6878"/>
    <x v="5"/>
    <x v="538"/>
    <x v="12"/>
    <n v="7"/>
    <x v="0"/>
    <n v="55.93"/>
    <x v="238"/>
    <x v="2"/>
    <x v="3"/>
    <n v="5"/>
    <b v="1"/>
    <n v="20"/>
    <n v="18"/>
    <x v="1"/>
    <x v="1"/>
    <x v="0"/>
    <n v="7"/>
    <n v="4.4000000000000004"/>
    <b v="1"/>
    <x v="0"/>
    <n v="4742"/>
    <x v="4"/>
    <x v="0"/>
    <x v="0"/>
  </r>
  <r>
    <n v="5681"/>
    <x v="103"/>
    <x v="313"/>
    <x v="23"/>
    <n v="7"/>
    <x v="1"/>
    <n v="83.93"/>
    <x v="414"/>
    <x v="6"/>
    <x v="4"/>
    <n v="6"/>
    <b v="1"/>
    <n v="824"/>
    <n v="31"/>
    <x v="3"/>
    <x v="3"/>
    <x v="4"/>
    <n v="13"/>
    <n v="3.3"/>
    <b v="0"/>
    <x v="0"/>
    <n v="2910"/>
    <x v="1"/>
    <x v="2"/>
    <x v="2"/>
  </r>
  <r>
    <n v="4448"/>
    <x v="59"/>
    <x v="204"/>
    <x v="17"/>
    <n v="8"/>
    <x v="1"/>
    <n v="95.92"/>
    <x v="35"/>
    <x v="2"/>
    <x v="4"/>
    <n v="2"/>
    <b v="0"/>
    <n v="319"/>
    <n v="187"/>
    <x v="4"/>
    <x v="2"/>
    <x v="4"/>
    <n v="58"/>
    <n v="3.6"/>
    <b v="0"/>
    <x v="0"/>
    <n v="1180"/>
    <x v="4"/>
    <x v="0"/>
    <x v="2"/>
  </r>
  <r>
    <n v="5795"/>
    <x v="84"/>
    <x v="539"/>
    <x v="0"/>
    <n v="12"/>
    <x v="1"/>
    <n v="143.88"/>
    <x v="395"/>
    <x v="0"/>
    <x v="4"/>
    <n v="2"/>
    <b v="0"/>
    <n v="754"/>
    <n v="23"/>
    <x v="5"/>
    <x v="1"/>
    <x v="3"/>
    <n v="43"/>
    <n v="4.4000000000000004"/>
    <b v="0"/>
    <x v="0"/>
    <n v="1965"/>
    <x v="3"/>
    <x v="1"/>
    <x v="2"/>
  </r>
  <r>
    <n v="5320"/>
    <x v="72"/>
    <x v="334"/>
    <x v="28"/>
    <n v="14"/>
    <x v="1"/>
    <n v="167.86"/>
    <x v="263"/>
    <x v="3"/>
    <x v="1"/>
    <n v="6"/>
    <b v="0"/>
    <n v="718"/>
    <n v="25"/>
    <x v="0"/>
    <x v="0"/>
    <x v="1"/>
    <n v="73"/>
    <n v="4.4000000000000004"/>
    <b v="0"/>
    <x v="0"/>
    <n v="3179"/>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CE031B-E9B5-4976-8F19-6322ABA3EA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K3:M20" firstHeaderRow="1" firstDataRow="1" firstDataCol="0"/>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formats count="1">
    <format dxfId="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F3F2D6-0CDF-4807-8CFE-CF024A6F6D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3:I7" firstHeaderRow="1" firstDataRow="1"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pivotField showAll="0"/>
    <pivotField axis="axisRow" showAll="0">
      <items count="5">
        <item x="0"/>
        <item x="1"/>
        <item x="2"/>
        <item h="1"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4">
    <i>
      <x/>
    </i>
    <i>
      <x v="1"/>
    </i>
    <i>
      <x v="2"/>
    </i>
    <i t="grand">
      <x/>
    </i>
  </rowItems>
  <colItems count="1">
    <i/>
  </colItems>
  <dataFields count="1">
    <dataField name="Sum of Revenue per user" fld="6" baseField="0" baseItem="0"/>
  </dataFields>
  <formats count="2">
    <format dxfId="5">
      <pivotArea grandRow="1" outline="0" collapsedLevelsAreSubtotals="1" fieldPosition="0"/>
    </format>
    <format dxfId="4">
      <pivotArea collapsedLevelsAreSubtotals="1" fieldPosition="0">
        <references count="1">
          <reference field="5" count="0"/>
        </references>
      </pivotArea>
    </format>
  </formats>
  <chartFormats count="2">
    <chartFormat chart="18"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E7D6C4-0A93-4A19-A586-E2886A7835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E8" firstHeaderRow="1" firstDataRow="2" firstDataCol="1"/>
  <pivotFields count="28">
    <pivotField showAll="0"/>
    <pivotField showAll="0"/>
    <pivotField showAll="0">
      <items count="542">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x="540"/>
        <item t="default"/>
      </items>
    </pivotField>
    <pivotField showAll="0"/>
    <pivotField showAll="0"/>
    <pivotField axis="axisRow" showAll="0">
      <items count="5">
        <item x="0"/>
        <item x="1"/>
        <item x="2"/>
        <item h="1"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5"/>
  </rowFields>
  <rowItems count="4">
    <i>
      <x/>
    </i>
    <i>
      <x v="1"/>
    </i>
    <i>
      <x v="2"/>
    </i>
    <i t="grand">
      <x/>
    </i>
  </rowItems>
  <colFields count="1">
    <field x="27"/>
  </colFields>
  <colItems count="4">
    <i>
      <x v="1"/>
    </i>
    <i>
      <x v="2"/>
    </i>
    <i>
      <x v="3"/>
    </i>
    <i t="grand">
      <x/>
    </i>
  </colItems>
  <dataFields count="1">
    <dataField name="Count of Revenue per user" fld="6" subtotal="count" baseField="5" baseItem="0"/>
  </dataFields>
  <formats count="3">
    <format dxfId="8">
      <pivotArea field="5" grandCol="1" collapsedLevelsAreSubtotals="1" axis="axisRow" fieldPosition="0">
        <references count="1">
          <reference field="5" count="0"/>
        </references>
      </pivotArea>
    </format>
    <format dxfId="7">
      <pivotArea grandRow="1" outline="0" collapsedLevelsAreSubtotals="1" fieldPosition="0"/>
    </format>
    <format dxfId="6">
      <pivotArea collapsedLevelsAreSubtotals="1" fieldPosition="0">
        <references count="2">
          <reference field="5" count="0"/>
          <reference field="27" count="3" selected="0">
            <x v="1"/>
            <x v="2"/>
            <x v="3"/>
          </reference>
        </references>
      </pivotArea>
    </format>
  </formats>
  <chartFormats count="14">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27" count="1" selected="0">
            <x v="2"/>
          </reference>
        </references>
      </pivotArea>
    </chartFormat>
    <chartFormat chart="0" format="5" series="1">
      <pivotArea type="data" outline="0" fieldPosition="0">
        <references count="2">
          <reference field="4294967294" count="1" selected="0">
            <x v="0"/>
          </reference>
          <reference field="27" count="1" selected="0">
            <x v="3"/>
          </reference>
        </references>
      </pivotArea>
    </chartFormat>
    <chartFormat chart="0" format="6" series="1">
      <pivotArea type="data" outline="0" fieldPosition="0">
        <references count="2">
          <reference field="4294967294" count="1" selected="0">
            <x v="0"/>
          </reference>
          <reference field="27" count="1" selected="0">
            <x v="1"/>
          </reference>
        </references>
      </pivotArea>
    </chartFormat>
    <chartFormat chart="10" format="0" series="1">
      <pivotArea type="data" outline="0" fieldPosition="0">
        <references count="2">
          <reference field="4294967294" count="1" selected="0">
            <x v="0"/>
          </reference>
          <reference field="27" count="1" selected="0">
            <x v="1"/>
          </reference>
        </references>
      </pivotArea>
    </chartFormat>
    <chartFormat chart="10" format="1" series="1">
      <pivotArea type="data" outline="0" fieldPosition="0">
        <references count="2">
          <reference field="4294967294" count="1" selected="0">
            <x v="0"/>
          </reference>
          <reference field="27" count="1" selected="0">
            <x v="2"/>
          </reference>
        </references>
      </pivotArea>
    </chartFormat>
    <chartFormat chart="10" format="2" series="1">
      <pivotArea type="data" outline="0" fieldPosition="0">
        <references count="2">
          <reference field="4294967294" count="1" selected="0">
            <x v="0"/>
          </reference>
          <reference field="27" count="1" selected="0">
            <x v="3"/>
          </reference>
        </references>
      </pivotArea>
    </chartFormat>
    <chartFormat chart="11" format="0" series="1">
      <pivotArea type="data" outline="0" fieldPosition="0">
        <references count="2">
          <reference field="4294967294" count="1" selected="0">
            <x v="0"/>
          </reference>
          <reference field="27" count="1" selected="0">
            <x v="1"/>
          </reference>
        </references>
      </pivotArea>
    </chartFormat>
    <chartFormat chart="11" format="1" series="1">
      <pivotArea type="data" outline="0" fieldPosition="0">
        <references count="2">
          <reference field="4294967294" count="1" selected="0">
            <x v="0"/>
          </reference>
          <reference field="27" count="1" selected="0">
            <x v="2"/>
          </reference>
        </references>
      </pivotArea>
    </chartFormat>
    <chartFormat chart="11" format="2" series="1">
      <pivotArea type="data" outline="0" fieldPosition="0">
        <references count="2">
          <reference field="4294967294" count="1" selected="0">
            <x v="0"/>
          </reference>
          <reference field="27" count="1" selected="0">
            <x v="3"/>
          </reference>
        </references>
      </pivotArea>
    </chartFormat>
    <chartFormat chart="18" format="0" series="1">
      <pivotArea type="data" outline="0" fieldPosition="0">
        <references count="2">
          <reference field="4294967294" count="1" selected="0">
            <x v="0"/>
          </reference>
          <reference field="27" count="1" selected="0">
            <x v="1"/>
          </reference>
        </references>
      </pivotArea>
    </chartFormat>
    <chartFormat chart="18" format="1" series="1">
      <pivotArea type="data" outline="0" fieldPosition="0">
        <references count="2">
          <reference field="4294967294" count="1" selected="0">
            <x v="0"/>
          </reference>
          <reference field="27" count="1" selected="0">
            <x v="2"/>
          </reference>
        </references>
      </pivotArea>
    </chartFormat>
    <chartFormat chart="18" format="2" series="1">
      <pivotArea type="data" outline="0" fieldPosition="0">
        <references count="2">
          <reference field="4294967294" count="1" selected="0">
            <x v="0"/>
          </reference>
          <reference field="27" count="1" selected="0">
            <x v="3"/>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78FDEC-512A-4D49-BB38-EC853F18EBB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3:K20" firstHeaderRow="1" firstDataRow="1" firstDataCol="0"/>
  <pivotFields count="28">
    <pivotField showAll="0"/>
    <pivotField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showAll="0">
      <items count="4">
        <item x="0"/>
        <item x="1"/>
        <item x="2"/>
        <item t="default"/>
      </items>
    </pivotField>
    <pivotField showAll="0"/>
    <pivotField showAll="0">
      <items count="425">
        <item x="94"/>
        <item x="74"/>
        <item x="284"/>
        <item x="281"/>
        <item x="124"/>
        <item x="86"/>
        <item x="160"/>
        <item x="303"/>
        <item x="384"/>
        <item x="54"/>
        <item x="279"/>
        <item x="402"/>
        <item x="47"/>
        <item x="198"/>
        <item x="383"/>
        <item x="287"/>
        <item x="189"/>
        <item x="343"/>
        <item x="256"/>
        <item x="88"/>
        <item x="202"/>
        <item x="28"/>
        <item x="250"/>
        <item x="326"/>
        <item x="170"/>
        <item x="62"/>
        <item x="162"/>
        <item x="320"/>
        <item x="21"/>
        <item x="200"/>
        <item x="117"/>
        <item x="272"/>
        <item x="19"/>
        <item x="260"/>
        <item x="362"/>
        <item x="328"/>
        <item x="163"/>
        <item x="0"/>
        <item x="324"/>
        <item x="30"/>
        <item x="36"/>
        <item x="196"/>
        <item x="77"/>
        <item x="331"/>
        <item x="285"/>
        <item x="359"/>
        <item x="423"/>
        <item x="175"/>
        <item x="332"/>
        <item x="208"/>
        <item x="294"/>
        <item x="396"/>
        <item x="388"/>
        <item x="14"/>
        <item x="232"/>
        <item x="387"/>
        <item x="173"/>
        <item x="195"/>
        <item x="183"/>
        <item x="50"/>
        <item x="119"/>
        <item x="295"/>
        <item x="141"/>
        <item x="342"/>
        <item x="98"/>
        <item x="228"/>
        <item x="155"/>
        <item x="2"/>
        <item x="91"/>
        <item x="100"/>
        <item x="371"/>
        <item x="159"/>
        <item x="178"/>
        <item x="341"/>
        <item x="322"/>
        <item x="43"/>
        <item x="235"/>
        <item x="35"/>
        <item x="161"/>
        <item x="190"/>
        <item x="177"/>
        <item x="264"/>
        <item x="400"/>
        <item x="245"/>
        <item x="113"/>
        <item x="240"/>
        <item x="221"/>
        <item x="375"/>
        <item x="379"/>
        <item x="52"/>
        <item x="420"/>
        <item x="386"/>
        <item x="412"/>
        <item x="242"/>
        <item x="169"/>
        <item x="241"/>
        <item x="378"/>
        <item x="422"/>
        <item x="263"/>
        <item x="358"/>
        <item x="51"/>
        <item x="92"/>
        <item x="254"/>
        <item x="138"/>
        <item x="307"/>
        <item x="129"/>
        <item x="171"/>
        <item x="255"/>
        <item x="165"/>
        <item x="354"/>
        <item x="238"/>
        <item x="318"/>
        <item x="243"/>
        <item x="180"/>
        <item x="253"/>
        <item x="213"/>
        <item x="225"/>
        <item x="214"/>
        <item x="315"/>
        <item x="137"/>
        <item x="310"/>
        <item x="23"/>
        <item x="122"/>
        <item x="252"/>
        <item x="246"/>
        <item x="82"/>
        <item x="395"/>
        <item x="267"/>
        <item x="414"/>
        <item x="11"/>
        <item x="1"/>
        <item x="207"/>
        <item x="151"/>
        <item x="9"/>
        <item x="340"/>
        <item x="15"/>
        <item x="280"/>
        <item x="204"/>
        <item x="126"/>
        <item x="372"/>
        <item x="249"/>
        <item x="166"/>
        <item x="182"/>
        <item x="230"/>
        <item x="61"/>
        <item x="149"/>
        <item x="369"/>
        <item x="244"/>
        <item x="411"/>
        <item x="185"/>
        <item x="95"/>
        <item x="333"/>
        <item x="8"/>
        <item x="323"/>
        <item x="357"/>
        <item x="258"/>
        <item x="298"/>
        <item x="392"/>
        <item x="290"/>
        <item x="351"/>
        <item x="90"/>
        <item x="251"/>
        <item x="296"/>
        <item x="80"/>
        <item x="40"/>
        <item x="339"/>
        <item x="105"/>
        <item x="26"/>
        <item x="20"/>
        <item x="46"/>
        <item x="55"/>
        <item x="293"/>
        <item x="404"/>
        <item x="289"/>
        <item x="330"/>
        <item x="209"/>
        <item x="229"/>
        <item x="38"/>
        <item x="356"/>
        <item x="224"/>
        <item x="349"/>
        <item x="157"/>
        <item x="139"/>
        <item x="397"/>
        <item x="401"/>
        <item x="199"/>
        <item x="203"/>
        <item x="360"/>
        <item x="18"/>
        <item x="406"/>
        <item x="291"/>
        <item x="71"/>
        <item x="125"/>
        <item x="350"/>
        <item x="338"/>
        <item x="408"/>
        <item x="120"/>
        <item x="70"/>
        <item x="112"/>
        <item x="247"/>
        <item x="262"/>
        <item x="405"/>
        <item x="216"/>
        <item x="156"/>
        <item x="192"/>
        <item x="286"/>
        <item x="39"/>
        <item x="283"/>
        <item x="215"/>
        <item x="237"/>
        <item x="314"/>
        <item x="41"/>
        <item x="239"/>
        <item x="223"/>
        <item x="299"/>
        <item x="7"/>
        <item x="353"/>
        <item x="64"/>
        <item x="187"/>
        <item x="231"/>
        <item x="365"/>
        <item x="364"/>
        <item x="409"/>
        <item x="304"/>
        <item x="53"/>
        <item x="327"/>
        <item x="329"/>
        <item x="83"/>
        <item x="236"/>
        <item x="266"/>
        <item x="146"/>
        <item x="336"/>
        <item x="133"/>
        <item x="172"/>
        <item x="282"/>
        <item x="44"/>
        <item x="81"/>
        <item x="108"/>
        <item x="259"/>
        <item x="269"/>
        <item x="381"/>
        <item x="168"/>
        <item x="197"/>
        <item x="211"/>
        <item x="57"/>
        <item x="179"/>
        <item x="142"/>
        <item x="366"/>
        <item x="68"/>
        <item x="325"/>
        <item x="410"/>
        <item x="305"/>
        <item x="49"/>
        <item x="367"/>
        <item x="370"/>
        <item x="222"/>
        <item x="380"/>
        <item x="45"/>
        <item x="123"/>
        <item x="268"/>
        <item x="210"/>
        <item x="32"/>
        <item x="403"/>
        <item x="288"/>
        <item x="312"/>
        <item x="205"/>
        <item x="58"/>
        <item x="22"/>
        <item x="3"/>
        <item x="193"/>
        <item x="116"/>
        <item x="158"/>
        <item x="93"/>
        <item x="154"/>
        <item x="212"/>
        <item x="344"/>
        <item x="69"/>
        <item x="415"/>
        <item x="276"/>
        <item x="79"/>
        <item x="103"/>
        <item x="29"/>
        <item x="374"/>
        <item x="84"/>
        <item x="110"/>
        <item x="274"/>
        <item x="118"/>
        <item x="56"/>
        <item x="391"/>
        <item x="25"/>
        <item x="12"/>
        <item x="63"/>
        <item x="34"/>
        <item x="147"/>
        <item x="42"/>
        <item x="277"/>
        <item x="148"/>
        <item x="393"/>
        <item x="302"/>
        <item x="418"/>
        <item x="127"/>
        <item x="101"/>
        <item x="201"/>
        <item x="309"/>
        <item x="300"/>
        <item x="346"/>
        <item x="174"/>
        <item x="352"/>
        <item x="416"/>
        <item x="115"/>
        <item x="373"/>
        <item x="273"/>
        <item x="164"/>
        <item x="73"/>
        <item x="136"/>
        <item x="78"/>
        <item x="317"/>
        <item x="65"/>
        <item x="311"/>
        <item x="96"/>
        <item x="186"/>
        <item x="48"/>
        <item x="308"/>
        <item x="382"/>
        <item x="132"/>
        <item x="4"/>
        <item x="114"/>
        <item x="218"/>
        <item x="377"/>
        <item x="275"/>
        <item x="217"/>
        <item x="271"/>
        <item x="234"/>
        <item x="131"/>
        <item x="59"/>
        <item x="104"/>
        <item x="176"/>
        <item x="278"/>
        <item x="128"/>
        <item x="153"/>
        <item x="33"/>
        <item x="5"/>
        <item x="385"/>
        <item x="87"/>
        <item x="10"/>
        <item x="376"/>
        <item x="145"/>
        <item x="219"/>
        <item x="27"/>
        <item x="181"/>
        <item x="348"/>
        <item x="313"/>
        <item x="152"/>
        <item x="206"/>
        <item x="184"/>
        <item x="337"/>
        <item x="306"/>
        <item x="144"/>
        <item x="75"/>
        <item x="140"/>
        <item x="89"/>
        <item x="188"/>
        <item x="270"/>
        <item x="134"/>
        <item x="398"/>
        <item x="233"/>
        <item x="390"/>
        <item x="368"/>
        <item x="301"/>
        <item x="316"/>
        <item x="17"/>
        <item x="321"/>
        <item x="389"/>
        <item x="97"/>
        <item x="335"/>
        <item x="109"/>
        <item x="31"/>
        <item x="419"/>
        <item x="16"/>
        <item x="394"/>
        <item x="13"/>
        <item x="99"/>
        <item x="257"/>
        <item x="297"/>
        <item x="60"/>
        <item x="85"/>
        <item x="72"/>
        <item x="194"/>
        <item x="135"/>
        <item x="191"/>
        <item x="345"/>
        <item x="261"/>
        <item x="106"/>
        <item x="355"/>
        <item x="143"/>
        <item x="363"/>
        <item x="334"/>
        <item x="66"/>
        <item x="265"/>
        <item x="67"/>
        <item x="417"/>
        <item x="407"/>
        <item x="226"/>
        <item x="6"/>
        <item x="248"/>
        <item x="130"/>
        <item x="292"/>
        <item x="121"/>
        <item x="150"/>
        <item x="76"/>
        <item x="37"/>
        <item x="361"/>
        <item x="319"/>
        <item x="102"/>
        <item x="167"/>
        <item x="111"/>
        <item x="413"/>
        <item x="421"/>
        <item x="220"/>
        <item x="107"/>
        <item x="24"/>
        <item x="227"/>
        <item x="347"/>
        <item x="3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formats count="1">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9F340B-BCD9-450F-BC87-901D13F2F21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5" firstHeaderRow="1" firstDataRow="1" firstDataCol="1"/>
  <pivotFields count="28">
    <pivotField showAll="0"/>
    <pivotField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axis="axisRow" showAll="0">
      <items count="4">
        <item h="1" x="0"/>
        <item h="1" x="1"/>
        <item x="2"/>
        <item t="default"/>
      </items>
    </pivotField>
    <pivotField showAll="0"/>
    <pivotField dataField="1" showAll="0">
      <items count="425">
        <item x="94"/>
        <item x="74"/>
        <item x="284"/>
        <item x="281"/>
        <item x="124"/>
        <item x="86"/>
        <item x="160"/>
        <item x="303"/>
        <item x="384"/>
        <item x="54"/>
        <item x="279"/>
        <item x="402"/>
        <item x="47"/>
        <item x="198"/>
        <item x="383"/>
        <item x="287"/>
        <item x="189"/>
        <item x="343"/>
        <item x="256"/>
        <item x="88"/>
        <item x="202"/>
        <item x="28"/>
        <item x="250"/>
        <item x="326"/>
        <item x="170"/>
        <item x="62"/>
        <item x="162"/>
        <item x="320"/>
        <item x="21"/>
        <item x="200"/>
        <item x="117"/>
        <item x="272"/>
        <item x="19"/>
        <item x="260"/>
        <item x="362"/>
        <item x="328"/>
        <item x="163"/>
        <item x="0"/>
        <item x="324"/>
        <item x="30"/>
        <item x="36"/>
        <item x="196"/>
        <item x="77"/>
        <item x="331"/>
        <item x="285"/>
        <item x="359"/>
        <item x="423"/>
        <item x="175"/>
        <item x="332"/>
        <item x="208"/>
        <item x="294"/>
        <item x="396"/>
        <item x="388"/>
        <item x="14"/>
        <item x="232"/>
        <item x="387"/>
        <item x="173"/>
        <item x="195"/>
        <item x="183"/>
        <item x="50"/>
        <item x="119"/>
        <item x="295"/>
        <item x="141"/>
        <item x="342"/>
        <item x="98"/>
        <item x="228"/>
        <item x="155"/>
        <item x="2"/>
        <item x="91"/>
        <item x="100"/>
        <item x="371"/>
        <item x="159"/>
        <item x="178"/>
        <item x="341"/>
        <item x="322"/>
        <item x="43"/>
        <item x="235"/>
        <item x="35"/>
        <item x="161"/>
        <item x="190"/>
        <item x="177"/>
        <item x="264"/>
        <item x="400"/>
        <item x="245"/>
        <item x="113"/>
        <item x="240"/>
        <item x="221"/>
        <item x="375"/>
        <item x="379"/>
        <item x="52"/>
        <item x="420"/>
        <item x="386"/>
        <item x="412"/>
        <item x="242"/>
        <item x="169"/>
        <item x="241"/>
        <item x="378"/>
        <item x="422"/>
        <item x="263"/>
        <item x="358"/>
        <item x="51"/>
        <item x="92"/>
        <item x="254"/>
        <item x="138"/>
        <item x="307"/>
        <item x="129"/>
        <item x="171"/>
        <item x="255"/>
        <item x="165"/>
        <item x="354"/>
        <item x="238"/>
        <item x="318"/>
        <item x="243"/>
        <item x="180"/>
        <item x="253"/>
        <item x="213"/>
        <item x="225"/>
        <item x="214"/>
        <item x="315"/>
        <item x="137"/>
        <item x="310"/>
        <item x="23"/>
        <item x="122"/>
        <item x="252"/>
        <item x="246"/>
        <item x="82"/>
        <item x="395"/>
        <item x="267"/>
        <item x="414"/>
        <item x="11"/>
        <item x="1"/>
        <item x="207"/>
        <item x="151"/>
        <item x="9"/>
        <item x="340"/>
        <item x="15"/>
        <item x="280"/>
        <item x="204"/>
        <item x="126"/>
        <item x="372"/>
        <item x="249"/>
        <item x="166"/>
        <item x="182"/>
        <item x="230"/>
        <item x="61"/>
        <item x="149"/>
        <item x="369"/>
        <item x="244"/>
        <item x="411"/>
        <item x="185"/>
        <item x="95"/>
        <item x="333"/>
        <item x="8"/>
        <item x="323"/>
        <item x="357"/>
        <item x="258"/>
        <item x="298"/>
        <item x="392"/>
        <item x="290"/>
        <item x="351"/>
        <item x="90"/>
        <item x="251"/>
        <item x="296"/>
        <item x="80"/>
        <item x="40"/>
        <item x="339"/>
        <item x="105"/>
        <item x="26"/>
        <item x="20"/>
        <item x="46"/>
        <item x="55"/>
        <item x="293"/>
        <item x="404"/>
        <item x="289"/>
        <item x="330"/>
        <item x="209"/>
        <item x="229"/>
        <item x="38"/>
        <item x="356"/>
        <item x="224"/>
        <item x="349"/>
        <item x="157"/>
        <item x="139"/>
        <item x="397"/>
        <item x="401"/>
        <item x="199"/>
        <item x="203"/>
        <item x="360"/>
        <item x="18"/>
        <item x="406"/>
        <item x="291"/>
        <item x="71"/>
        <item x="125"/>
        <item x="350"/>
        <item x="338"/>
        <item x="408"/>
        <item x="120"/>
        <item x="70"/>
        <item x="112"/>
        <item x="247"/>
        <item x="262"/>
        <item x="405"/>
        <item x="216"/>
        <item x="156"/>
        <item x="192"/>
        <item x="286"/>
        <item x="39"/>
        <item x="283"/>
        <item x="215"/>
        <item x="237"/>
        <item x="314"/>
        <item x="41"/>
        <item x="239"/>
        <item x="223"/>
        <item x="299"/>
        <item x="7"/>
        <item x="353"/>
        <item x="64"/>
        <item x="187"/>
        <item x="231"/>
        <item x="365"/>
        <item x="364"/>
        <item x="409"/>
        <item x="304"/>
        <item x="53"/>
        <item x="327"/>
        <item x="329"/>
        <item x="83"/>
        <item x="236"/>
        <item x="266"/>
        <item x="146"/>
        <item x="336"/>
        <item x="133"/>
        <item x="172"/>
        <item x="282"/>
        <item x="44"/>
        <item x="81"/>
        <item x="108"/>
        <item x="259"/>
        <item x="269"/>
        <item x="381"/>
        <item x="168"/>
        <item x="197"/>
        <item x="211"/>
        <item x="57"/>
        <item x="179"/>
        <item x="142"/>
        <item x="366"/>
        <item x="68"/>
        <item x="325"/>
        <item x="410"/>
        <item x="305"/>
        <item x="49"/>
        <item x="367"/>
        <item x="370"/>
        <item x="222"/>
        <item x="380"/>
        <item x="45"/>
        <item x="123"/>
        <item x="268"/>
        <item x="210"/>
        <item x="32"/>
        <item x="403"/>
        <item x="288"/>
        <item x="312"/>
        <item x="205"/>
        <item x="58"/>
        <item x="22"/>
        <item x="3"/>
        <item x="193"/>
        <item x="116"/>
        <item x="158"/>
        <item x="93"/>
        <item x="154"/>
        <item x="212"/>
        <item x="344"/>
        <item x="69"/>
        <item x="415"/>
        <item x="276"/>
        <item x="79"/>
        <item x="103"/>
        <item x="29"/>
        <item x="374"/>
        <item x="84"/>
        <item x="110"/>
        <item x="274"/>
        <item x="118"/>
        <item x="56"/>
        <item x="391"/>
        <item x="25"/>
        <item x="12"/>
        <item x="63"/>
        <item x="34"/>
        <item x="147"/>
        <item x="42"/>
        <item x="277"/>
        <item x="148"/>
        <item x="393"/>
        <item x="302"/>
        <item x="418"/>
        <item x="127"/>
        <item x="101"/>
        <item x="201"/>
        <item x="309"/>
        <item x="300"/>
        <item x="346"/>
        <item x="174"/>
        <item x="352"/>
        <item x="416"/>
        <item x="115"/>
        <item x="373"/>
        <item x="273"/>
        <item x="164"/>
        <item x="73"/>
        <item x="136"/>
        <item x="78"/>
        <item x="317"/>
        <item x="65"/>
        <item x="311"/>
        <item x="96"/>
        <item x="186"/>
        <item x="48"/>
        <item x="308"/>
        <item x="382"/>
        <item x="132"/>
        <item x="4"/>
        <item x="114"/>
        <item x="218"/>
        <item x="377"/>
        <item x="275"/>
        <item x="217"/>
        <item x="271"/>
        <item x="234"/>
        <item x="131"/>
        <item x="59"/>
        <item x="104"/>
        <item x="176"/>
        <item x="278"/>
        <item x="128"/>
        <item x="153"/>
        <item x="33"/>
        <item x="5"/>
        <item x="385"/>
        <item x="87"/>
        <item x="10"/>
        <item x="376"/>
        <item x="145"/>
        <item x="219"/>
        <item x="27"/>
        <item x="181"/>
        <item x="348"/>
        <item x="313"/>
        <item x="152"/>
        <item x="206"/>
        <item x="184"/>
        <item x="337"/>
        <item x="306"/>
        <item x="144"/>
        <item x="75"/>
        <item x="140"/>
        <item x="89"/>
        <item x="188"/>
        <item x="270"/>
        <item x="134"/>
        <item x="398"/>
        <item x="233"/>
        <item x="390"/>
        <item x="368"/>
        <item x="301"/>
        <item x="316"/>
        <item x="17"/>
        <item x="321"/>
        <item x="389"/>
        <item x="97"/>
        <item x="335"/>
        <item x="109"/>
        <item x="31"/>
        <item x="419"/>
        <item x="16"/>
        <item x="394"/>
        <item x="13"/>
        <item x="99"/>
        <item x="257"/>
        <item x="297"/>
        <item x="60"/>
        <item x="85"/>
        <item x="72"/>
        <item x="194"/>
        <item x="135"/>
        <item x="191"/>
        <item x="345"/>
        <item x="261"/>
        <item x="106"/>
        <item x="355"/>
        <item x="143"/>
        <item x="363"/>
        <item x="334"/>
        <item x="66"/>
        <item x="265"/>
        <item x="67"/>
        <item x="417"/>
        <item x="407"/>
        <item x="226"/>
        <item x="6"/>
        <item x="248"/>
        <item x="130"/>
        <item x="292"/>
        <item x="121"/>
        <item x="150"/>
        <item x="76"/>
        <item x="37"/>
        <item x="361"/>
        <item x="319"/>
        <item x="102"/>
        <item x="167"/>
        <item x="111"/>
        <item x="413"/>
        <item x="421"/>
        <item x="220"/>
        <item x="107"/>
        <item x="24"/>
        <item x="227"/>
        <item x="347"/>
        <item x="3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
    <i>
      <x v="2"/>
    </i>
    <i t="grand">
      <x/>
    </i>
  </rowItems>
  <colItems count="1">
    <i/>
  </colItems>
  <dataFields count="1">
    <dataField name="Average of Watch_Hours" fld="7" subtotal="average" baseField="5" baseItem="1"/>
  </dataFields>
  <formats count="2">
    <format dxfId="2">
      <pivotArea collapsedLevelsAreSubtotals="1" fieldPosition="0">
        <references count="1">
          <reference field="5" count="0"/>
        </references>
      </pivotArea>
    </format>
    <format dxfId="1">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BE3410-7311-4B7B-A271-8E075BB2925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5" firstHeaderRow="0" firstDataRow="1" firstDataCol="1"/>
  <pivotFields count="28">
    <pivotField showAll="0"/>
    <pivotField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axis="axisRow" showAll="0">
      <items count="4">
        <item h="1" x="0"/>
        <item h="1" x="1"/>
        <item x="2"/>
        <item t="default"/>
      </items>
    </pivotField>
    <pivotField showAll="0"/>
    <pivotField showAll="0">
      <items count="425">
        <item x="94"/>
        <item x="74"/>
        <item x="284"/>
        <item x="281"/>
        <item x="124"/>
        <item x="86"/>
        <item x="160"/>
        <item x="303"/>
        <item x="384"/>
        <item x="54"/>
        <item x="279"/>
        <item x="402"/>
        <item x="47"/>
        <item x="198"/>
        <item x="383"/>
        <item x="287"/>
        <item x="189"/>
        <item x="343"/>
        <item x="256"/>
        <item x="88"/>
        <item x="202"/>
        <item x="28"/>
        <item x="250"/>
        <item x="326"/>
        <item x="170"/>
        <item x="62"/>
        <item x="162"/>
        <item x="320"/>
        <item x="21"/>
        <item x="200"/>
        <item x="117"/>
        <item x="272"/>
        <item x="19"/>
        <item x="260"/>
        <item x="362"/>
        <item x="328"/>
        <item x="163"/>
        <item x="0"/>
        <item x="324"/>
        <item x="30"/>
        <item x="36"/>
        <item x="196"/>
        <item x="77"/>
        <item x="331"/>
        <item x="285"/>
        <item x="359"/>
        <item x="423"/>
        <item x="175"/>
        <item x="332"/>
        <item x="208"/>
        <item x="294"/>
        <item x="396"/>
        <item x="388"/>
        <item x="14"/>
        <item x="232"/>
        <item x="387"/>
        <item x="173"/>
        <item x="195"/>
        <item x="183"/>
        <item x="50"/>
        <item x="119"/>
        <item x="295"/>
        <item x="141"/>
        <item x="342"/>
        <item x="98"/>
        <item x="228"/>
        <item x="155"/>
        <item x="2"/>
        <item x="91"/>
        <item x="100"/>
        <item x="371"/>
        <item x="159"/>
        <item x="178"/>
        <item x="341"/>
        <item x="322"/>
        <item x="43"/>
        <item x="235"/>
        <item x="35"/>
        <item x="161"/>
        <item x="190"/>
        <item x="177"/>
        <item x="264"/>
        <item x="400"/>
        <item x="245"/>
        <item x="113"/>
        <item x="240"/>
        <item x="221"/>
        <item x="375"/>
        <item x="379"/>
        <item x="52"/>
        <item x="420"/>
        <item x="386"/>
        <item x="412"/>
        <item x="242"/>
        <item x="169"/>
        <item x="241"/>
        <item x="378"/>
        <item x="422"/>
        <item x="263"/>
        <item x="358"/>
        <item x="51"/>
        <item x="92"/>
        <item x="254"/>
        <item x="138"/>
        <item x="307"/>
        <item x="129"/>
        <item x="171"/>
        <item x="255"/>
        <item x="165"/>
        <item x="354"/>
        <item x="238"/>
        <item x="318"/>
        <item x="243"/>
        <item x="180"/>
        <item x="253"/>
        <item x="213"/>
        <item x="225"/>
        <item x="214"/>
        <item x="315"/>
        <item x="137"/>
        <item x="310"/>
        <item x="23"/>
        <item x="122"/>
        <item x="252"/>
        <item x="246"/>
        <item x="82"/>
        <item x="395"/>
        <item x="267"/>
        <item x="414"/>
        <item x="11"/>
        <item x="1"/>
        <item x="207"/>
        <item x="151"/>
        <item x="9"/>
        <item x="340"/>
        <item x="15"/>
        <item x="280"/>
        <item x="204"/>
        <item x="126"/>
        <item x="372"/>
        <item x="249"/>
        <item x="166"/>
        <item x="182"/>
        <item x="230"/>
        <item x="61"/>
        <item x="149"/>
        <item x="369"/>
        <item x="244"/>
        <item x="411"/>
        <item x="185"/>
        <item x="95"/>
        <item x="333"/>
        <item x="8"/>
        <item x="323"/>
        <item x="357"/>
        <item x="258"/>
        <item x="298"/>
        <item x="392"/>
        <item x="290"/>
        <item x="351"/>
        <item x="90"/>
        <item x="251"/>
        <item x="296"/>
        <item x="80"/>
        <item x="40"/>
        <item x="339"/>
        <item x="105"/>
        <item x="26"/>
        <item x="20"/>
        <item x="46"/>
        <item x="55"/>
        <item x="293"/>
        <item x="404"/>
        <item x="289"/>
        <item x="330"/>
        <item x="209"/>
        <item x="229"/>
        <item x="38"/>
        <item x="356"/>
        <item x="224"/>
        <item x="349"/>
        <item x="157"/>
        <item x="139"/>
        <item x="397"/>
        <item x="401"/>
        <item x="199"/>
        <item x="203"/>
        <item x="360"/>
        <item x="18"/>
        <item x="406"/>
        <item x="291"/>
        <item x="71"/>
        <item x="125"/>
        <item x="350"/>
        <item x="338"/>
        <item x="408"/>
        <item x="120"/>
        <item x="70"/>
        <item x="112"/>
        <item x="247"/>
        <item x="262"/>
        <item x="405"/>
        <item x="216"/>
        <item x="156"/>
        <item x="192"/>
        <item x="286"/>
        <item x="39"/>
        <item x="283"/>
        <item x="215"/>
        <item x="237"/>
        <item x="314"/>
        <item x="41"/>
        <item x="239"/>
        <item x="223"/>
        <item x="299"/>
        <item x="7"/>
        <item x="353"/>
        <item x="64"/>
        <item x="187"/>
        <item x="231"/>
        <item x="365"/>
        <item x="364"/>
        <item x="409"/>
        <item x="304"/>
        <item x="53"/>
        <item x="327"/>
        <item x="329"/>
        <item x="83"/>
        <item x="236"/>
        <item x="266"/>
        <item x="146"/>
        <item x="336"/>
        <item x="133"/>
        <item x="172"/>
        <item x="282"/>
        <item x="44"/>
        <item x="81"/>
        <item x="108"/>
        <item x="259"/>
        <item x="269"/>
        <item x="381"/>
        <item x="168"/>
        <item x="197"/>
        <item x="211"/>
        <item x="57"/>
        <item x="179"/>
        <item x="142"/>
        <item x="366"/>
        <item x="68"/>
        <item x="325"/>
        <item x="410"/>
        <item x="305"/>
        <item x="49"/>
        <item x="367"/>
        <item x="370"/>
        <item x="222"/>
        <item x="380"/>
        <item x="45"/>
        <item x="123"/>
        <item x="268"/>
        <item x="210"/>
        <item x="32"/>
        <item x="403"/>
        <item x="288"/>
        <item x="312"/>
        <item x="205"/>
        <item x="58"/>
        <item x="22"/>
        <item x="3"/>
        <item x="193"/>
        <item x="116"/>
        <item x="158"/>
        <item x="93"/>
        <item x="154"/>
        <item x="212"/>
        <item x="344"/>
        <item x="69"/>
        <item x="415"/>
        <item x="276"/>
        <item x="79"/>
        <item x="103"/>
        <item x="29"/>
        <item x="374"/>
        <item x="84"/>
        <item x="110"/>
        <item x="274"/>
        <item x="118"/>
        <item x="56"/>
        <item x="391"/>
        <item x="25"/>
        <item x="12"/>
        <item x="63"/>
        <item x="34"/>
        <item x="147"/>
        <item x="42"/>
        <item x="277"/>
        <item x="148"/>
        <item x="393"/>
        <item x="302"/>
        <item x="418"/>
        <item x="127"/>
        <item x="101"/>
        <item x="201"/>
        <item x="309"/>
        <item x="300"/>
        <item x="346"/>
        <item x="174"/>
        <item x="352"/>
        <item x="416"/>
        <item x="115"/>
        <item x="373"/>
        <item x="273"/>
        <item x="164"/>
        <item x="73"/>
        <item x="136"/>
        <item x="78"/>
        <item x="317"/>
        <item x="65"/>
        <item x="311"/>
        <item x="96"/>
        <item x="186"/>
        <item x="48"/>
        <item x="308"/>
        <item x="382"/>
        <item x="132"/>
        <item x="4"/>
        <item x="114"/>
        <item x="218"/>
        <item x="377"/>
        <item x="275"/>
        <item x="217"/>
        <item x="271"/>
        <item x="234"/>
        <item x="131"/>
        <item x="59"/>
        <item x="104"/>
        <item x="176"/>
        <item x="278"/>
        <item x="128"/>
        <item x="153"/>
        <item x="33"/>
        <item x="5"/>
        <item x="385"/>
        <item x="87"/>
        <item x="10"/>
        <item x="376"/>
        <item x="145"/>
        <item x="219"/>
        <item x="27"/>
        <item x="181"/>
        <item x="348"/>
        <item x="313"/>
        <item x="152"/>
        <item x="206"/>
        <item x="184"/>
        <item x="337"/>
        <item x="306"/>
        <item x="144"/>
        <item x="75"/>
        <item x="140"/>
        <item x="89"/>
        <item x="188"/>
        <item x="270"/>
        <item x="134"/>
        <item x="398"/>
        <item x="233"/>
        <item x="390"/>
        <item x="368"/>
        <item x="301"/>
        <item x="316"/>
        <item x="17"/>
        <item x="321"/>
        <item x="389"/>
        <item x="97"/>
        <item x="335"/>
        <item x="109"/>
        <item x="31"/>
        <item x="419"/>
        <item x="16"/>
        <item x="394"/>
        <item x="13"/>
        <item x="99"/>
        <item x="257"/>
        <item x="297"/>
        <item x="60"/>
        <item x="85"/>
        <item x="72"/>
        <item x="194"/>
        <item x="135"/>
        <item x="191"/>
        <item x="345"/>
        <item x="261"/>
        <item x="106"/>
        <item x="355"/>
        <item x="143"/>
        <item x="363"/>
        <item x="334"/>
        <item x="66"/>
        <item x="265"/>
        <item x="67"/>
        <item x="417"/>
        <item x="407"/>
        <item x="226"/>
        <item x="6"/>
        <item x="248"/>
        <item x="130"/>
        <item x="292"/>
        <item x="121"/>
        <item x="150"/>
        <item x="76"/>
        <item x="37"/>
        <item x="361"/>
        <item x="319"/>
        <item x="102"/>
        <item x="167"/>
        <item x="111"/>
        <item x="413"/>
        <item x="421"/>
        <item x="220"/>
        <item x="107"/>
        <item x="24"/>
        <item x="227"/>
        <item x="347"/>
        <item x="399"/>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
    <i>
      <x v="2"/>
    </i>
    <i t="grand">
      <x/>
    </i>
  </rowItems>
  <colFields count="1">
    <field x="-2"/>
  </colFields>
  <colItems count="2">
    <i>
      <x/>
    </i>
    <i i="1">
      <x v="1"/>
    </i>
  </colItems>
  <dataFields count="2">
    <dataField name="Sum of Total_Movies_Watched" fld="12" baseField="0" baseItem="0"/>
    <dataField name="Sum of Total_Series_Watched" fld="1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289FFE-1CB2-4209-89DA-18D9B1017ABB}"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Q10" firstHeaderRow="1" firstDataRow="2" firstDataCol="1"/>
  <pivotFields count="28">
    <pivotField showAll="0"/>
    <pivotField dataField="1"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showAll="0"/>
    <pivotField showAll="0"/>
    <pivotField showAll="0"/>
    <pivotField showAll="0">
      <items count="8">
        <item h="1" x="0"/>
        <item h="1" x="5"/>
        <item h="1" x="3"/>
        <item h="1" x="1"/>
        <item x="4"/>
        <item h="1" x="6"/>
        <item h="1" x="2"/>
        <item t="default"/>
      </items>
    </pivotField>
    <pivotField showAll="0">
      <items count="6">
        <item x="1"/>
        <item x="2"/>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3"/>
        <item x="2"/>
        <item x="0"/>
        <item x="4"/>
        <item t="default"/>
      </items>
    </pivotField>
    <pivotField axis="axisRow" showAll="0">
      <items count="6">
        <item x="2"/>
        <item x="1"/>
        <item x="0"/>
        <item x="3"/>
        <item x="4"/>
        <item t="default"/>
      </items>
    </pivotField>
    <pivotField axis="axisCol" showAll="0">
      <items count="5">
        <item x="3"/>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3"/>
  </rowFields>
  <rowItems count="6">
    <i>
      <x/>
    </i>
    <i>
      <x v="1"/>
    </i>
    <i>
      <x v="2"/>
    </i>
    <i>
      <x v="3"/>
    </i>
    <i>
      <x v="4"/>
    </i>
    <i t="grand">
      <x/>
    </i>
  </rowItems>
  <colFields count="1">
    <field x="24"/>
  </colFields>
  <colItems count="5">
    <i>
      <x/>
    </i>
    <i>
      <x v="1"/>
    </i>
    <i>
      <x v="2"/>
    </i>
    <i>
      <x v="3"/>
    </i>
    <i t="grand">
      <x/>
    </i>
  </colItems>
  <dataFields count="1">
    <dataField name="Count of User_Name" fld="1" subtotal="count" baseField="0" baseItem="0"/>
  </dataFields>
  <chartFormats count="8">
    <chartFormat chart="2" format="0" series="1">
      <pivotArea type="data" outline="0" fieldPosition="0">
        <references count="2">
          <reference field="4294967294" count="1" selected="0">
            <x v="0"/>
          </reference>
          <reference field="24" count="1" selected="0">
            <x v="0"/>
          </reference>
        </references>
      </pivotArea>
    </chartFormat>
    <chartFormat chart="2" format="1" series="1">
      <pivotArea type="data" outline="0" fieldPosition="0">
        <references count="2">
          <reference field="4294967294" count="1" selected="0">
            <x v="0"/>
          </reference>
          <reference field="24" count="1" selected="0">
            <x v="1"/>
          </reference>
        </references>
      </pivotArea>
    </chartFormat>
    <chartFormat chart="2" format="2" series="1">
      <pivotArea type="data" outline="0" fieldPosition="0">
        <references count="2">
          <reference field="4294967294" count="1" selected="0">
            <x v="0"/>
          </reference>
          <reference field="24" count="1" selected="0">
            <x v="2"/>
          </reference>
        </references>
      </pivotArea>
    </chartFormat>
    <chartFormat chart="2" format="3" series="1">
      <pivotArea type="data" outline="0" fieldPosition="0">
        <references count="2">
          <reference field="4294967294" count="1" selected="0">
            <x v="0"/>
          </reference>
          <reference field="24" count="1" selected="0">
            <x v="3"/>
          </reference>
        </references>
      </pivotArea>
    </chartFormat>
    <chartFormat chart="4" format="8" series="1">
      <pivotArea type="data" outline="0" fieldPosition="0">
        <references count="2">
          <reference field="4294967294" count="1" selected="0">
            <x v="0"/>
          </reference>
          <reference field="24" count="1" selected="0">
            <x v="0"/>
          </reference>
        </references>
      </pivotArea>
    </chartFormat>
    <chartFormat chart="4" format="9" series="1">
      <pivotArea type="data" outline="0" fieldPosition="0">
        <references count="2">
          <reference field="4294967294" count="1" selected="0">
            <x v="0"/>
          </reference>
          <reference field="24" count="1" selected="0">
            <x v="1"/>
          </reference>
        </references>
      </pivotArea>
    </chartFormat>
    <chartFormat chart="4" format="10" series="1">
      <pivotArea type="data" outline="0" fieldPosition="0">
        <references count="2">
          <reference field="4294967294" count="1" selected="0">
            <x v="0"/>
          </reference>
          <reference field="24" count="1" selected="0">
            <x v="2"/>
          </reference>
        </references>
      </pivotArea>
    </chartFormat>
    <chartFormat chart="4" format="11"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08DDFF-2946-41A9-9893-7F0E603D7B53}"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J10" firstHeaderRow="1" firstDataRow="2" firstDataCol="1"/>
  <pivotFields count="28">
    <pivotField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showAll="0"/>
    <pivotField showAll="0"/>
    <pivotField showAll="0"/>
    <pivotField showAll="0">
      <items count="8">
        <item h="1" x="0"/>
        <item h="1" x="5"/>
        <item h="1" x="3"/>
        <item h="1" x="1"/>
        <item x="4"/>
        <item h="1" x="6"/>
        <item h="1" x="2"/>
        <item t="default"/>
      </items>
    </pivotField>
    <pivotField dataField="1" showAll="0">
      <items count="6">
        <item x="1"/>
        <item x="2"/>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1"/>
        <item x="3"/>
        <item x="2"/>
        <item x="0"/>
        <item x="4"/>
        <item t="default"/>
      </items>
    </pivotField>
    <pivotField axis="axisRow" showAll="0">
      <items count="6">
        <item x="2"/>
        <item x="1"/>
        <item x="0"/>
        <item x="3"/>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3"/>
  </rowFields>
  <rowItems count="6">
    <i>
      <x/>
    </i>
    <i>
      <x v="1"/>
    </i>
    <i>
      <x v="2"/>
    </i>
    <i>
      <x v="3"/>
    </i>
    <i>
      <x v="4"/>
    </i>
    <i t="grand">
      <x/>
    </i>
  </rowItems>
  <colFields count="1">
    <field x="22"/>
  </colFields>
  <colItems count="6">
    <i>
      <x/>
    </i>
    <i>
      <x v="1"/>
    </i>
    <i>
      <x v="2"/>
    </i>
    <i>
      <x v="3"/>
    </i>
    <i>
      <x v="4"/>
    </i>
    <i t="grand">
      <x/>
    </i>
  </colItems>
  <dataFields count="1">
    <dataField name="Sum of Active_Devices" fld="9" baseField="0" baseItem="0"/>
  </dataFields>
  <chartFormats count="10">
    <chartFormat chart="2" format="0" series="1">
      <pivotArea type="data" outline="0" fieldPosition="0">
        <references count="2">
          <reference field="4294967294" count="1" selected="0">
            <x v="0"/>
          </reference>
          <reference field="22" count="1" selected="0">
            <x v="0"/>
          </reference>
        </references>
      </pivotArea>
    </chartFormat>
    <chartFormat chart="2" format="1" series="1">
      <pivotArea type="data" outline="0" fieldPosition="0">
        <references count="2">
          <reference field="4294967294" count="1" selected="0">
            <x v="0"/>
          </reference>
          <reference field="22" count="1" selected="0">
            <x v="1"/>
          </reference>
        </references>
      </pivotArea>
    </chartFormat>
    <chartFormat chart="2" format="2" series="1">
      <pivotArea type="data" outline="0" fieldPosition="0">
        <references count="2">
          <reference field="4294967294" count="1" selected="0">
            <x v="0"/>
          </reference>
          <reference field="22" count="1" selected="0">
            <x v="2"/>
          </reference>
        </references>
      </pivotArea>
    </chartFormat>
    <chartFormat chart="2" format="3" series="1">
      <pivotArea type="data" outline="0" fieldPosition="0">
        <references count="2">
          <reference field="4294967294" count="1" selected="0">
            <x v="0"/>
          </reference>
          <reference field="22" count="1" selected="0">
            <x v="3"/>
          </reference>
        </references>
      </pivotArea>
    </chartFormat>
    <chartFormat chart="2" format="4" series="1">
      <pivotArea type="data" outline="0" fieldPosition="0">
        <references count="2">
          <reference field="4294967294" count="1" selected="0">
            <x v="0"/>
          </reference>
          <reference field="22" count="1" selected="0">
            <x v="4"/>
          </reference>
        </references>
      </pivotArea>
    </chartFormat>
    <chartFormat chart="4" format="10" series="1">
      <pivotArea type="data" outline="0" fieldPosition="0">
        <references count="2">
          <reference field="4294967294" count="1" selected="0">
            <x v="0"/>
          </reference>
          <reference field="22" count="1" selected="0">
            <x v="0"/>
          </reference>
        </references>
      </pivotArea>
    </chartFormat>
    <chartFormat chart="4" format="11" series="1">
      <pivotArea type="data" outline="0" fieldPosition="0">
        <references count="2">
          <reference field="4294967294" count="1" selected="0">
            <x v="0"/>
          </reference>
          <reference field="22" count="1" selected="0">
            <x v="1"/>
          </reference>
        </references>
      </pivotArea>
    </chartFormat>
    <chartFormat chart="4" format="12" series="1">
      <pivotArea type="data" outline="0" fieldPosition="0">
        <references count="2">
          <reference field="4294967294" count="1" selected="0">
            <x v="0"/>
          </reference>
          <reference field="22" count="1" selected="0">
            <x v="2"/>
          </reference>
        </references>
      </pivotArea>
    </chartFormat>
    <chartFormat chart="4" format="13" series="1">
      <pivotArea type="data" outline="0" fieldPosition="0">
        <references count="2">
          <reference field="4294967294" count="1" selected="0">
            <x v="0"/>
          </reference>
          <reference field="22" count="1" selected="0">
            <x v="3"/>
          </reference>
        </references>
      </pivotArea>
    </chartFormat>
    <chartFormat chart="4" format="14" series="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3BA618-7BAA-43E1-9EB9-0F71C7BFC669}"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8">
    <pivotField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showAll="0"/>
    <pivotField showAll="0"/>
    <pivotField showAll="0"/>
    <pivotField dataField="1" showAll="0">
      <items count="8">
        <item h="1" x="0"/>
        <item h="1" x="5"/>
        <item h="1" x="3"/>
        <item h="1" x="1"/>
        <item x="4"/>
        <item h="1" x="6"/>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1"/>
        <item x="0"/>
        <item x="3"/>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3"/>
  </rowFields>
  <rowItems count="6">
    <i>
      <x/>
    </i>
    <i>
      <x v="1"/>
    </i>
    <i>
      <x v="2"/>
    </i>
    <i>
      <x v="3"/>
    </i>
    <i>
      <x v="4"/>
    </i>
    <i t="grand">
      <x/>
    </i>
  </rowItems>
  <colItems count="1">
    <i/>
  </colItems>
  <dataFields count="1">
    <dataField name="Count of Favorite_Genre2" fld="8"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083308-3651-4FBE-9665-3586BD569473}"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9" firstHeaderRow="1" firstDataRow="1" firstDataCol="1"/>
  <pivotFields count="28">
    <pivotField showAll="0"/>
    <pivotField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8">
        <item x="4"/>
        <item x="1"/>
        <item x="6"/>
        <item x="5"/>
        <item x="3"/>
        <item x="2"/>
        <item x="0"/>
        <item t="default"/>
      </items>
    </pivotField>
    <pivotField showAll="0"/>
    <pivotField showAll="0"/>
    <pivotField showAll="0"/>
    <pivotField showAll="0"/>
    <pivotField showAll="0"/>
    <pivotField dataField="1" showAll="0">
      <items count="2">
        <item x="0"/>
        <item t="default"/>
      </items>
    </pivotField>
    <pivotField showAll="0"/>
    <pivotField showAll="0"/>
    <pivotField axis="axisRow" showAll="0">
      <items count="6">
        <item x="2"/>
        <item x="1"/>
        <item x="0"/>
        <item x="3"/>
        <item x="4"/>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3"/>
  </rowFields>
  <rowItems count="6">
    <i>
      <x/>
    </i>
    <i>
      <x v="1"/>
    </i>
    <i>
      <x v="2"/>
    </i>
    <i>
      <x v="3"/>
    </i>
    <i>
      <x v="4"/>
    </i>
    <i t="grand">
      <x/>
    </i>
  </rowItems>
  <colItems count="1">
    <i/>
  </colItems>
  <dataFields count="1">
    <dataField name="Count of Membership_Status" fld="2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9E3438-559F-4CE1-A2F1-80F19FBC3555}" name="PivotTable1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3:E9" firstHeaderRow="1" firstDataRow="1" firstDataCol="1"/>
  <pivotFields count="28">
    <pivotField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items count="31">
        <item x="4"/>
        <item x="8"/>
        <item x="18"/>
        <item x="7"/>
        <item x="16"/>
        <item x="24"/>
        <item x="9"/>
        <item x="29"/>
        <item x="12"/>
        <item x="14"/>
        <item x="26"/>
        <item x="10"/>
        <item x="15"/>
        <item x="3"/>
        <item x="25"/>
        <item x="22"/>
        <item x="21"/>
        <item x="27"/>
        <item x="19"/>
        <item x="23"/>
        <item x="28"/>
        <item x="5"/>
        <item x="11"/>
        <item x="20"/>
        <item x="0"/>
        <item x="2"/>
        <item x="1"/>
        <item x="17"/>
        <item x="6"/>
        <item x="13"/>
        <item t="default"/>
      </items>
    </pivotField>
    <pivotField showAll="0"/>
    <pivotField showAll="0"/>
    <pivotField showAll="0"/>
    <pivotField showAll="0"/>
    <pivotField showAll="0"/>
    <pivotField showAll="0"/>
    <pivotField showAll="0"/>
    <pivotField showAll="0"/>
    <pivotField showAll="0"/>
    <pivotField showAll="0"/>
    <pivotField showAll="0">
      <items count="8">
        <item x="4"/>
        <item x="1"/>
        <item x="6"/>
        <item x="5"/>
        <item x="3"/>
        <item x="2"/>
        <item x="0"/>
        <item t="default"/>
      </items>
    </pivotField>
    <pivotField showAll="0"/>
    <pivotField showAll="0"/>
    <pivotField showAll="0"/>
    <pivotField showAll="0"/>
    <pivotField dataField="1" showAll="0"/>
    <pivotField showAll="0"/>
    <pivotField showAll="0"/>
    <pivotField showAll="0"/>
    <pivotField axis="axisRow" showAll="0">
      <items count="6">
        <item x="2"/>
        <item x="1"/>
        <item x="0"/>
        <item x="3"/>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3"/>
  </rowFields>
  <rowItems count="6">
    <i>
      <x/>
    </i>
    <i>
      <x v="1"/>
    </i>
    <i>
      <x v="2"/>
    </i>
    <i>
      <x v="3"/>
    </i>
    <i>
      <x v="4"/>
    </i>
    <i t="grand">
      <x/>
    </i>
  </rowItems>
  <colItems count="1">
    <i/>
  </colItems>
  <dataFields count="1">
    <dataField name="Count of Has_Downloaded_Content" fld="19"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D70B74-019C-4B0B-9096-FD650A266A2E}"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8">
    <pivotField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8">
        <item x="4"/>
        <item x="1"/>
        <item x="6"/>
        <item x="5"/>
        <item x="3"/>
        <item x="2"/>
        <item x="0"/>
        <item t="default"/>
      </items>
    </pivotField>
    <pivotField showAll="0"/>
    <pivotField showAll="0"/>
    <pivotField showAll="0"/>
    <pivotField showAll="0"/>
    <pivotField showAll="0"/>
    <pivotField showAll="0"/>
    <pivotField dataField="1" showAll="0"/>
    <pivotField showAll="0"/>
    <pivotField axis="axisRow" showAll="0">
      <items count="6">
        <item x="2"/>
        <item x="1"/>
        <item x="0"/>
        <item x="3"/>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3"/>
  </rowFields>
  <rowItems count="6">
    <i>
      <x/>
    </i>
    <i>
      <x v="1"/>
    </i>
    <i>
      <x v="2"/>
    </i>
    <i>
      <x v="3"/>
    </i>
    <i>
      <x v="4"/>
    </i>
    <i t="grand">
      <x/>
    </i>
  </rowItems>
  <colItems count="1">
    <i/>
  </colItems>
  <dataFields count="1">
    <dataField name="Sum of Loyalty_Points"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950E75-EDDF-45C3-B49A-D3A4ABB68227}" name="PivotTable2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R12" firstHeaderRow="1" firstDataRow="2" firstDataCol="1"/>
  <pivotFields count="28">
    <pivotField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8">
        <item x="4"/>
        <item x="1"/>
        <item x="6"/>
        <item x="5"/>
        <item x="3"/>
        <item x="2"/>
        <item x="0"/>
        <item t="default"/>
      </items>
    </pivotField>
    <pivotField showAll="0">
      <items count="5">
        <item x="2"/>
        <item x="3"/>
        <item x="1"/>
        <item x="0"/>
        <item t="default"/>
      </items>
    </pivotField>
    <pivotField axis="axisCol" showAll="0">
      <items count="7">
        <item x="4"/>
        <item x="5"/>
        <item x="1"/>
        <item x="0"/>
        <item x="2"/>
        <item x="3"/>
        <item t="default"/>
      </items>
    </pivotField>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4"/>
  </rowFields>
  <rowItems count="8">
    <i>
      <x/>
    </i>
    <i>
      <x v="1"/>
    </i>
    <i>
      <x v="2"/>
    </i>
    <i>
      <x v="3"/>
    </i>
    <i>
      <x v="4"/>
    </i>
    <i>
      <x v="5"/>
    </i>
    <i>
      <x v="6"/>
    </i>
    <i t="grand">
      <x/>
    </i>
  </rowItems>
  <colFields count="1">
    <field x="16"/>
  </colFields>
  <colItems count="7">
    <i>
      <x/>
    </i>
    <i>
      <x v="1"/>
    </i>
    <i>
      <x v="2"/>
    </i>
    <i>
      <x v="3"/>
    </i>
    <i>
      <x v="4"/>
    </i>
    <i>
      <x v="5"/>
    </i>
    <i t="grand">
      <x/>
    </i>
  </colItems>
  <dataFields count="1">
    <dataField name="Count of Membership_Status" fld="20" subtotal="count" baseField="0" baseItem="0"/>
  </dataFields>
  <chartFormats count="18">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0" format="4" series="1">
      <pivotArea type="data" outline="0" fieldPosition="0">
        <references count="2">
          <reference field="4294967294" count="1" selected="0">
            <x v="0"/>
          </reference>
          <reference field="16" count="1" selected="0">
            <x v="4"/>
          </reference>
        </references>
      </pivotArea>
    </chartFormat>
    <chartFormat chart="0" format="5" series="1">
      <pivotArea type="data" outline="0" fieldPosition="0">
        <references count="2">
          <reference field="4294967294" count="1" selected="0">
            <x v="0"/>
          </reference>
          <reference field="16" count="1" selected="0">
            <x v="5"/>
          </reference>
        </references>
      </pivotArea>
    </chartFormat>
    <chartFormat chart="1" format="6" series="1">
      <pivotArea type="data" outline="0" fieldPosition="0">
        <references count="2">
          <reference field="4294967294" count="1" selected="0">
            <x v="0"/>
          </reference>
          <reference field="16" count="1" selected="0">
            <x v="0"/>
          </reference>
        </references>
      </pivotArea>
    </chartFormat>
    <chartFormat chart="1" format="7" series="1">
      <pivotArea type="data" outline="0" fieldPosition="0">
        <references count="2">
          <reference field="4294967294" count="1" selected="0">
            <x v="0"/>
          </reference>
          <reference field="16" count="1" selected="0">
            <x v="1"/>
          </reference>
        </references>
      </pivotArea>
    </chartFormat>
    <chartFormat chart="1" format="8" series="1">
      <pivotArea type="data" outline="0" fieldPosition="0">
        <references count="2">
          <reference field="4294967294" count="1" selected="0">
            <x v="0"/>
          </reference>
          <reference field="16" count="1" selected="0">
            <x v="2"/>
          </reference>
        </references>
      </pivotArea>
    </chartFormat>
    <chartFormat chart="1" format="9" series="1">
      <pivotArea type="data" outline="0" fieldPosition="0">
        <references count="2">
          <reference field="4294967294" count="1" selected="0">
            <x v="0"/>
          </reference>
          <reference field="16" count="1" selected="0">
            <x v="3"/>
          </reference>
        </references>
      </pivotArea>
    </chartFormat>
    <chartFormat chart="1" format="10" series="1">
      <pivotArea type="data" outline="0" fieldPosition="0">
        <references count="2">
          <reference field="4294967294" count="1" selected="0">
            <x v="0"/>
          </reference>
          <reference field="16" count="1" selected="0">
            <x v="4"/>
          </reference>
        </references>
      </pivotArea>
    </chartFormat>
    <chartFormat chart="1" format="11" series="1">
      <pivotArea type="data" outline="0" fieldPosition="0">
        <references count="2">
          <reference field="4294967294" count="1" selected="0">
            <x v="0"/>
          </reference>
          <reference field="16" count="1" selected="0">
            <x v="5"/>
          </reference>
        </references>
      </pivotArea>
    </chartFormat>
    <chartFormat chart="3" format="12" series="1">
      <pivotArea type="data" outline="0" fieldPosition="0">
        <references count="2">
          <reference field="4294967294" count="1" selected="0">
            <x v="0"/>
          </reference>
          <reference field="16" count="1" selected="0">
            <x v="0"/>
          </reference>
        </references>
      </pivotArea>
    </chartFormat>
    <chartFormat chart="3" format="13" series="1">
      <pivotArea type="data" outline="0" fieldPosition="0">
        <references count="2">
          <reference field="4294967294" count="1" selected="0">
            <x v="0"/>
          </reference>
          <reference field="16" count="1" selected="0">
            <x v="1"/>
          </reference>
        </references>
      </pivotArea>
    </chartFormat>
    <chartFormat chart="3" format="14" series="1">
      <pivotArea type="data" outline="0" fieldPosition="0">
        <references count="2">
          <reference field="4294967294" count="1" selected="0">
            <x v="0"/>
          </reference>
          <reference field="16" count="1" selected="0">
            <x v="2"/>
          </reference>
        </references>
      </pivotArea>
    </chartFormat>
    <chartFormat chart="3" format="15" series="1">
      <pivotArea type="data" outline="0" fieldPosition="0">
        <references count="2">
          <reference field="4294967294" count="1" selected="0">
            <x v="0"/>
          </reference>
          <reference field="16" count="1" selected="0">
            <x v="3"/>
          </reference>
        </references>
      </pivotArea>
    </chartFormat>
    <chartFormat chart="3" format="16" series="1">
      <pivotArea type="data" outline="0" fieldPosition="0">
        <references count="2">
          <reference field="4294967294" count="1" selected="0">
            <x v="0"/>
          </reference>
          <reference field="16" count="1" selected="0">
            <x v="4"/>
          </reference>
        </references>
      </pivotArea>
    </chartFormat>
    <chartFormat chart="3" format="17" series="1">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0F7D35-A441-49F6-890B-D5DD95185B5E}"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11" firstHeaderRow="1" firstDataRow="1" firstDataCol="1"/>
  <pivotFields count="28">
    <pivotField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4"/>
  </rowFields>
  <rowItems count="8">
    <i>
      <x/>
    </i>
    <i>
      <x v="1"/>
    </i>
    <i>
      <x v="2"/>
    </i>
    <i>
      <x v="3"/>
    </i>
    <i>
      <x v="4"/>
    </i>
    <i>
      <x v="5"/>
    </i>
    <i>
      <x v="6"/>
    </i>
    <i t="grand">
      <x/>
    </i>
  </rowItems>
  <colItems count="1">
    <i/>
  </colItems>
  <dataFields count="1">
    <dataField name="Count of Membership_Status" fld="2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16FC91A-B1CA-4F0A-A390-BCD3CC20E699}"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12" firstHeaderRow="1" firstDataRow="2" firstDataCol="1"/>
  <pivotFields count="28">
    <pivotField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8">
        <item x="4"/>
        <item x="1"/>
        <item x="6"/>
        <item x="5"/>
        <item x="3"/>
        <item x="2"/>
        <item x="0"/>
        <item t="default"/>
      </items>
    </pivotField>
    <pivotField axis="axisCol" dataField="1" showAll="0">
      <items count="5">
        <item x="2"/>
        <item x="3"/>
        <item x="1"/>
        <item x="0"/>
        <item t="default"/>
      </items>
    </pivotField>
    <pivotField showAll="0">
      <items count="7">
        <item x="4"/>
        <item x="5"/>
        <item x="1"/>
        <item x="0"/>
        <item x="2"/>
        <item x="3"/>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4"/>
  </rowFields>
  <rowItems count="8">
    <i>
      <x/>
    </i>
    <i>
      <x v="1"/>
    </i>
    <i>
      <x v="2"/>
    </i>
    <i>
      <x v="3"/>
    </i>
    <i>
      <x v="4"/>
    </i>
    <i>
      <x v="5"/>
    </i>
    <i>
      <x v="6"/>
    </i>
    <i t="grand">
      <x/>
    </i>
  </rowItems>
  <colFields count="1">
    <field x="15"/>
  </colFields>
  <colItems count="5">
    <i>
      <x/>
    </i>
    <i>
      <x v="1"/>
    </i>
    <i>
      <x v="2"/>
    </i>
    <i>
      <x v="3"/>
    </i>
    <i t="grand">
      <x/>
    </i>
  </colItems>
  <dataFields count="1">
    <dataField name="Count of Payment_Method" fld="15" subtotal="count" baseField="0" baseItem="0"/>
  </dataFields>
  <chartFormats count="8">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2" format="8" series="1">
      <pivotArea type="data" outline="0" fieldPosition="0">
        <references count="2">
          <reference field="4294967294" count="1" selected="0">
            <x v="0"/>
          </reference>
          <reference field="15" count="1" selected="0">
            <x v="0"/>
          </reference>
        </references>
      </pivotArea>
    </chartFormat>
    <chartFormat chart="2" format="9" series="1">
      <pivotArea type="data" outline="0" fieldPosition="0">
        <references count="2">
          <reference field="4294967294" count="1" selected="0">
            <x v="0"/>
          </reference>
          <reference field="15" count="1" selected="0">
            <x v="1"/>
          </reference>
        </references>
      </pivotArea>
    </chartFormat>
    <chartFormat chart="2" format="10" series="1">
      <pivotArea type="data" outline="0" fieldPosition="0">
        <references count="2">
          <reference field="4294967294" count="1" selected="0">
            <x v="0"/>
          </reference>
          <reference field="15" count="1" selected="0">
            <x v="2"/>
          </reference>
        </references>
      </pivotArea>
    </chartFormat>
    <chartFormat chart="2" format="11"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9894DB1-CF40-4D35-A82D-B3232D70B00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8">
    <pivotField showAll="0"/>
    <pivotField showAll="0"/>
    <pivotField numFmtId="14" showAll="0">
      <items count="541">
        <item x="91"/>
        <item x="305"/>
        <item x="102"/>
        <item x="428"/>
        <item x="54"/>
        <item x="127"/>
        <item x="51"/>
        <item x="277"/>
        <item x="137"/>
        <item x="53"/>
        <item x="203"/>
        <item x="421"/>
        <item x="221"/>
        <item x="231"/>
        <item x="378"/>
        <item x="527"/>
        <item x="487"/>
        <item x="517"/>
        <item x="473"/>
        <item x="516"/>
        <item x="335"/>
        <item x="466"/>
        <item x="370"/>
        <item x="225"/>
        <item x="177"/>
        <item x="119"/>
        <item x="258"/>
        <item x="273"/>
        <item x="284"/>
        <item x="254"/>
        <item x="346"/>
        <item x="500"/>
        <item x="3"/>
        <item x="202"/>
        <item x="58"/>
        <item x="507"/>
        <item x="86"/>
        <item x="148"/>
        <item x="116"/>
        <item x="227"/>
        <item x="361"/>
        <item x="481"/>
        <item x="443"/>
        <item x="16"/>
        <item x="245"/>
        <item x="474"/>
        <item x="100"/>
        <item x="510"/>
        <item x="65"/>
        <item x="128"/>
        <item x="236"/>
        <item x="131"/>
        <item x="220"/>
        <item x="153"/>
        <item x="376"/>
        <item x="62"/>
        <item x="401"/>
        <item x="397"/>
        <item x="206"/>
        <item x="366"/>
        <item x="139"/>
        <item x="112"/>
        <item x="256"/>
        <item x="478"/>
        <item x="521"/>
        <item x="152"/>
        <item x="382"/>
        <item x="267"/>
        <item x="123"/>
        <item x="272"/>
        <item x="355"/>
        <item x="456"/>
        <item x="45"/>
        <item x="47"/>
        <item x="12"/>
        <item x="10"/>
        <item x="363"/>
        <item x="108"/>
        <item x="1"/>
        <item x="42"/>
        <item x="412"/>
        <item x="432"/>
        <item x="336"/>
        <item x="369"/>
        <item x="462"/>
        <item x="278"/>
        <item x="64"/>
        <item x="414"/>
        <item x="90"/>
        <item x="508"/>
        <item x="244"/>
        <item x="155"/>
        <item x="338"/>
        <item x="309"/>
        <item x="235"/>
        <item x="213"/>
        <item x="417"/>
        <item x="44"/>
        <item x="494"/>
        <item x="497"/>
        <item x="80"/>
        <item x="431"/>
        <item x="124"/>
        <item x="132"/>
        <item x="404"/>
        <item x="326"/>
        <item x="178"/>
        <item x="483"/>
        <item x="130"/>
        <item x="173"/>
        <item x="0"/>
        <item x="191"/>
        <item x="317"/>
        <item x="368"/>
        <item x="396"/>
        <item x="285"/>
        <item x="182"/>
        <item x="195"/>
        <item x="320"/>
        <item x="269"/>
        <item x="372"/>
        <item x="464"/>
        <item x="233"/>
        <item x="535"/>
        <item x="260"/>
        <item x="179"/>
        <item x="17"/>
        <item x="472"/>
        <item x="353"/>
        <item x="4"/>
        <item x="14"/>
        <item x="174"/>
        <item x="149"/>
        <item x="176"/>
        <item x="409"/>
        <item x="341"/>
        <item x="512"/>
        <item x="8"/>
        <item x="157"/>
        <item x="25"/>
        <item x="98"/>
        <item x="522"/>
        <item x="31"/>
        <item x="395"/>
        <item x="60"/>
        <item x="509"/>
        <item x="223"/>
        <item x="437"/>
        <item x="457"/>
        <item x="19"/>
        <item x="165"/>
        <item x="406"/>
        <item x="377"/>
        <item x="276"/>
        <item x="297"/>
        <item x="201"/>
        <item x="20"/>
        <item x="41"/>
        <item x="479"/>
        <item x="247"/>
        <item x="513"/>
        <item x="94"/>
        <item x="471"/>
        <item x="232"/>
        <item x="49"/>
        <item x="242"/>
        <item x="399"/>
        <item x="68"/>
        <item x="2"/>
        <item x="88"/>
        <item x="253"/>
        <item x="239"/>
        <item x="101"/>
        <item x="439"/>
        <item x="250"/>
        <item x="263"/>
        <item x="190"/>
        <item x="518"/>
        <item x="184"/>
        <item x="37"/>
        <item x="75"/>
        <item x="402"/>
        <item x="485"/>
        <item x="337"/>
        <item x="332"/>
        <item x="514"/>
        <item x="299"/>
        <item x="210"/>
        <item x="216"/>
        <item x="403"/>
        <item x="46"/>
        <item x="208"/>
        <item x="291"/>
        <item x="133"/>
        <item x="69"/>
        <item x="460"/>
        <item x="199"/>
        <item x="413"/>
        <item x="339"/>
        <item x="84"/>
        <item x="489"/>
        <item x="387"/>
        <item x="35"/>
        <item x="445"/>
        <item x="5"/>
        <item x="385"/>
        <item x="296"/>
        <item x="18"/>
        <item x="470"/>
        <item x="23"/>
        <item x="429"/>
        <item x="163"/>
        <item x="427"/>
        <item x="334"/>
        <item x="274"/>
        <item x="106"/>
        <item x="348"/>
        <item x="113"/>
        <item x="480"/>
        <item x="440"/>
        <item x="426"/>
        <item x="57"/>
        <item x="67"/>
        <item x="226"/>
        <item x="154"/>
        <item x="140"/>
        <item x="87"/>
        <item x="82"/>
        <item x="234"/>
        <item x="73"/>
        <item x="504"/>
        <item x="308"/>
        <item x="89"/>
        <item x="434"/>
        <item x="342"/>
        <item x="144"/>
        <item x="459"/>
        <item x="475"/>
        <item x="343"/>
        <item x="301"/>
        <item x="532"/>
        <item x="328"/>
        <item x="215"/>
        <item x="196"/>
        <item x="349"/>
        <item x="465"/>
        <item x="198"/>
        <item x="22"/>
        <item x="392"/>
        <item x="537"/>
        <item x="120"/>
        <item x="539"/>
        <item x="66"/>
        <item x="32"/>
        <item x="520"/>
        <item x="288"/>
        <item x="9"/>
        <item x="495"/>
        <item x="171"/>
        <item x="72"/>
        <item x="329"/>
        <item x="96"/>
        <item x="185"/>
        <item x="331"/>
        <item x="374"/>
        <item x="322"/>
        <item x="344"/>
        <item x="381"/>
        <item x="455"/>
        <item x="530"/>
        <item x="81"/>
        <item x="56"/>
        <item x="422"/>
        <item x="410"/>
        <item x="265"/>
        <item x="525"/>
        <item x="211"/>
        <item x="266"/>
        <item x="61"/>
        <item x="310"/>
        <item x="74"/>
        <item x="359"/>
        <item x="289"/>
        <item x="207"/>
        <item x="264"/>
        <item x="446"/>
        <item x="418"/>
        <item x="205"/>
        <item x="33"/>
        <item x="126"/>
        <item x="251"/>
        <item x="142"/>
        <item x="283"/>
        <item x="398"/>
        <item x="290"/>
        <item x="246"/>
        <item x="110"/>
        <item x="319"/>
        <item x="306"/>
        <item x="162"/>
        <item x="492"/>
        <item x="218"/>
        <item x="27"/>
        <item x="145"/>
        <item x="121"/>
        <item x="249"/>
        <item x="323"/>
        <item x="164"/>
        <item x="528"/>
        <item x="104"/>
        <item x="419"/>
        <item x="92"/>
        <item x="423"/>
        <item x="38"/>
        <item x="441"/>
        <item x="312"/>
        <item x="151"/>
        <item x="476"/>
        <item x="172"/>
        <item x="156"/>
        <item x="350"/>
        <item x="200"/>
        <item x="186"/>
        <item x="391"/>
        <item x="83"/>
        <item x="430"/>
        <item x="11"/>
        <item x="103"/>
        <item x="379"/>
        <item x="356"/>
        <item x="498"/>
        <item x="222"/>
        <item x="501"/>
        <item x="435"/>
        <item x="534"/>
        <item x="255"/>
        <item x="63"/>
        <item x="99"/>
        <item x="357"/>
        <item x="330"/>
        <item x="360"/>
        <item x="204"/>
        <item x="181"/>
        <item x="158"/>
        <item x="28"/>
        <item x="383"/>
        <item x="447"/>
        <item x="448"/>
        <item x="138"/>
        <item x="536"/>
        <item x="52"/>
        <item x="453"/>
        <item x="416"/>
        <item x="43"/>
        <item x="424"/>
        <item x="275"/>
        <item x="373"/>
        <item x="529"/>
        <item x="293"/>
        <item x="295"/>
        <item x="286"/>
        <item x="303"/>
        <item x="345"/>
        <item x="388"/>
        <item x="212"/>
        <item x="538"/>
        <item x="146"/>
        <item x="405"/>
        <item x="526"/>
        <item x="407"/>
        <item x="180"/>
        <item x="352"/>
        <item x="170"/>
        <item x="515"/>
        <item x="442"/>
        <item x="313"/>
        <item x="259"/>
        <item x="238"/>
        <item x="380"/>
        <item x="365"/>
        <item x="400"/>
        <item x="24"/>
        <item x="257"/>
        <item x="15"/>
        <item x="150"/>
        <item x="26"/>
        <item x="468"/>
        <item x="461"/>
        <item x="523"/>
        <item x="493"/>
        <item x="354"/>
        <item x="118"/>
        <item x="7"/>
        <item x="93"/>
        <item x="224"/>
        <item x="217"/>
        <item x="358"/>
        <item x="524"/>
        <item x="347"/>
        <item x="390"/>
        <item x="451"/>
        <item x="444"/>
        <item x="433"/>
        <item x="505"/>
        <item x="21"/>
        <item x="183"/>
        <item x="367"/>
        <item x="141"/>
        <item x="48"/>
        <item x="503"/>
        <item x="302"/>
        <item x="229"/>
        <item x="340"/>
        <item x="85"/>
        <item x="484"/>
        <item x="415"/>
        <item x="491"/>
        <item x="300"/>
        <item x="29"/>
        <item x="168"/>
        <item x="97"/>
        <item x="70"/>
        <item x="450"/>
        <item x="241"/>
        <item x="109"/>
        <item x="384"/>
        <item x="327"/>
        <item x="469"/>
        <item x="393"/>
        <item x="166"/>
        <item x="408"/>
        <item x="71"/>
        <item x="280"/>
        <item x="77"/>
        <item x="294"/>
        <item x="449"/>
        <item x="458"/>
        <item x="292"/>
        <item x="240"/>
        <item x="298"/>
        <item x="364"/>
        <item x="351"/>
        <item x="531"/>
        <item x="39"/>
        <item x="175"/>
        <item x="511"/>
        <item x="261"/>
        <item x="135"/>
        <item x="169"/>
        <item x="496"/>
        <item x="188"/>
        <item x="271"/>
        <item x="486"/>
        <item x="78"/>
        <item x="307"/>
        <item x="477"/>
        <item x="6"/>
        <item x="304"/>
        <item x="287"/>
        <item x="79"/>
        <item x="187"/>
        <item x="279"/>
        <item x="436"/>
        <item x="502"/>
        <item x="219"/>
        <item x="325"/>
        <item x="55"/>
        <item x="281"/>
        <item x="194"/>
        <item x="318"/>
        <item x="13"/>
        <item x="282"/>
        <item x="40"/>
        <item x="316"/>
        <item x="192"/>
        <item x="147"/>
        <item x="420"/>
        <item x="209"/>
        <item x="230"/>
        <item x="262"/>
        <item x="105"/>
        <item x="252"/>
        <item x="519"/>
        <item x="136"/>
        <item x="36"/>
        <item x="315"/>
        <item x="34"/>
        <item x="321"/>
        <item x="506"/>
        <item x="333"/>
        <item x="243"/>
        <item x="425"/>
        <item x="193"/>
        <item x="314"/>
        <item x="270"/>
        <item x="117"/>
        <item x="499"/>
        <item x="134"/>
        <item x="394"/>
        <item x="452"/>
        <item x="76"/>
        <item x="161"/>
        <item x="362"/>
        <item x="389"/>
        <item x="463"/>
        <item x="167"/>
        <item x="237"/>
        <item x="248"/>
        <item x="95"/>
        <item x="50"/>
        <item x="411"/>
        <item x="324"/>
        <item x="268"/>
        <item x="467"/>
        <item x="482"/>
        <item x="490"/>
        <item x="454"/>
        <item x="115"/>
        <item x="160"/>
        <item x="228"/>
        <item x="111"/>
        <item x="311"/>
        <item x="122"/>
        <item x="214"/>
        <item x="59"/>
        <item x="371"/>
        <item x="488"/>
        <item x="129"/>
        <item x="143"/>
        <item x="189"/>
        <item x="30"/>
        <item x="197"/>
        <item x="438"/>
        <item x="386"/>
        <item x="375"/>
        <item x="125"/>
        <item x="114"/>
        <item x="533"/>
        <item x="107"/>
        <item x="159"/>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Join_Date" xr10:uid="{388DBA6A-F0B1-4B60-92D5-1AB118FA7993}" sourceName="Months (Join_Date)">
  <data>
    <tabular pivotCacheId="160424726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Join_Date" xr10:uid="{085E9C3E-1FC5-4518-88AD-694E6C1E0043}" sourceName="Years (Join_Date)">
  <pivotTables>
    <pivotTable tabId="6" name="PivotTable3"/>
    <pivotTable tabId="6" name="PivotTable2"/>
    <pivotTable tabId="6" name="PivotTable4"/>
  </pivotTables>
  <data>
    <tabular pivotCacheId="1604247261">
      <items count="5">
        <i x="0" s="1"/>
        <i x="1" s="1"/>
        <i x="2" s="1"/>
        <i x="3"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Price" xr10:uid="{33310860-4DC1-4936-B61A-09229D3CD325}" sourceName="Monthly_Price">
  <pivotTables>
    <pivotTable tabId="15" name="PivotTable6"/>
    <pivotTable tabId="15" name="PivotTable7"/>
  </pivotTables>
  <data>
    <tabular pivotCacheId="498693497">
      <items count="3">
        <i x="0"/>
        <i x="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 xr10:uid="{68C759E3-3408-485D-9FD9-E3F5C34E26B1}" sourceName="Favorite_Genre">
  <pivotTables>
    <pivotTable tabId="17" name="PivotTable10"/>
    <pivotTable tabId="17" name="PivotTable11"/>
    <pivotTable tabId="17" name="PivotTable14"/>
  </pivotTables>
  <data>
    <tabular pivotCacheId="498693497">
      <items count="7">
        <i x="0"/>
        <i x="5"/>
        <i x="3"/>
        <i x="1"/>
        <i x="4" s="1"/>
        <i x="6"/>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EAEB3D9-8B4B-44E8-8BB6-AEEF4A994354}" sourceName="Country">
  <pivotTables>
    <pivotTable tabId="19" name="PivotTable18"/>
    <pivotTable tabId="19" name="PivotTable19"/>
    <pivotTable tabId="19" name="PivotTable20"/>
    <pivotTable tabId="20" name="PivotTable21"/>
    <pivotTable tabId="20" name="PivotTable23"/>
  </pivotTables>
  <data>
    <tabular pivotCacheId="498693497">
      <items count="7">
        <i x="4" s="1"/>
        <i x="1" s="1"/>
        <i x="6" s="1"/>
        <i x="5"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Join_Date) 1" xr10:uid="{35B1AE13-8054-4D04-B0F7-394187E83621}" cache="Slicer_Months__Join_Date" caption="Months (Join_Date)" startItem="2" columnCount="2" rowHeight="241300"/>
  <slicer name="Years " xr10:uid="{530EAD06-7011-4937-9069-D74C4A993B04}" cache="Slicer_Years__Join_Date" caption="Years " rowHeight="241300"/>
  <slicer name="Monthly_Price" xr10:uid="{4AD2FA0B-0E4A-49BE-A5DD-FE2E6CB293EA}" cache="Slicer_Monthly_Price" caption="Monthly_Price" rowHeight="241300"/>
  <slicer name="Favorite_Genre" xr10:uid="{48CD0FE3-0384-44D6-A696-BCEBE1A00EB3}" cache="Slicer_Favorite_Genre" caption="Favorite_Genre" columnCount="2" rowHeight="241300"/>
  <slicer name="Country" xr10:uid="{CD434E10-7B57-4588-9523-B059B04C420C}"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CA9C2-9D86-470C-964A-6A2DCE5D778B}">
  <dimension ref="A1"/>
  <sheetViews>
    <sheetView topLeftCell="R1" zoomScale="60" zoomScaleNormal="60" workbookViewId="0">
      <selection activeCell="AN1" sqref="AN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3700B-2378-4C6F-A75E-C2081107B473}">
  <dimension ref="A3:M20"/>
  <sheetViews>
    <sheetView zoomScale="81" zoomScaleNormal="81" workbookViewId="0">
      <selection activeCell="L10" sqref="L10"/>
    </sheetView>
  </sheetViews>
  <sheetFormatPr defaultRowHeight="14.5" x14ac:dyDescent="0.35"/>
  <cols>
    <col min="1" max="1" width="23.90625" bestFit="1" customWidth="1"/>
    <col min="2" max="2" width="16.26953125" bestFit="1" customWidth="1"/>
    <col min="3" max="4" width="5" bestFit="1" customWidth="1"/>
    <col min="5" max="5" width="10.90625" bestFit="1" customWidth="1"/>
    <col min="6" max="7" width="5.81640625" bestFit="1" customWidth="1"/>
    <col min="8" max="8" width="13.1796875" bestFit="1" customWidth="1"/>
    <col min="9" max="9" width="22.54296875" bestFit="1" customWidth="1"/>
    <col min="10" max="10" width="5.81640625" bestFit="1" customWidth="1"/>
    <col min="11" max="11" width="12.36328125" bestFit="1" customWidth="1"/>
    <col min="12" max="13" width="26.1796875" bestFit="1" customWidth="1"/>
    <col min="14" max="21" width="5.81640625" bestFit="1" customWidth="1"/>
    <col min="22" max="22" width="4.81640625" bestFit="1" customWidth="1"/>
    <col min="23" max="28" width="5.81640625" bestFit="1" customWidth="1"/>
    <col min="29" max="33" width="6.81640625" bestFit="1" customWidth="1"/>
    <col min="34" max="34" width="5.81640625" bestFit="1" customWidth="1"/>
    <col min="35" max="43" width="6.81640625" bestFit="1" customWidth="1"/>
    <col min="44" max="45" width="5.81640625" bestFit="1" customWidth="1"/>
    <col min="46" max="58" width="6.81640625" bestFit="1" customWidth="1"/>
    <col min="59" max="59" width="5.81640625" bestFit="1" customWidth="1"/>
    <col min="60" max="67" width="6.81640625" bestFit="1" customWidth="1"/>
    <col min="68" max="68" width="5.81640625" bestFit="1" customWidth="1"/>
    <col min="69" max="71" width="6.81640625" bestFit="1" customWidth="1"/>
    <col min="72" max="72" width="10.7265625" bestFit="1" customWidth="1"/>
  </cols>
  <sheetData>
    <row r="3" spans="1:13" x14ac:dyDescent="0.35">
      <c r="A3" s="2" t="s">
        <v>414</v>
      </c>
      <c r="B3" s="2" t="s">
        <v>406</v>
      </c>
      <c r="H3" s="2" t="s">
        <v>407</v>
      </c>
      <c r="I3" t="s">
        <v>411</v>
      </c>
      <c r="K3" s="6"/>
      <c r="L3" s="7"/>
      <c r="M3" s="8"/>
    </row>
    <row r="4" spans="1:13" x14ac:dyDescent="0.35">
      <c r="A4" s="2" t="s">
        <v>407</v>
      </c>
      <c r="B4" t="s">
        <v>408</v>
      </c>
      <c r="C4" t="s">
        <v>409</v>
      </c>
      <c r="D4" t="s">
        <v>410</v>
      </c>
      <c r="E4" t="s">
        <v>404</v>
      </c>
      <c r="H4" s="3">
        <v>7.99</v>
      </c>
      <c r="I4" s="5">
        <v>29291.340000000004</v>
      </c>
      <c r="K4" s="9"/>
      <c r="L4" s="10"/>
      <c r="M4" s="11"/>
    </row>
    <row r="5" spans="1:13" x14ac:dyDescent="0.35">
      <c r="A5" s="3">
        <v>7.99</v>
      </c>
      <c r="B5" s="5">
        <v>4</v>
      </c>
      <c r="C5" s="5">
        <v>173</v>
      </c>
      <c r="D5" s="5">
        <v>146</v>
      </c>
      <c r="E5" s="5">
        <v>323</v>
      </c>
      <c r="H5" s="3">
        <v>11.99</v>
      </c>
      <c r="I5" s="5">
        <v>45562.000000000029</v>
      </c>
      <c r="K5" s="9"/>
      <c r="L5" s="10"/>
      <c r="M5" s="11"/>
    </row>
    <row r="6" spans="1:13" x14ac:dyDescent="0.35">
      <c r="A6" s="3">
        <v>11.99</v>
      </c>
      <c r="B6" s="5">
        <v>8</v>
      </c>
      <c r="C6" s="5">
        <v>165</v>
      </c>
      <c r="D6" s="5">
        <v>172</v>
      </c>
      <c r="E6" s="5">
        <v>345</v>
      </c>
      <c r="H6" s="3">
        <v>15.99</v>
      </c>
      <c r="I6" s="5">
        <v>59370.869999999995</v>
      </c>
      <c r="K6" s="9"/>
      <c r="L6" s="10"/>
      <c r="M6" s="11"/>
    </row>
    <row r="7" spans="1:13" x14ac:dyDescent="0.35">
      <c r="A7" s="3">
        <v>15.99</v>
      </c>
      <c r="B7" s="5">
        <v>6</v>
      </c>
      <c r="C7" s="5">
        <v>173</v>
      </c>
      <c r="D7" s="5">
        <v>153</v>
      </c>
      <c r="E7" s="5">
        <v>332</v>
      </c>
      <c r="H7" s="3" t="s">
        <v>404</v>
      </c>
      <c r="I7" s="5">
        <v>134224.21000000002</v>
      </c>
      <c r="K7" s="9"/>
      <c r="L7" s="10"/>
      <c r="M7" s="11"/>
    </row>
    <row r="8" spans="1:13" x14ac:dyDescent="0.35">
      <c r="A8" s="3" t="s">
        <v>404</v>
      </c>
      <c r="B8" s="5">
        <v>18</v>
      </c>
      <c r="C8" s="5">
        <v>511</v>
      </c>
      <c r="D8" s="5">
        <v>471</v>
      </c>
      <c r="E8" s="5">
        <v>1000</v>
      </c>
      <c r="K8" s="9"/>
      <c r="L8" s="10"/>
      <c r="M8" s="11"/>
    </row>
    <row r="9" spans="1:13" x14ac:dyDescent="0.35">
      <c r="K9" s="9"/>
      <c r="L9" s="10"/>
      <c r="M9" s="11"/>
    </row>
    <row r="10" spans="1:13" x14ac:dyDescent="0.35">
      <c r="K10" s="9"/>
      <c r="L10" s="10"/>
      <c r="M10" s="11"/>
    </row>
    <row r="11" spans="1:13" x14ac:dyDescent="0.35">
      <c r="K11" s="9"/>
      <c r="L11" s="10"/>
      <c r="M11" s="11"/>
    </row>
    <row r="12" spans="1:13" x14ac:dyDescent="0.35">
      <c r="K12" s="9"/>
      <c r="L12" s="10"/>
      <c r="M12" s="11"/>
    </row>
    <row r="13" spans="1:13" x14ac:dyDescent="0.35">
      <c r="K13" s="9"/>
      <c r="L13" s="10"/>
      <c r="M13" s="11"/>
    </row>
    <row r="14" spans="1:13" x14ac:dyDescent="0.35">
      <c r="K14" s="9"/>
      <c r="L14" s="10"/>
      <c r="M14" s="11"/>
    </row>
    <row r="15" spans="1:13" x14ac:dyDescent="0.35">
      <c r="K15" s="9"/>
      <c r="L15" s="10"/>
      <c r="M15" s="11"/>
    </row>
    <row r="16" spans="1:13" x14ac:dyDescent="0.35">
      <c r="K16" s="9"/>
      <c r="L16" s="10"/>
      <c r="M16" s="11"/>
    </row>
    <row r="17" spans="11:13" x14ac:dyDescent="0.35">
      <c r="K17" s="9"/>
      <c r="L17" s="10"/>
      <c r="M17" s="11"/>
    </row>
    <row r="18" spans="11:13" x14ac:dyDescent="0.35">
      <c r="K18" s="9"/>
      <c r="L18" s="10"/>
      <c r="M18" s="11"/>
    </row>
    <row r="19" spans="11:13" x14ac:dyDescent="0.35">
      <c r="K19" s="9"/>
      <c r="L19" s="10"/>
      <c r="M19" s="11"/>
    </row>
    <row r="20" spans="11:13" x14ac:dyDescent="0.35">
      <c r="K20" s="12"/>
      <c r="L20" s="13"/>
      <c r="M20" s="14"/>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63E7-3DDD-461E-A334-30DCF3DD7EF0}">
  <dimension ref="A3:K20"/>
  <sheetViews>
    <sheetView topLeftCell="G1" workbookViewId="0">
      <selection activeCell="I4" sqref="I4"/>
    </sheetView>
  </sheetViews>
  <sheetFormatPr defaultRowHeight="14.5" x14ac:dyDescent="0.35"/>
  <cols>
    <col min="1" max="1" width="12.36328125" bestFit="1" customWidth="1"/>
    <col min="2" max="2" width="27.26953125" bestFit="1" customWidth="1"/>
    <col min="3" max="3" width="26.1796875" bestFit="1" customWidth="1"/>
    <col min="4" max="5" width="2.81640625" bestFit="1" customWidth="1"/>
    <col min="6" max="6" width="12.36328125" bestFit="1" customWidth="1"/>
    <col min="7" max="7" width="21.90625" bestFit="1" customWidth="1"/>
    <col min="8" max="8" width="18.7265625" bestFit="1" customWidth="1"/>
    <col min="9" max="10" width="33.36328125" bestFit="1" customWidth="1"/>
    <col min="11" max="11" width="34.08984375" bestFit="1" customWidth="1"/>
    <col min="12" max="79" width="2.81640625" bestFit="1" customWidth="1"/>
    <col min="80" max="425" width="3.81640625" bestFit="1" customWidth="1"/>
    <col min="426" max="426" width="10.7265625" bestFit="1" customWidth="1"/>
  </cols>
  <sheetData>
    <row r="3" spans="1:11" x14ac:dyDescent="0.35">
      <c r="A3" s="2" t="s">
        <v>407</v>
      </c>
      <c r="B3" t="s">
        <v>412</v>
      </c>
      <c r="C3" t="s">
        <v>413</v>
      </c>
      <c r="F3" s="2" t="s">
        <v>407</v>
      </c>
      <c r="G3" t="s">
        <v>415</v>
      </c>
      <c r="I3" s="6"/>
      <c r="J3" s="7"/>
      <c r="K3" s="8"/>
    </row>
    <row r="4" spans="1:11" x14ac:dyDescent="0.35">
      <c r="A4" s="3">
        <v>15.99</v>
      </c>
      <c r="B4">
        <v>170278</v>
      </c>
      <c r="C4">
        <v>33766</v>
      </c>
      <c r="F4" s="3">
        <v>15.99</v>
      </c>
      <c r="G4" s="5">
        <v>251.86746987951807</v>
      </c>
      <c r="I4" s="9"/>
      <c r="J4" s="10"/>
      <c r="K4" s="11"/>
    </row>
    <row r="5" spans="1:11" x14ac:dyDescent="0.35">
      <c r="A5" s="3" t="s">
        <v>404</v>
      </c>
      <c r="B5">
        <v>170278</v>
      </c>
      <c r="C5">
        <v>33766</v>
      </c>
      <c r="F5" s="3" t="s">
        <v>404</v>
      </c>
      <c r="G5" s="5">
        <v>251.86746987951807</v>
      </c>
      <c r="I5" s="9"/>
      <c r="J5" s="10"/>
      <c r="K5" s="11"/>
    </row>
    <row r="6" spans="1:11" x14ac:dyDescent="0.35">
      <c r="I6" s="9"/>
      <c r="J6" s="10"/>
      <c r="K6" s="11"/>
    </row>
    <row r="7" spans="1:11" x14ac:dyDescent="0.35">
      <c r="I7" s="9"/>
      <c r="J7" s="10"/>
      <c r="K7" s="11"/>
    </row>
    <row r="8" spans="1:11" x14ac:dyDescent="0.35">
      <c r="I8" s="9"/>
      <c r="J8" s="10"/>
      <c r="K8" s="11"/>
    </row>
    <row r="9" spans="1:11" x14ac:dyDescent="0.35">
      <c r="I9" s="9"/>
      <c r="J9" s="10"/>
      <c r="K9" s="11"/>
    </row>
    <row r="10" spans="1:11" x14ac:dyDescent="0.35">
      <c r="I10" s="9"/>
      <c r="J10" s="10"/>
      <c r="K10" s="11"/>
    </row>
    <row r="11" spans="1:11" x14ac:dyDescent="0.35">
      <c r="I11" s="9"/>
      <c r="J11" s="10"/>
      <c r="K11" s="11"/>
    </row>
    <row r="12" spans="1:11" x14ac:dyDescent="0.35">
      <c r="I12" s="9"/>
      <c r="J12" s="10"/>
      <c r="K12" s="11"/>
    </row>
    <row r="13" spans="1:11" x14ac:dyDescent="0.35">
      <c r="I13" s="9"/>
      <c r="J13" s="10"/>
      <c r="K13" s="11"/>
    </row>
    <row r="14" spans="1:11" x14ac:dyDescent="0.35">
      <c r="I14" s="9"/>
      <c r="J14" s="10"/>
      <c r="K14" s="11"/>
    </row>
    <row r="15" spans="1:11" x14ac:dyDescent="0.35">
      <c r="I15" s="9"/>
      <c r="J15" s="10"/>
      <c r="K15" s="11"/>
    </row>
    <row r="16" spans="1:11" x14ac:dyDescent="0.35">
      <c r="I16" s="9"/>
      <c r="J16" s="10"/>
      <c r="K16" s="11"/>
    </row>
    <row r="17" spans="9:11" x14ac:dyDescent="0.35">
      <c r="I17" s="9"/>
      <c r="J17" s="10"/>
      <c r="K17" s="11"/>
    </row>
    <row r="18" spans="9:11" x14ac:dyDescent="0.35">
      <c r="I18" s="9"/>
      <c r="J18" s="10"/>
      <c r="K18" s="11"/>
    </row>
    <row r="19" spans="9:11" x14ac:dyDescent="0.35">
      <c r="I19" s="9"/>
      <c r="J19" s="10"/>
      <c r="K19" s="11"/>
    </row>
    <row r="20" spans="9:11" x14ac:dyDescent="0.35">
      <c r="I20" s="12"/>
      <c r="J20" s="13"/>
      <c r="K20" s="14"/>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EA03C-ABA3-4A06-9AB7-FD1ABBA61A53}">
  <dimension ref="A3:Q10"/>
  <sheetViews>
    <sheetView workbookViewId="0">
      <selection activeCell="G23" sqref="G23"/>
    </sheetView>
  </sheetViews>
  <sheetFormatPr defaultRowHeight="14.5" x14ac:dyDescent="0.35"/>
  <cols>
    <col min="1" max="1" width="12.36328125" bestFit="1" customWidth="1"/>
    <col min="2" max="2" width="22.7265625" bestFit="1" customWidth="1"/>
    <col min="3" max="3" width="7.6328125" bestFit="1" customWidth="1"/>
    <col min="4" max="4" width="19.6328125" bestFit="1" customWidth="1"/>
    <col min="5" max="5" width="15.26953125" bestFit="1" customWidth="1"/>
    <col min="6" max="6" width="6.6328125" bestFit="1" customWidth="1"/>
    <col min="7" max="7" width="8.453125" bestFit="1" customWidth="1"/>
    <col min="8" max="8" width="11.1796875" bestFit="1" customWidth="1"/>
    <col min="9" max="9" width="6.08984375" bestFit="1" customWidth="1"/>
    <col min="10" max="10" width="10.7265625" bestFit="1" customWidth="1"/>
    <col min="12" max="12" width="18.453125" bestFit="1" customWidth="1"/>
    <col min="13" max="13" width="15.26953125" bestFit="1" customWidth="1"/>
    <col min="14" max="14" width="7.26953125" bestFit="1" customWidth="1"/>
    <col min="15" max="15" width="9.26953125" bestFit="1" customWidth="1"/>
    <col min="16" max="16" width="7.90625" bestFit="1" customWidth="1"/>
    <col min="17" max="17" width="10.7265625" bestFit="1" customWidth="1"/>
  </cols>
  <sheetData>
    <row r="3" spans="1:17" x14ac:dyDescent="0.35">
      <c r="A3" s="2" t="s">
        <v>407</v>
      </c>
      <c r="B3" t="s">
        <v>416</v>
      </c>
      <c r="D3" s="2" t="s">
        <v>417</v>
      </c>
      <c r="E3" s="2" t="s">
        <v>406</v>
      </c>
      <c r="L3" s="2" t="s">
        <v>405</v>
      </c>
      <c r="M3" s="2" t="s">
        <v>406</v>
      </c>
    </row>
    <row r="4" spans="1:17" x14ac:dyDescent="0.35">
      <c r="A4" s="3" t="s">
        <v>54</v>
      </c>
      <c r="B4">
        <v>23</v>
      </c>
      <c r="D4" s="2" t="s">
        <v>407</v>
      </c>
      <c r="E4" t="s">
        <v>37</v>
      </c>
      <c r="F4" t="s">
        <v>59</v>
      </c>
      <c r="G4" t="s">
        <v>53</v>
      </c>
      <c r="H4" t="s">
        <v>31</v>
      </c>
      <c r="I4" t="s">
        <v>67</v>
      </c>
      <c r="J4" t="s">
        <v>404</v>
      </c>
      <c r="L4" s="2" t="s">
        <v>407</v>
      </c>
      <c r="M4" t="s">
        <v>77</v>
      </c>
      <c r="N4" t="s">
        <v>39</v>
      </c>
      <c r="O4" t="s">
        <v>33</v>
      </c>
      <c r="P4" t="s">
        <v>55</v>
      </c>
      <c r="Q4" t="s">
        <v>404</v>
      </c>
    </row>
    <row r="5" spans="1:17" x14ac:dyDescent="0.35">
      <c r="A5" s="3" t="s">
        <v>38</v>
      </c>
      <c r="B5">
        <v>36</v>
      </c>
      <c r="D5" s="3" t="s">
        <v>54</v>
      </c>
      <c r="E5">
        <v>13</v>
      </c>
      <c r="F5">
        <v>17</v>
      </c>
      <c r="G5">
        <v>8</v>
      </c>
      <c r="H5">
        <v>18</v>
      </c>
      <c r="I5">
        <v>18</v>
      </c>
      <c r="J5">
        <v>74</v>
      </c>
      <c r="L5" s="3" t="s">
        <v>54</v>
      </c>
      <c r="M5">
        <v>8</v>
      </c>
      <c r="N5">
        <v>5</v>
      </c>
      <c r="O5">
        <v>6</v>
      </c>
      <c r="P5">
        <v>4</v>
      </c>
      <c r="Q5">
        <v>23</v>
      </c>
    </row>
    <row r="6" spans="1:17" x14ac:dyDescent="0.35">
      <c r="A6" s="3" t="s">
        <v>32</v>
      </c>
      <c r="B6">
        <v>34</v>
      </c>
      <c r="D6" s="3" t="s">
        <v>38</v>
      </c>
      <c r="E6">
        <v>19</v>
      </c>
      <c r="F6">
        <v>27</v>
      </c>
      <c r="G6">
        <v>25</v>
      </c>
      <c r="H6">
        <v>17</v>
      </c>
      <c r="I6">
        <v>37</v>
      </c>
      <c r="J6">
        <v>125</v>
      </c>
      <c r="L6" s="3" t="s">
        <v>38</v>
      </c>
      <c r="M6">
        <v>11</v>
      </c>
      <c r="N6">
        <v>11</v>
      </c>
      <c r="O6">
        <v>9</v>
      </c>
      <c r="P6">
        <v>5</v>
      </c>
      <c r="Q6">
        <v>36</v>
      </c>
    </row>
    <row r="7" spans="1:17" x14ac:dyDescent="0.35">
      <c r="A7" s="3" t="s">
        <v>62</v>
      </c>
      <c r="B7">
        <v>32</v>
      </c>
      <c r="D7" s="3" t="s">
        <v>32</v>
      </c>
      <c r="E7">
        <v>15</v>
      </c>
      <c r="F7">
        <v>13</v>
      </c>
      <c r="G7">
        <v>17</v>
      </c>
      <c r="H7">
        <v>28</v>
      </c>
      <c r="I7">
        <v>30</v>
      </c>
      <c r="J7">
        <v>103</v>
      </c>
      <c r="L7" s="3" t="s">
        <v>32</v>
      </c>
      <c r="M7">
        <v>6</v>
      </c>
      <c r="N7">
        <v>12</v>
      </c>
      <c r="O7">
        <v>9</v>
      </c>
      <c r="P7">
        <v>7</v>
      </c>
      <c r="Q7">
        <v>34</v>
      </c>
    </row>
    <row r="8" spans="1:17" x14ac:dyDescent="0.35">
      <c r="A8" s="3" t="s">
        <v>70</v>
      </c>
      <c r="B8">
        <v>32</v>
      </c>
      <c r="D8" s="3" t="s">
        <v>62</v>
      </c>
      <c r="E8">
        <v>29</v>
      </c>
      <c r="F8">
        <v>7</v>
      </c>
      <c r="G8">
        <v>20</v>
      </c>
      <c r="H8">
        <v>23</v>
      </c>
      <c r="I8">
        <v>17</v>
      </c>
      <c r="J8">
        <v>96</v>
      </c>
      <c r="L8" s="3" t="s">
        <v>62</v>
      </c>
      <c r="M8">
        <v>12</v>
      </c>
      <c r="N8">
        <v>7</v>
      </c>
      <c r="O8">
        <v>8</v>
      </c>
      <c r="P8">
        <v>5</v>
      </c>
      <c r="Q8">
        <v>32</v>
      </c>
    </row>
    <row r="9" spans="1:17" x14ac:dyDescent="0.35">
      <c r="A9" s="3" t="s">
        <v>404</v>
      </c>
      <c r="B9">
        <v>157</v>
      </c>
      <c r="D9" s="3" t="s">
        <v>70</v>
      </c>
      <c r="E9">
        <v>19</v>
      </c>
      <c r="F9">
        <v>15</v>
      </c>
      <c r="G9">
        <v>19</v>
      </c>
      <c r="H9">
        <v>33</v>
      </c>
      <c r="I9">
        <v>9</v>
      </c>
      <c r="J9">
        <v>95</v>
      </c>
      <c r="L9" s="3" t="s">
        <v>70</v>
      </c>
      <c r="M9">
        <v>9</v>
      </c>
      <c r="N9">
        <v>10</v>
      </c>
      <c r="O9">
        <v>8</v>
      </c>
      <c r="P9">
        <v>5</v>
      </c>
      <c r="Q9">
        <v>32</v>
      </c>
    </row>
    <row r="10" spans="1:17" x14ac:dyDescent="0.35">
      <c r="D10" s="3" t="s">
        <v>404</v>
      </c>
      <c r="E10">
        <v>95</v>
      </c>
      <c r="F10">
        <v>79</v>
      </c>
      <c r="G10">
        <v>89</v>
      </c>
      <c r="H10">
        <v>119</v>
      </c>
      <c r="I10">
        <v>111</v>
      </c>
      <c r="J10">
        <v>493</v>
      </c>
      <c r="L10" s="3" t="s">
        <v>404</v>
      </c>
      <c r="M10">
        <v>46</v>
      </c>
      <c r="N10">
        <v>45</v>
      </c>
      <c r="O10">
        <v>40</v>
      </c>
      <c r="P10">
        <v>26</v>
      </c>
      <c r="Q10">
        <v>157</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C1CF-12BF-4534-9695-F703B264DE65}">
  <dimension ref="A3:H9"/>
  <sheetViews>
    <sheetView topLeftCell="D1" workbookViewId="0">
      <selection activeCell="I22" sqref="I22"/>
    </sheetView>
  </sheetViews>
  <sheetFormatPr defaultRowHeight="14.5" x14ac:dyDescent="0.35"/>
  <cols>
    <col min="1" max="1" width="12.36328125" bestFit="1" customWidth="1"/>
    <col min="2" max="2" width="19.453125" bestFit="1" customWidth="1"/>
    <col min="4" max="4" width="13.90625" bestFit="1" customWidth="1"/>
    <col min="5" max="5" width="31.54296875" bestFit="1" customWidth="1"/>
    <col min="6" max="6" width="17.453125" bestFit="1" customWidth="1"/>
    <col min="7" max="7" width="12.36328125" bestFit="1" customWidth="1"/>
    <col min="8" max="8" width="25.81640625" bestFit="1" customWidth="1"/>
    <col min="9" max="9" width="10.7265625" bestFit="1" customWidth="1"/>
  </cols>
  <sheetData>
    <row r="3" spans="1:8" x14ac:dyDescent="0.35">
      <c r="A3" s="2" t="s">
        <v>407</v>
      </c>
      <c r="B3" t="s">
        <v>418</v>
      </c>
      <c r="D3" s="2" t="s">
        <v>407</v>
      </c>
      <c r="E3" t="s">
        <v>419</v>
      </c>
      <c r="G3" s="2" t="s">
        <v>407</v>
      </c>
      <c r="H3" t="s">
        <v>420</v>
      </c>
    </row>
    <row r="4" spans="1:8" x14ac:dyDescent="0.35">
      <c r="A4" s="3" t="s">
        <v>54</v>
      </c>
      <c r="B4">
        <v>420911</v>
      </c>
      <c r="D4" s="3" t="s">
        <v>54</v>
      </c>
      <c r="E4">
        <v>180</v>
      </c>
      <c r="G4" s="3" t="s">
        <v>54</v>
      </c>
      <c r="H4">
        <v>180</v>
      </c>
    </row>
    <row r="5" spans="1:8" x14ac:dyDescent="0.35">
      <c r="A5" s="3" t="s">
        <v>38</v>
      </c>
      <c r="B5">
        <v>482356</v>
      </c>
      <c r="D5" s="3" t="s">
        <v>38</v>
      </c>
      <c r="E5">
        <v>200</v>
      </c>
      <c r="G5" s="3" t="s">
        <v>38</v>
      </c>
      <c r="H5">
        <v>200</v>
      </c>
    </row>
    <row r="6" spans="1:8" x14ac:dyDescent="0.35">
      <c r="A6" s="3" t="s">
        <v>32</v>
      </c>
      <c r="B6">
        <v>533170</v>
      </c>
      <c r="D6" s="3" t="s">
        <v>32</v>
      </c>
      <c r="E6">
        <v>207</v>
      </c>
      <c r="G6" s="3" t="s">
        <v>32</v>
      </c>
      <c r="H6">
        <v>207</v>
      </c>
    </row>
    <row r="7" spans="1:8" x14ac:dyDescent="0.35">
      <c r="A7" s="3" t="s">
        <v>62</v>
      </c>
      <c r="B7">
        <v>512665</v>
      </c>
      <c r="D7" s="3" t="s">
        <v>62</v>
      </c>
      <c r="E7">
        <v>208</v>
      </c>
      <c r="G7" s="3" t="s">
        <v>62</v>
      </c>
      <c r="H7">
        <v>208</v>
      </c>
    </row>
    <row r="8" spans="1:8" x14ac:dyDescent="0.35">
      <c r="A8" s="3" t="s">
        <v>70</v>
      </c>
      <c r="B8">
        <v>495115</v>
      </c>
      <c r="D8" s="3" t="s">
        <v>70</v>
      </c>
      <c r="E8">
        <v>205</v>
      </c>
      <c r="G8" s="3" t="s">
        <v>70</v>
      </c>
      <c r="H8">
        <v>205</v>
      </c>
    </row>
    <row r="9" spans="1:8" x14ac:dyDescent="0.35">
      <c r="A9" s="3" t="s">
        <v>404</v>
      </c>
      <c r="B9">
        <v>2444217</v>
      </c>
      <c r="D9" s="3" t="s">
        <v>404</v>
      </c>
      <c r="E9">
        <v>1000</v>
      </c>
      <c r="G9" s="3" t="s">
        <v>404</v>
      </c>
      <c r="H9">
        <v>1000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1965E-224C-495B-99BA-5548CC4796DB}">
  <dimension ref="A3:R12"/>
  <sheetViews>
    <sheetView topLeftCell="G1" workbookViewId="0">
      <selection activeCell="Q17" sqref="Q17"/>
    </sheetView>
  </sheetViews>
  <sheetFormatPr defaultRowHeight="14.5" x14ac:dyDescent="0.35"/>
  <cols>
    <col min="1" max="1" width="24" bestFit="1" customWidth="1"/>
    <col min="2" max="2" width="15.26953125" bestFit="1" customWidth="1"/>
    <col min="3" max="3" width="13.7265625" bestFit="1" customWidth="1"/>
    <col min="4" max="4" width="9.7265625" bestFit="1" customWidth="1"/>
    <col min="5" max="5" width="6.36328125" bestFit="1" customWidth="1"/>
    <col min="6" max="6" width="10.7265625" bestFit="1" customWidth="1"/>
    <col min="7" max="7" width="13.7265625" bestFit="1" customWidth="1"/>
    <col min="8" max="8" width="12.36328125" bestFit="1" customWidth="1"/>
    <col min="9" max="9" width="25.81640625" bestFit="1" customWidth="1"/>
    <col min="10" max="10" width="6.453125" bestFit="1" customWidth="1"/>
    <col min="11" max="11" width="25.81640625" bestFit="1" customWidth="1"/>
    <col min="12" max="12" width="15.26953125" bestFit="1" customWidth="1"/>
    <col min="13" max="13" width="6.453125" bestFit="1" customWidth="1"/>
    <col min="14" max="14" width="7.54296875" bestFit="1" customWidth="1"/>
    <col min="15" max="15" width="5.1796875" bestFit="1" customWidth="1"/>
    <col min="16" max="16" width="9" bestFit="1" customWidth="1"/>
    <col min="17" max="17" width="7.26953125" bestFit="1" customWidth="1"/>
    <col min="18" max="18" width="10.7265625" bestFit="1" customWidth="1"/>
    <col min="19" max="19" width="24" bestFit="1" customWidth="1"/>
    <col min="20" max="20" width="28.08984375" bestFit="1" customWidth="1"/>
    <col min="21" max="21" width="28.81640625" bestFit="1" customWidth="1"/>
    <col min="22" max="22" width="32.90625" bestFit="1" customWidth="1"/>
    <col min="23" max="23" width="11.54296875" bestFit="1" customWidth="1"/>
    <col min="24" max="24" width="6.453125" bestFit="1" customWidth="1"/>
    <col min="25" max="25" width="7.54296875" bestFit="1" customWidth="1"/>
    <col min="26" max="26" width="5.1796875" bestFit="1" customWidth="1"/>
    <col min="27" max="27" width="9" bestFit="1" customWidth="1"/>
    <col min="28" max="28" width="7.26953125" bestFit="1" customWidth="1"/>
    <col min="29" max="29" width="14.54296875" bestFit="1" customWidth="1"/>
    <col min="30" max="30" width="8.1796875" bestFit="1" customWidth="1"/>
    <col min="31" max="31" width="6.453125" bestFit="1" customWidth="1"/>
    <col min="32" max="32" width="7.54296875" bestFit="1" customWidth="1"/>
    <col min="33" max="33" width="5.1796875" bestFit="1" customWidth="1"/>
    <col min="34" max="34" width="9" bestFit="1" customWidth="1"/>
    <col min="35" max="35" width="7.26953125" bestFit="1" customWidth="1"/>
    <col min="36" max="36" width="11.08984375" bestFit="1" customWidth="1"/>
    <col min="37" max="37" width="10.7265625" bestFit="1" customWidth="1"/>
  </cols>
  <sheetData>
    <row r="3" spans="1:18" x14ac:dyDescent="0.35">
      <c r="A3" s="2" t="s">
        <v>421</v>
      </c>
      <c r="B3" s="2" t="s">
        <v>406</v>
      </c>
      <c r="H3" s="2" t="s">
        <v>407</v>
      </c>
      <c r="I3" t="s">
        <v>420</v>
      </c>
      <c r="K3" s="2" t="s">
        <v>420</v>
      </c>
      <c r="L3" s="2" t="s">
        <v>406</v>
      </c>
    </row>
    <row r="4" spans="1:18" x14ac:dyDescent="0.35">
      <c r="A4" s="2" t="s">
        <v>407</v>
      </c>
      <c r="B4" t="s">
        <v>51</v>
      </c>
      <c r="C4" t="s">
        <v>66</v>
      </c>
      <c r="D4" t="s">
        <v>42</v>
      </c>
      <c r="E4" t="s">
        <v>28</v>
      </c>
      <c r="F4" t="s">
        <v>404</v>
      </c>
      <c r="H4" s="3" t="s">
        <v>61</v>
      </c>
      <c r="I4">
        <v>140</v>
      </c>
      <c r="K4" s="2" t="s">
        <v>407</v>
      </c>
      <c r="L4" t="s">
        <v>58</v>
      </c>
      <c r="M4" t="s">
        <v>69</v>
      </c>
      <c r="N4" t="s">
        <v>36</v>
      </c>
      <c r="O4" t="s">
        <v>29</v>
      </c>
      <c r="P4" t="s">
        <v>43</v>
      </c>
      <c r="Q4" t="s">
        <v>52</v>
      </c>
      <c r="R4" t="s">
        <v>404</v>
      </c>
    </row>
    <row r="5" spans="1:18" x14ac:dyDescent="0.35">
      <c r="A5" s="3" t="s">
        <v>61</v>
      </c>
      <c r="B5">
        <v>22</v>
      </c>
      <c r="C5">
        <v>44</v>
      </c>
      <c r="D5">
        <v>38</v>
      </c>
      <c r="E5">
        <v>36</v>
      </c>
      <c r="F5">
        <v>140</v>
      </c>
      <c r="H5" s="3" t="s">
        <v>41</v>
      </c>
      <c r="I5">
        <v>139</v>
      </c>
      <c r="K5" s="3" t="s">
        <v>61</v>
      </c>
      <c r="L5">
        <v>28</v>
      </c>
      <c r="M5">
        <v>27</v>
      </c>
      <c r="N5">
        <v>18</v>
      </c>
      <c r="O5">
        <v>15</v>
      </c>
      <c r="P5">
        <v>30</v>
      </c>
      <c r="Q5">
        <v>22</v>
      </c>
      <c r="R5">
        <v>140</v>
      </c>
    </row>
    <row r="6" spans="1:18" x14ac:dyDescent="0.35">
      <c r="A6" s="3" t="s">
        <v>41</v>
      </c>
      <c r="B6">
        <v>34</v>
      </c>
      <c r="C6">
        <v>27</v>
      </c>
      <c r="D6">
        <v>36</v>
      </c>
      <c r="E6">
        <v>42</v>
      </c>
      <c r="F6">
        <v>139</v>
      </c>
      <c r="H6" s="3" t="s">
        <v>76</v>
      </c>
      <c r="I6">
        <v>151</v>
      </c>
      <c r="K6" s="3" t="s">
        <v>41</v>
      </c>
      <c r="L6">
        <v>22</v>
      </c>
      <c r="M6">
        <v>24</v>
      </c>
      <c r="N6">
        <v>25</v>
      </c>
      <c r="O6">
        <v>26</v>
      </c>
      <c r="P6">
        <v>28</v>
      </c>
      <c r="Q6">
        <v>14</v>
      </c>
      <c r="R6">
        <v>139</v>
      </c>
    </row>
    <row r="7" spans="1:18" x14ac:dyDescent="0.35">
      <c r="A7" s="3" t="s">
        <v>76</v>
      </c>
      <c r="B7">
        <v>39</v>
      </c>
      <c r="C7">
        <v>41</v>
      </c>
      <c r="D7">
        <v>31</v>
      </c>
      <c r="E7">
        <v>40</v>
      </c>
      <c r="F7">
        <v>151</v>
      </c>
      <c r="H7" s="3" t="s">
        <v>65</v>
      </c>
      <c r="I7">
        <v>146</v>
      </c>
      <c r="K7" s="3" t="s">
        <v>76</v>
      </c>
      <c r="L7">
        <v>30</v>
      </c>
      <c r="M7">
        <v>29</v>
      </c>
      <c r="N7">
        <v>25</v>
      </c>
      <c r="O7">
        <v>24</v>
      </c>
      <c r="P7">
        <v>21</v>
      </c>
      <c r="Q7">
        <v>22</v>
      </c>
      <c r="R7">
        <v>151</v>
      </c>
    </row>
    <row r="8" spans="1:18" x14ac:dyDescent="0.35">
      <c r="A8" s="3" t="s">
        <v>65</v>
      </c>
      <c r="B8">
        <v>31</v>
      </c>
      <c r="C8">
        <v>35</v>
      </c>
      <c r="D8">
        <v>43</v>
      </c>
      <c r="E8">
        <v>37</v>
      </c>
      <c r="F8">
        <v>146</v>
      </c>
      <c r="H8" s="3" t="s">
        <v>50</v>
      </c>
      <c r="I8">
        <v>116</v>
      </c>
      <c r="K8" s="3" t="s">
        <v>65</v>
      </c>
      <c r="L8">
        <v>21</v>
      </c>
      <c r="M8">
        <v>23</v>
      </c>
      <c r="N8">
        <v>24</v>
      </c>
      <c r="O8">
        <v>25</v>
      </c>
      <c r="P8">
        <v>24</v>
      </c>
      <c r="Q8">
        <v>29</v>
      </c>
      <c r="R8">
        <v>146</v>
      </c>
    </row>
    <row r="9" spans="1:18" x14ac:dyDescent="0.35">
      <c r="A9" s="3" t="s">
        <v>50</v>
      </c>
      <c r="B9">
        <v>25</v>
      </c>
      <c r="C9">
        <v>29</v>
      </c>
      <c r="D9">
        <v>39</v>
      </c>
      <c r="E9">
        <v>23</v>
      </c>
      <c r="F9">
        <v>116</v>
      </c>
      <c r="H9" s="3" t="s">
        <v>46</v>
      </c>
      <c r="I9">
        <v>150</v>
      </c>
      <c r="K9" s="3" t="s">
        <v>50</v>
      </c>
      <c r="L9">
        <v>21</v>
      </c>
      <c r="M9">
        <v>16</v>
      </c>
      <c r="N9">
        <v>20</v>
      </c>
      <c r="O9">
        <v>18</v>
      </c>
      <c r="P9">
        <v>21</v>
      </c>
      <c r="Q9">
        <v>20</v>
      </c>
      <c r="R9">
        <v>116</v>
      </c>
    </row>
    <row r="10" spans="1:18" x14ac:dyDescent="0.35">
      <c r="A10" s="3" t="s">
        <v>46</v>
      </c>
      <c r="B10">
        <v>33</v>
      </c>
      <c r="C10">
        <v>38</v>
      </c>
      <c r="D10">
        <v>31</v>
      </c>
      <c r="E10">
        <v>48</v>
      </c>
      <c r="F10">
        <v>150</v>
      </c>
      <c r="H10" s="3" t="s">
        <v>27</v>
      </c>
      <c r="I10">
        <v>158</v>
      </c>
      <c r="K10" s="3" t="s">
        <v>46</v>
      </c>
      <c r="L10">
        <v>22</v>
      </c>
      <c r="M10">
        <v>22</v>
      </c>
      <c r="N10">
        <v>26</v>
      </c>
      <c r="O10">
        <v>27</v>
      </c>
      <c r="P10">
        <v>25</v>
      </c>
      <c r="Q10">
        <v>28</v>
      </c>
      <c r="R10">
        <v>150</v>
      </c>
    </row>
    <row r="11" spans="1:18" x14ac:dyDescent="0.35">
      <c r="A11" s="3" t="s">
        <v>27</v>
      </c>
      <c r="B11">
        <v>44</v>
      </c>
      <c r="C11">
        <v>40</v>
      </c>
      <c r="D11">
        <v>31</v>
      </c>
      <c r="E11">
        <v>43</v>
      </c>
      <c r="F11">
        <v>158</v>
      </c>
      <c r="H11" s="3" t="s">
        <v>404</v>
      </c>
      <c r="I11">
        <v>1000</v>
      </c>
      <c r="K11" s="3" t="s">
        <v>27</v>
      </c>
      <c r="L11">
        <v>24</v>
      </c>
      <c r="M11">
        <v>30</v>
      </c>
      <c r="N11">
        <v>29</v>
      </c>
      <c r="O11">
        <v>27</v>
      </c>
      <c r="P11">
        <v>30</v>
      </c>
      <c r="Q11">
        <v>18</v>
      </c>
      <c r="R11">
        <v>158</v>
      </c>
    </row>
    <row r="12" spans="1:18" x14ac:dyDescent="0.35">
      <c r="A12" s="3" t="s">
        <v>404</v>
      </c>
      <c r="B12">
        <v>228</v>
      </c>
      <c r="C12">
        <v>254</v>
      </c>
      <c r="D12">
        <v>249</v>
      </c>
      <c r="E12">
        <v>269</v>
      </c>
      <c r="F12">
        <v>1000</v>
      </c>
      <c r="K12" s="3" t="s">
        <v>404</v>
      </c>
      <c r="L12">
        <v>168</v>
      </c>
      <c r="M12">
        <v>171</v>
      </c>
      <c r="N12">
        <v>167</v>
      </c>
      <c r="O12">
        <v>162</v>
      </c>
      <c r="P12">
        <v>179</v>
      </c>
      <c r="Q12">
        <v>153</v>
      </c>
      <c r="R12">
        <v>1000</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078A7-570C-40E4-8FD5-6FEDC83607B7}">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472F-6C49-441B-AEC0-9502F1817608}">
  <dimension ref="A3:C20"/>
  <sheetViews>
    <sheetView tabSelected="1" workbookViewId="0">
      <selection activeCell="A3" sqref="A3"/>
    </sheetView>
  </sheetViews>
  <sheetFormatPr defaultRowHeight="14.5" x14ac:dyDescent="0.35"/>
  <sheetData>
    <row r="3" spans="1:3" x14ac:dyDescent="0.35">
      <c r="A3" s="6"/>
      <c r="B3" s="7"/>
      <c r="C3" s="8"/>
    </row>
    <row r="4" spans="1:3" x14ac:dyDescent="0.35">
      <c r="A4" s="9"/>
      <c r="B4" s="10"/>
      <c r="C4" s="11"/>
    </row>
    <row r="5" spans="1:3" x14ac:dyDescent="0.35">
      <c r="A5" s="9"/>
      <c r="B5" s="10"/>
      <c r="C5" s="11"/>
    </row>
    <row r="6" spans="1:3" x14ac:dyDescent="0.35">
      <c r="A6" s="9"/>
      <c r="B6" s="10"/>
      <c r="C6" s="11"/>
    </row>
    <row r="7" spans="1:3" x14ac:dyDescent="0.35">
      <c r="A7" s="9"/>
      <c r="B7" s="10"/>
      <c r="C7" s="11"/>
    </row>
    <row r="8" spans="1:3" x14ac:dyDescent="0.35">
      <c r="A8" s="9"/>
      <c r="B8" s="10"/>
      <c r="C8" s="11"/>
    </row>
    <row r="9" spans="1:3" x14ac:dyDescent="0.35">
      <c r="A9" s="9"/>
      <c r="B9" s="10"/>
      <c r="C9" s="11"/>
    </row>
    <row r="10" spans="1:3" x14ac:dyDescent="0.35">
      <c r="A10" s="9"/>
      <c r="B10" s="10"/>
      <c r="C10" s="11"/>
    </row>
    <row r="11" spans="1:3" x14ac:dyDescent="0.35">
      <c r="A11" s="9"/>
      <c r="B11" s="10"/>
      <c r="C11" s="11"/>
    </row>
    <row r="12" spans="1:3" x14ac:dyDescent="0.35">
      <c r="A12" s="9"/>
      <c r="B12" s="10"/>
      <c r="C12" s="11"/>
    </row>
    <row r="13" spans="1:3" x14ac:dyDescent="0.35">
      <c r="A13" s="9"/>
      <c r="B13" s="10"/>
      <c r="C13" s="11"/>
    </row>
    <row r="14" spans="1:3" x14ac:dyDescent="0.35">
      <c r="A14" s="9"/>
      <c r="B14" s="10"/>
      <c r="C14" s="11"/>
    </row>
    <row r="15" spans="1:3" x14ac:dyDescent="0.35">
      <c r="A15" s="9"/>
      <c r="B15" s="10"/>
      <c r="C15" s="11"/>
    </row>
    <row r="16" spans="1:3" x14ac:dyDescent="0.35">
      <c r="A16" s="9"/>
      <c r="B16" s="10"/>
      <c r="C16" s="11"/>
    </row>
    <row r="17" spans="1:3" x14ac:dyDescent="0.35">
      <c r="A17" s="9"/>
      <c r="B17" s="10"/>
      <c r="C17" s="11"/>
    </row>
    <row r="18" spans="1:3" x14ac:dyDescent="0.35">
      <c r="A18" s="9"/>
      <c r="B18" s="10"/>
      <c r="C18" s="11"/>
    </row>
    <row r="19" spans="1:3" x14ac:dyDescent="0.35">
      <c r="A19" s="9"/>
      <c r="B19" s="10"/>
      <c r="C19" s="11"/>
    </row>
    <row r="20" spans="1:3" x14ac:dyDescent="0.35">
      <c r="A20" s="12"/>
      <c r="B20" s="13"/>
      <c r="C20" s="1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8007E-F7D7-4B66-BF30-272465C8DE9A}">
  <dimension ref="A1:Y1001"/>
  <sheetViews>
    <sheetView topLeftCell="Q1" workbookViewId="0">
      <pane ySplit="1" topLeftCell="A981" activePane="bottomLeft" state="frozen"/>
      <selection pane="bottomLeft" activeCell="A2" sqref="A2"/>
    </sheetView>
  </sheetViews>
  <sheetFormatPr defaultRowHeight="14.5" x14ac:dyDescent="0.35"/>
  <cols>
    <col min="1" max="1" width="7.453125" bestFit="1" customWidth="1"/>
    <col min="2" max="2" width="10.6328125" bestFit="1" customWidth="1"/>
    <col min="3" max="4" width="10.08984375" bestFit="1" customWidth="1"/>
    <col min="5" max="5" width="21.7265625" bestFit="1" customWidth="1"/>
    <col min="6" max="6" width="13.08984375" bestFit="1" customWidth="1"/>
    <col min="7" max="7" width="15.453125" bestFit="1" customWidth="1"/>
    <col min="8" max="8" width="12.26953125" bestFit="1" customWidth="1"/>
    <col min="9" max="9" width="13.81640625" bestFit="1" customWidth="1"/>
    <col min="10" max="10" width="13.26953125" bestFit="1" customWidth="1"/>
    <col min="11" max="11" width="12.36328125" bestFit="1" customWidth="1"/>
    <col min="12" max="12" width="16.08984375" bestFit="1" customWidth="1"/>
    <col min="13" max="13" width="20.81640625" bestFit="1" customWidth="1"/>
    <col min="14" max="14" width="19.7265625" bestFit="1" customWidth="1"/>
    <col min="15" max="15" width="8.453125" bestFit="1" customWidth="1"/>
    <col min="16" max="16" width="16.08984375" bestFit="1" customWidth="1"/>
    <col min="17" max="17" width="18.90625" bestFit="1" customWidth="1"/>
    <col min="18" max="18" width="28" customWidth="1"/>
    <col min="19" max="19" width="19.7265625" bestFit="1" customWidth="1"/>
    <col min="20" max="20" width="23.6328125" bestFit="1" customWidth="1"/>
    <col min="21" max="21" width="17.90625" bestFit="1" customWidth="1"/>
    <col min="22" max="22" width="13.08984375" bestFit="1" customWidth="1"/>
    <col min="23" max="23" width="16.1796875" bestFit="1" customWidth="1"/>
    <col min="24" max="24" width="10.1796875" bestFit="1" customWidth="1"/>
    <col min="25" max="25" width="19.08984375" bestFit="1" customWidth="1"/>
  </cols>
  <sheetData>
    <row r="1" spans="1:25" s="4" customFormat="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row>
    <row r="2" spans="1:25" x14ac:dyDescent="0.35">
      <c r="A2">
        <v>2518</v>
      </c>
      <c r="B2" t="s">
        <v>25</v>
      </c>
      <c r="C2" s="1">
        <v>45061</v>
      </c>
      <c r="D2" s="1">
        <v>45639</v>
      </c>
      <c r="E2">
        <v>18</v>
      </c>
      <c r="F2">
        <v>7.99</v>
      </c>
      <c r="G2">
        <f>F2*E2</f>
        <v>143.82</v>
      </c>
      <c r="H2">
        <v>49</v>
      </c>
      <c r="I2" t="s">
        <v>26</v>
      </c>
      <c r="J2">
        <v>3</v>
      </c>
      <c r="K2">
        <v>6</v>
      </c>
      <c r="L2" t="b">
        <v>1</v>
      </c>
      <c r="M2">
        <v>641</v>
      </c>
      <c r="N2">
        <v>117</v>
      </c>
      <c r="O2" t="s">
        <v>27</v>
      </c>
      <c r="P2" t="s">
        <v>28</v>
      </c>
      <c r="Q2" t="s">
        <v>29</v>
      </c>
      <c r="R2">
        <v>84</v>
      </c>
      <c r="S2">
        <v>3.3</v>
      </c>
      <c r="T2" t="b">
        <v>0</v>
      </c>
      <c r="U2" t="s">
        <v>30</v>
      </c>
      <c r="V2">
        <v>2878</v>
      </c>
      <c r="W2" t="s">
        <v>31</v>
      </c>
      <c r="X2" t="s">
        <v>32</v>
      </c>
      <c r="Y2" t="s">
        <v>33</v>
      </c>
    </row>
    <row r="3" spans="1:25" x14ac:dyDescent="0.35">
      <c r="A3">
        <v>6430</v>
      </c>
      <c r="B3" t="s">
        <v>34</v>
      </c>
      <c r="C3" s="1">
        <v>45019</v>
      </c>
      <c r="D3" s="1">
        <v>45641</v>
      </c>
      <c r="E3">
        <v>20</v>
      </c>
      <c r="F3">
        <v>7.99</v>
      </c>
      <c r="G3">
        <f t="shared" ref="G3:G66" si="0">F3*E3</f>
        <v>159.80000000000001</v>
      </c>
      <c r="H3">
        <v>161</v>
      </c>
      <c r="I3" t="s">
        <v>35</v>
      </c>
      <c r="J3">
        <v>1</v>
      </c>
      <c r="K3">
        <v>2</v>
      </c>
      <c r="L3" t="b">
        <v>1</v>
      </c>
      <c r="M3">
        <v>192</v>
      </c>
      <c r="N3">
        <v>65</v>
      </c>
      <c r="O3" t="s">
        <v>27</v>
      </c>
      <c r="P3" t="s">
        <v>28</v>
      </c>
      <c r="Q3" t="s">
        <v>36</v>
      </c>
      <c r="R3">
        <v>69</v>
      </c>
      <c r="S3">
        <v>4</v>
      </c>
      <c r="T3" t="b">
        <v>0</v>
      </c>
      <c r="U3" t="s">
        <v>30</v>
      </c>
      <c r="V3">
        <v>2291</v>
      </c>
      <c r="W3" t="s">
        <v>37</v>
      </c>
      <c r="X3" t="s">
        <v>38</v>
      </c>
      <c r="Y3" t="s">
        <v>39</v>
      </c>
    </row>
    <row r="4" spans="1:25" x14ac:dyDescent="0.35">
      <c r="A4">
        <v>1798</v>
      </c>
      <c r="B4" t="s">
        <v>40</v>
      </c>
      <c r="C4" s="1">
        <v>45140</v>
      </c>
      <c r="D4" s="1">
        <v>45640</v>
      </c>
      <c r="E4">
        <v>16</v>
      </c>
      <c r="F4">
        <v>11.99</v>
      </c>
      <c r="G4">
        <f t="shared" si="0"/>
        <v>191.84</v>
      </c>
      <c r="H4">
        <v>87</v>
      </c>
      <c r="I4" t="s">
        <v>26</v>
      </c>
      <c r="J4">
        <v>2</v>
      </c>
      <c r="K4">
        <v>5</v>
      </c>
      <c r="L4" t="b">
        <v>0</v>
      </c>
      <c r="M4">
        <v>260</v>
      </c>
      <c r="N4">
        <v>127</v>
      </c>
      <c r="O4" t="s">
        <v>41</v>
      </c>
      <c r="P4" t="s">
        <v>42</v>
      </c>
      <c r="Q4" t="s">
        <v>43</v>
      </c>
      <c r="R4">
        <v>56</v>
      </c>
      <c r="S4">
        <v>3.1</v>
      </c>
      <c r="T4" t="b">
        <v>0</v>
      </c>
      <c r="U4" t="s">
        <v>30</v>
      </c>
      <c r="V4">
        <v>1692</v>
      </c>
      <c r="W4" t="s">
        <v>37</v>
      </c>
      <c r="X4" t="s">
        <v>32</v>
      </c>
      <c r="Y4" t="s">
        <v>33</v>
      </c>
    </row>
    <row r="5" spans="1:25" x14ac:dyDescent="0.35">
      <c r="A5">
        <v>5255</v>
      </c>
      <c r="B5" t="s">
        <v>44</v>
      </c>
      <c r="C5" s="1">
        <v>44957</v>
      </c>
      <c r="D5" s="1">
        <v>45628</v>
      </c>
      <c r="E5">
        <v>22</v>
      </c>
      <c r="F5">
        <v>15.99</v>
      </c>
      <c r="G5">
        <f t="shared" si="0"/>
        <v>351.78000000000003</v>
      </c>
      <c r="H5">
        <v>321</v>
      </c>
      <c r="I5" t="s">
        <v>45</v>
      </c>
      <c r="J5">
        <v>1</v>
      </c>
      <c r="K5">
        <v>5</v>
      </c>
      <c r="L5" t="b">
        <v>0</v>
      </c>
      <c r="M5">
        <v>61</v>
      </c>
      <c r="N5">
        <v>192</v>
      </c>
      <c r="O5" t="s">
        <v>46</v>
      </c>
      <c r="P5" t="s">
        <v>42</v>
      </c>
      <c r="Q5" t="s">
        <v>43</v>
      </c>
      <c r="R5">
        <v>47</v>
      </c>
      <c r="S5">
        <v>4.5999999999999996</v>
      </c>
      <c r="T5" t="b">
        <v>0</v>
      </c>
      <c r="U5" t="s">
        <v>30</v>
      </c>
      <c r="V5">
        <v>952</v>
      </c>
      <c r="W5" t="s">
        <v>37</v>
      </c>
      <c r="X5" t="s">
        <v>38</v>
      </c>
      <c r="Y5" t="s">
        <v>39</v>
      </c>
    </row>
    <row r="6" spans="1:25" x14ac:dyDescent="0.35">
      <c r="A6">
        <v>2854</v>
      </c>
      <c r="B6" t="s">
        <v>47</v>
      </c>
      <c r="C6" s="1">
        <v>45083</v>
      </c>
      <c r="D6" s="1">
        <v>45641</v>
      </c>
      <c r="E6">
        <v>18</v>
      </c>
      <c r="F6">
        <v>11.99</v>
      </c>
      <c r="G6">
        <f t="shared" si="0"/>
        <v>215.82</v>
      </c>
      <c r="H6">
        <v>386</v>
      </c>
      <c r="I6" t="s">
        <v>48</v>
      </c>
      <c r="J6">
        <v>1</v>
      </c>
      <c r="K6">
        <v>4</v>
      </c>
      <c r="L6" t="b">
        <v>1</v>
      </c>
      <c r="M6">
        <v>230</v>
      </c>
      <c r="N6">
        <v>2</v>
      </c>
      <c r="O6" t="s">
        <v>27</v>
      </c>
      <c r="P6" t="s">
        <v>28</v>
      </c>
      <c r="Q6" t="s">
        <v>43</v>
      </c>
      <c r="R6">
        <v>39</v>
      </c>
      <c r="S6">
        <v>3.7</v>
      </c>
      <c r="T6" t="b">
        <v>0</v>
      </c>
      <c r="U6" t="s">
        <v>30</v>
      </c>
      <c r="V6">
        <v>1823</v>
      </c>
      <c r="W6" t="s">
        <v>37</v>
      </c>
      <c r="X6" t="s">
        <v>38</v>
      </c>
      <c r="Y6" t="s">
        <v>33</v>
      </c>
    </row>
    <row r="7" spans="1:25" x14ac:dyDescent="0.35">
      <c r="A7">
        <v>6735</v>
      </c>
      <c r="B7" t="s">
        <v>49</v>
      </c>
      <c r="C7" s="1">
        <v>45186</v>
      </c>
      <c r="D7" s="1">
        <v>45615</v>
      </c>
      <c r="E7">
        <v>14</v>
      </c>
      <c r="F7">
        <v>15.99</v>
      </c>
      <c r="G7">
        <f t="shared" si="0"/>
        <v>223.86</v>
      </c>
      <c r="H7">
        <v>408</v>
      </c>
      <c r="I7" t="s">
        <v>48</v>
      </c>
      <c r="J7">
        <v>2</v>
      </c>
      <c r="K7">
        <v>6</v>
      </c>
      <c r="L7" t="b">
        <v>1</v>
      </c>
      <c r="M7">
        <v>837</v>
      </c>
      <c r="N7">
        <v>105</v>
      </c>
      <c r="O7" t="s">
        <v>50</v>
      </c>
      <c r="P7" t="s">
        <v>51</v>
      </c>
      <c r="Q7" t="s">
        <v>52</v>
      </c>
      <c r="R7">
        <v>71</v>
      </c>
      <c r="S7">
        <v>4.3</v>
      </c>
      <c r="T7" t="b">
        <v>1</v>
      </c>
      <c r="U7" t="s">
        <v>30</v>
      </c>
      <c r="V7">
        <v>33</v>
      </c>
      <c r="W7" t="s">
        <v>53</v>
      </c>
      <c r="X7" t="s">
        <v>54</v>
      </c>
      <c r="Y7" t="s">
        <v>55</v>
      </c>
    </row>
    <row r="8" spans="1:25" x14ac:dyDescent="0.35">
      <c r="A8">
        <v>2995</v>
      </c>
      <c r="B8" t="s">
        <v>56</v>
      </c>
      <c r="C8" s="1">
        <v>45529</v>
      </c>
      <c r="D8" s="1">
        <v>45636</v>
      </c>
      <c r="E8">
        <v>3</v>
      </c>
      <c r="F8">
        <v>7.99</v>
      </c>
      <c r="G8">
        <f t="shared" si="0"/>
        <v>23.97</v>
      </c>
      <c r="H8">
        <v>475</v>
      </c>
      <c r="I8" t="s">
        <v>57</v>
      </c>
      <c r="J8">
        <v>5</v>
      </c>
      <c r="K8">
        <v>4</v>
      </c>
      <c r="L8" t="b">
        <v>1</v>
      </c>
      <c r="M8">
        <v>510</v>
      </c>
      <c r="N8">
        <v>143</v>
      </c>
      <c r="O8" t="s">
        <v>27</v>
      </c>
      <c r="P8" t="s">
        <v>51</v>
      </c>
      <c r="Q8" t="s">
        <v>58</v>
      </c>
      <c r="R8">
        <v>1</v>
      </c>
      <c r="S8">
        <v>4.5</v>
      </c>
      <c r="T8" t="b">
        <v>0</v>
      </c>
      <c r="U8" t="s">
        <v>30</v>
      </c>
      <c r="V8">
        <v>755</v>
      </c>
      <c r="W8" t="s">
        <v>59</v>
      </c>
      <c r="X8" t="s">
        <v>32</v>
      </c>
      <c r="Y8" t="s">
        <v>33</v>
      </c>
    </row>
    <row r="9" spans="1:25" x14ac:dyDescent="0.35">
      <c r="A9">
        <v>5120</v>
      </c>
      <c r="B9" t="s">
        <v>60</v>
      </c>
      <c r="C9" s="1">
        <v>45443</v>
      </c>
      <c r="D9" s="1">
        <v>45640</v>
      </c>
      <c r="E9">
        <v>6</v>
      </c>
      <c r="F9">
        <v>15.99</v>
      </c>
      <c r="G9">
        <f t="shared" si="0"/>
        <v>95.94</v>
      </c>
      <c r="H9">
        <v>258</v>
      </c>
      <c r="I9" t="s">
        <v>26</v>
      </c>
      <c r="J9">
        <v>4</v>
      </c>
      <c r="K9">
        <v>1</v>
      </c>
      <c r="L9" t="b">
        <v>1</v>
      </c>
      <c r="M9">
        <v>907</v>
      </c>
      <c r="N9">
        <v>47</v>
      </c>
      <c r="O9" t="s">
        <v>61</v>
      </c>
      <c r="P9" t="s">
        <v>42</v>
      </c>
      <c r="Q9" t="s">
        <v>29</v>
      </c>
      <c r="R9">
        <v>32</v>
      </c>
      <c r="S9">
        <v>3.7</v>
      </c>
      <c r="T9" t="b">
        <v>1</v>
      </c>
      <c r="U9" t="s">
        <v>30</v>
      </c>
      <c r="V9">
        <v>2866</v>
      </c>
      <c r="W9" t="s">
        <v>31</v>
      </c>
      <c r="X9" t="s">
        <v>62</v>
      </c>
      <c r="Y9" t="s">
        <v>33</v>
      </c>
    </row>
    <row r="10" spans="1:25" x14ac:dyDescent="0.35">
      <c r="A10">
        <v>6063</v>
      </c>
      <c r="B10" t="s">
        <v>63</v>
      </c>
      <c r="C10" s="1">
        <v>45094</v>
      </c>
      <c r="D10" s="1">
        <v>45643</v>
      </c>
      <c r="E10">
        <v>18</v>
      </c>
      <c r="F10">
        <v>15.99</v>
      </c>
      <c r="G10">
        <f t="shared" si="0"/>
        <v>287.82</v>
      </c>
      <c r="H10">
        <v>183</v>
      </c>
      <c r="I10" t="s">
        <v>64</v>
      </c>
      <c r="J10">
        <v>5</v>
      </c>
      <c r="K10">
        <v>2</v>
      </c>
      <c r="L10" t="b">
        <v>1</v>
      </c>
      <c r="M10">
        <v>676</v>
      </c>
      <c r="N10">
        <v>61</v>
      </c>
      <c r="O10" t="s">
        <v>65</v>
      </c>
      <c r="P10" t="s">
        <v>66</v>
      </c>
      <c r="Q10" t="s">
        <v>43</v>
      </c>
      <c r="R10">
        <v>26</v>
      </c>
      <c r="S10">
        <v>3.3</v>
      </c>
      <c r="T10" t="b">
        <v>1</v>
      </c>
      <c r="U10" t="s">
        <v>30</v>
      </c>
      <c r="V10">
        <v>336</v>
      </c>
      <c r="W10" t="s">
        <v>67</v>
      </c>
      <c r="X10" t="s">
        <v>38</v>
      </c>
      <c r="Y10" t="s">
        <v>33</v>
      </c>
    </row>
    <row r="11" spans="1:25" x14ac:dyDescent="0.35">
      <c r="A11">
        <v>6896</v>
      </c>
      <c r="B11" t="s">
        <v>68</v>
      </c>
      <c r="C11" s="1">
        <v>45262</v>
      </c>
      <c r="D11" s="1">
        <v>45640</v>
      </c>
      <c r="E11">
        <v>12</v>
      </c>
      <c r="F11">
        <v>7.99</v>
      </c>
      <c r="G11">
        <f t="shared" si="0"/>
        <v>95.88</v>
      </c>
      <c r="H11">
        <v>164</v>
      </c>
      <c r="I11" t="s">
        <v>48</v>
      </c>
      <c r="J11">
        <v>5</v>
      </c>
      <c r="K11">
        <v>4</v>
      </c>
      <c r="L11" t="b">
        <v>1</v>
      </c>
      <c r="M11">
        <v>406</v>
      </c>
      <c r="N11">
        <v>79</v>
      </c>
      <c r="O11" t="s">
        <v>27</v>
      </c>
      <c r="P11" t="s">
        <v>51</v>
      </c>
      <c r="Q11" t="s">
        <v>69</v>
      </c>
      <c r="R11">
        <v>90</v>
      </c>
      <c r="S11">
        <v>3.2</v>
      </c>
      <c r="T11" t="b">
        <v>0</v>
      </c>
      <c r="U11" t="s">
        <v>30</v>
      </c>
      <c r="V11">
        <v>3898</v>
      </c>
      <c r="W11" t="s">
        <v>59</v>
      </c>
      <c r="X11" t="s">
        <v>70</v>
      </c>
      <c r="Y11" t="s">
        <v>33</v>
      </c>
    </row>
    <row r="12" spans="1:25" x14ac:dyDescent="0.35">
      <c r="A12">
        <v>8447</v>
      </c>
      <c r="B12" t="s">
        <v>71</v>
      </c>
      <c r="C12" s="1">
        <v>45013</v>
      </c>
      <c r="D12" s="1">
        <v>45618</v>
      </c>
      <c r="E12">
        <v>19</v>
      </c>
      <c r="F12">
        <v>11.99</v>
      </c>
      <c r="G12">
        <f t="shared" si="0"/>
        <v>227.81</v>
      </c>
      <c r="H12">
        <v>411</v>
      </c>
      <c r="I12" t="s">
        <v>64</v>
      </c>
      <c r="J12">
        <v>5</v>
      </c>
      <c r="K12">
        <v>4</v>
      </c>
      <c r="L12" t="b">
        <v>1</v>
      </c>
      <c r="M12">
        <v>352</v>
      </c>
      <c r="N12">
        <v>78</v>
      </c>
      <c r="O12" t="s">
        <v>46</v>
      </c>
      <c r="P12" t="s">
        <v>51</v>
      </c>
      <c r="Q12" t="s">
        <v>58</v>
      </c>
      <c r="R12">
        <v>47</v>
      </c>
      <c r="S12">
        <v>3.7</v>
      </c>
      <c r="T12" t="b">
        <v>0</v>
      </c>
      <c r="U12" t="s">
        <v>30</v>
      </c>
      <c r="V12">
        <v>650</v>
      </c>
      <c r="W12" t="s">
        <v>67</v>
      </c>
      <c r="X12" t="s">
        <v>70</v>
      </c>
      <c r="Y12" t="s">
        <v>33</v>
      </c>
    </row>
    <row r="13" spans="1:25" x14ac:dyDescent="0.35">
      <c r="A13">
        <v>1433</v>
      </c>
      <c r="B13" t="s">
        <v>72</v>
      </c>
      <c r="C13" s="1">
        <v>45353</v>
      </c>
      <c r="D13" s="1">
        <v>45616</v>
      </c>
      <c r="E13">
        <v>8</v>
      </c>
      <c r="F13">
        <v>15.99</v>
      </c>
      <c r="G13">
        <f t="shared" si="0"/>
        <v>127.92</v>
      </c>
      <c r="H13">
        <v>160</v>
      </c>
      <c r="I13" t="s">
        <v>35</v>
      </c>
      <c r="J13">
        <v>5</v>
      </c>
      <c r="K13">
        <v>6</v>
      </c>
      <c r="L13" t="b">
        <v>1</v>
      </c>
      <c r="M13">
        <v>391</v>
      </c>
      <c r="N13">
        <v>132</v>
      </c>
      <c r="O13" t="s">
        <v>41</v>
      </c>
      <c r="P13" t="s">
        <v>42</v>
      </c>
      <c r="Q13" t="s">
        <v>36</v>
      </c>
      <c r="R13">
        <v>57</v>
      </c>
      <c r="S13">
        <v>3</v>
      </c>
      <c r="T13" t="b">
        <v>0</v>
      </c>
      <c r="U13" t="s">
        <v>30</v>
      </c>
      <c r="V13">
        <v>185</v>
      </c>
      <c r="W13" t="s">
        <v>59</v>
      </c>
      <c r="X13" t="s">
        <v>32</v>
      </c>
      <c r="Y13" t="s">
        <v>33</v>
      </c>
    </row>
    <row r="14" spans="1:25" x14ac:dyDescent="0.35">
      <c r="A14">
        <v>4511</v>
      </c>
      <c r="B14" t="s">
        <v>73</v>
      </c>
      <c r="C14" s="1">
        <v>45012</v>
      </c>
      <c r="D14" s="1">
        <v>45621</v>
      </c>
      <c r="E14">
        <v>19</v>
      </c>
      <c r="F14">
        <v>7.99</v>
      </c>
      <c r="G14">
        <f t="shared" si="0"/>
        <v>151.81</v>
      </c>
      <c r="H14">
        <v>348</v>
      </c>
      <c r="I14" t="s">
        <v>35</v>
      </c>
      <c r="J14">
        <v>2</v>
      </c>
      <c r="K14">
        <v>5</v>
      </c>
      <c r="L14" t="b">
        <v>0</v>
      </c>
      <c r="M14">
        <v>501</v>
      </c>
      <c r="N14">
        <v>71</v>
      </c>
      <c r="O14" t="s">
        <v>65</v>
      </c>
      <c r="P14" t="s">
        <v>42</v>
      </c>
      <c r="Q14" t="s">
        <v>69</v>
      </c>
      <c r="R14">
        <v>38</v>
      </c>
      <c r="S14">
        <v>4.3</v>
      </c>
      <c r="T14" t="b">
        <v>0</v>
      </c>
      <c r="U14" t="s">
        <v>30</v>
      </c>
      <c r="V14">
        <v>1547</v>
      </c>
      <c r="W14" t="s">
        <v>31</v>
      </c>
      <c r="X14" t="s">
        <v>62</v>
      </c>
      <c r="Y14" t="s">
        <v>33</v>
      </c>
    </row>
    <row r="15" spans="1:25" x14ac:dyDescent="0.35">
      <c r="A15">
        <v>9966</v>
      </c>
      <c r="B15" t="s">
        <v>74</v>
      </c>
      <c r="C15" s="1">
        <v>45550</v>
      </c>
      <c r="D15" s="1">
        <v>45626</v>
      </c>
      <c r="E15">
        <v>2</v>
      </c>
      <c r="F15">
        <v>7.99</v>
      </c>
      <c r="G15">
        <f t="shared" si="0"/>
        <v>15.98</v>
      </c>
      <c r="H15">
        <v>451</v>
      </c>
      <c r="I15" t="s">
        <v>48</v>
      </c>
      <c r="J15">
        <v>3</v>
      </c>
      <c r="K15">
        <v>1</v>
      </c>
      <c r="L15" t="b">
        <v>0</v>
      </c>
      <c r="M15">
        <v>995</v>
      </c>
      <c r="N15">
        <v>164</v>
      </c>
      <c r="O15" t="s">
        <v>46</v>
      </c>
      <c r="P15" t="s">
        <v>66</v>
      </c>
      <c r="Q15" t="s">
        <v>58</v>
      </c>
      <c r="R15">
        <v>62</v>
      </c>
      <c r="S15">
        <v>3</v>
      </c>
      <c r="T15" t="b">
        <v>1</v>
      </c>
      <c r="U15" t="s">
        <v>30</v>
      </c>
      <c r="V15">
        <v>3788</v>
      </c>
      <c r="W15" t="s">
        <v>31</v>
      </c>
      <c r="X15" t="s">
        <v>54</v>
      </c>
      <c r="Y15" t="s">
        <v>33</v>
      </c>
    </row>
    <row r="16" spans="1:25" x14ac:dyDescent="0.35">
      <c r="A16">
        <v>7093</v>
      </c>
      <c r="B16" t="s">
        <v>75</v>
      </c>
      <c r="C16" s="1">
        <v>45084</v>
      </c>
      <c r="D16" s="1">
        <v>45637</v>
      </c>
      <c r="E16">
        <v>18</v>
      </c>
      <c r="F16">
        <v>7.99</v>
      </c>
      <c r="G16">
        <f t="shared" si="0"/>
        <v>143.82</v>
      </c>
      <c r="H16">
        <v>69</v>
      </c>
      <c r="I16" t="s">
        <v>48</v>
      </c>
      <c r="J16">
        <v>2</v>
      </c>
      <c r="K16">
        <v>5</v>
      </c>
      <c r="L16" t="b">
        <v>0</v>
      </c>
      <c r="M16">
        <v>222</v>
      </c>
      <c r="N16">
        <v>13</v>
      </c>
      <c r="O16" t="s">
        <v>76</v>
      </c>
      <c r="P16" t="s">
        <v>28</v>
      </c>
      <c r="Q16" t="s">
        <v>36</v>
      </c>
      <c r="R16">
        <v>0</v>
      </c>
      <c r="S16">
        <v>4.7</v>
      </c>
      <c r="T16" t="b">
        <v>1</v>
      </c>
      <c r="U16" t="s">
        <v>30</v>
      </c>
      <c r="V16">
        <v>1051</v>
      </c>
      <c r="W16" t="s">
        <v>37</v>
      </c>
      <c r="X16" t="s">
        <v>54</v>
      </c>
      <c r="Y16" t="s">
        <v>77</v>
      </c>
    </row>
    <row r="17" spans="1:25" x14ac:dyDescent="0.35">
      <c r="A17">
        <v>4351</v>
      </c>
      <c r="B17" t="s">
        <v>78</v>
      </c>
      <c r="C17" s="1">
        <v>45430</v>
      </c>
      <c r="D17" s="1">
        <v>45626</v>
      </c>
      <c r="E17">
        <v>6</v>
      </c>
      <c r="F17">
        <v>11.99</v>
      </c>
      <c r="G17">
        <f t="shared" si="0"/>
        <v>71.94</v>
      </c>
      <c r="H17">
        <v>166</v>
      </c>
      <c r="I17" t="s">
        <v>57</v>
      </c>
      <c r="J17">
        <v>1</v>
      </c>
      <c r="K17">
        <v>6</v>
      </c>
      <c r="L17" t="b">
        <v>1</v>
      </c>
      <c r="M17">
        <v>788</v>
      </c>
      <c r="N17">
        <v>31</v>
      </c>
      <c r="O17" t="s">
        <v>27</v>
      </c>
      <c r="P17" t="s">
        <v>28</v>
      </c>
      <c r="Q17" t="s">
        <v>36</v>
      </c>
      <c r="R17">
        <v>25</v>
      </c>
      <c r="S17">
        <v>4.3</v>
      </c>
      <c r="T17" t="b">
        <v>1</v>
      </c>
      <c r="U17" t="s">
        <v>30</v>
      </c>
      <c r="V17">
        <v>633</v>
      </c>
      <c r="W17" t="s">
        <v>53</v>
      </c>
      <c r="X17" t="s">
        <v>32</v>
      </c>
      <c r="Y17" t="s">
        <v>77</v>
      </c>
    </row>
    <row r="18" spans="1:25" x14ac:dyDescent="0.35">
      <c r="A18">
        <v>6007</v>
      </c>
      <c r="B18" t="s">
        <v>79</v>
      </c>
      <c r="C18" s="1">
        <v>44971</v>
      </c>
      <c r="D18" s="1">
        <v>45643</v>
      </c>
      <c r="E18">
        <v>22</v>
      </c>
      <c r="F18">
        <v>7.99</v>
      </c>
      <c r="G18">
        <f t="shared" si="0"/>
        <v>175.78</v>
      </c>
      <c r="H18">
        <v>449</v>
      </c>
      <c r="I18" t="s">
        <v>57</v>
      </c>
      <c r="J18">
        <v>2</v>
      </c>
      <c r="K18">
        <v>4</v>
      </c>
      <c r="L18" t="b">
        <v>1</v>
      </c>
      <c r="M18">
        <v>369</v>
      </c>
      <c r="N18">
        <v>25</v>
      </c>
      <c r="O18" t="s">
        <v>65</v>
      </c>
      <c r="P18" t="s">
        <v>42</v>
      </c>
      <c r="Q18" t="s">
        <v>52</v>
      </c>
      <c r="R18">
        <v>65</v>
      </c>
      <c r="S18">
        <v>4.5999999999999996</v>
      </c>
      <c r="T18" t="b">
        <v>0</v>
      </c>
      <c r="U18" t="s">
        <v>30</v>
      </c>
      <c r="V18">
        <v>4133</v>
      </c>
      <c r="W18" t="s">
        <v>31</v>
      </c>
      <c r="X18" t="s">
        <v>38</v>
      </c>
      <c r="Y18" t="s">
        <v>39</v>
      </c>
    </row>
    <row r="19" spans="1:25" x14ac:dyDescent="0.35">
      <c r="A19">
        <v>9710</v>
      </c>
      <c r="B19" t="s">
        <v>80</v>
      </c>
      <c r="C19" s="1">
        <v>45079</v>
      </c>
      <c r="D19" s="1">
        <v>45623</v>
      </c>
      <c r="E19">
        <v>17</v>
      </c>
      <c r="F19">
        <v>7.99</v>
      </c>
      <c r="G19">
        <f t="shared" si="0"/>
        <v>135.83000000000001</v>
      </c>
      <c r="H19">
        <v>441</v>
      </c>
      <c r="I19" t="s">
        <v>81</v>
      </c>
      <c r="J19">
        <v>1</v>
      </c>
      <c r="K19">
        <v>5</v>
      </c>
      <c r="L19" t="b">
        <v>0</v>
      </c>
      <c r="M19">
        <v>228</v>
      </c>
      <c r="N19">
        <v>39</v>
      </c>
      <c r="O19" t="s">
        <v>65</v>
      </c>
      <c r="P19" t="s">
        <v>28</v>
      </c>
      <c r="Q19" t="s">
        <v>43</v>
      </c>
      <c r="R19">
        <v>50</v>
      </c>
      <c r="S19">
        <v>3.1</v>
      </c>
      <c r="T19" t="b">
        <v>1</v>
      </c>
      <c r="U19" t="s">
        <v>30</v>
      </c>
      <c r="V19">
        <v>1159</v>
      </c>
      <c r="W19" t="s">
        <v>37</v>
      </c>
      <c r="X19" t="s">
        <v>32</v>
      </c>
      <c r="Y19" t="s">
        <v>55</v>
      </c>
    </row>
    <row r="20" spans="1:25" x14ac:dyDescent="0.35">
      <c r="A20">
        <v>9034</v>
      </c>
      <c r="B20" t="s">
        <v>82</v>
      </c>
      <c r="C20" s="1">
        <v>45189</v>
      </c>
      <c r="D20" s="1">
        <v>45644</v>
      </c>
      <c r="E20">
        <v>14</v>
      </c>
      <c r="F20">
        <v>15.99</v>
      </c>
      <c r="G20">
        <f t="shared" si="0"/>
        <v>223.86</v>
      </c>
      <c r="H20">
        <v>224</v>
      </c>
      <c r="I20" t="s">
        <v>64</v>
      </c>
      <c r="J20">
        <v>1</v>
      </c>
      <c r="K20">
        <v>5</v>
      </c>
      <c r="L20" t="b">
        <v>1</v>
      </c>
      <c r="M20">
        <v>827</v>
      </c>
      <c r="N20">
        <v>138</v>
      </c>
      <c r="O20" t="s">
        <v>41</v>
      </c>
      <c r="P20" t="s">
        <v>42</v>
      </c>
      <c r="Q20" t="s">
        <v>43</v>
      </c>
      <c r="R20">
        <v>11</v>
      </c>
      <c r="S20">
        <v>4.5</v>
      </c>
      <c r="T20" t="b">
        <v>1</v>
      </c>
      <c r="U20" t="s">
        <v>30</v>
      </c>
      <c r="V20">
        <v>4673</v>
      </c>
      <c r="W20" t="s">
        <v>67</v>
      </c>
      <c r="X20" t="s">
        <v>54</v>
      </c>
      <c r="Y20" t="s">
        <v>77</v>
      </c>
    </row>
    <row r="21" spans="1:25" x14ac:dyDescent="0.35">
      <c r="A21">
        <v>6197</v>
      </c>
      <c r="B21" t="s">
        <v>83</v>
      </c>
      <c r="C21" s="1">
        <v>45110</v>
      </c>
      <c r="D21" s="1">
        <v>45624</v>
      </c>
      <c r="E21">
        <v>16</v>
      </c>
      <c r="F21">
        <v>15.99</v>
      </c>
      <c r="G21">
        <f t="shared" si="0"/>
        <v>255.84</v>
      </c>
      <c r="H21">
        <v>44</v>
      </c>
      <c r="I21" t="s">
        <v>26</v>
      </c>
      <c r="J21">
        <v>2</v>
      </c>
      <c r="K21">
        <v>4</v>
      </c>
      <c r="L21" t="b">
        <v>0</v>
      </c>
      <c r="M21">
        <v>983</v>
      </c>
      <c r="N21">
        <v>145</v>
      </c>
      <c r="O21" t="s">
        <v>50</v>
      </c>
      <c r="P21" t="s">
        <v>28</v>
      </c>
      <c r="Q21" t="s">
        <v>69</v>
      </c>
      <c r="R21">
        <v>78</v>
      </c>
      <c r="S21">
        <v>3</v>
      </c>
      <c r="T21" t="b">
        <v>0</v>
      </c>
      <c r="U21" t="s">
        <v>30</v>
      </c>
      <c r="V21">
        <v>4200</v>
      </c>
      <c r="W21" t="s">
        <v>59</v>
      </c>
      <c r="X21" t="s">
        <v>62</v>
      </c>
      <c r="Y21" t="s">
        <v>39</v>
      </c>
    </row>
    <row r="22" spans="1:25" x14ac:dyDescent="0.35">
      <c r="A22">
        <v>2820</v>
      </c>
      <c r="B22" t="s">
        <v>84</v>
      </c>
      <c r="C22" s="1">
        <v>45122</v>
      </c>
      <c r="D22" s="1">
        <v>45627</v>
      </c>
      <c r="E22">
        <v>16</v>
      </c>
      <c r="F22">
        <v>7.99</v>
      </c>
      <c r="G22">
        <f t="shared" si="0"/>
        <v>127.84</v>
      </c>
      <c r="H22">
        <v>202</v>
      </c>
      <c r="I22" t="s">
        <v>35</v>
      </c>
      <c r="J22">
        <v>1</v>
      </c>
      <c r="K22">
        <v>5</v>
      </c>
      <c r="L22" t="b">
        <v>1</v>
      </c>
      <c r="M22">
        <v>109</v>
      </c>
      <c r="N22">
        <v>41</v>
      </c>
      <c r="O22" t="s">
        <v>27</v>
      </c>
      <c r="P22" t="s">
        <v>66</v>
      </c>
      <c r="Q22" t="s">
        <v>52</v>
      </c>
      <c r="R22">
        <v>42</v>
      </c>
      <c r="S22">
        <v>4.5999999999999996</v>
      </c>
      <c r="T22" t="b">
        <v>0</v>
      </c>
      <c r="U22" t="s">
        <v>30</v>
      </c>
      <c r="V22">
        <v>3607</v>
      </c>
      <c r="W22" t="s">
        <v>37</v>
      </c>
      <c r="X22" t="s">
        <v>32</v>
      </c>
      <c r="Y22" t="s">
        <v>33</v>
      </c>
    </row>
    <row r="23" spans="1:25" x14ac:dyDescent="0.35">
      <c r="A23">
        <v>1101</v>
      </c>
      <c r="B23" t="s">
        <v>49</v>
      </c>
      <c r="C23" s="1">
        <v>45456</v>
      </c>
      <c r="D23" s="1">
        <v>45619</v>
      </c>
      <c r="E23">
        <v>5</v>
      </c>
      <c r="F23">
        <v>15.99</v>
      </c>
      <c r="G23">
        <f t="shared" si="0"/>
        <v>79.95</v>
      </c>
      <c r="H23">
        <v>39</v>
      </c>
      <c r="I23" t="s">
        <v>57</v>
      </c>
      <c r="J23">
        <v>2</v>
      </c>
      <c r="K23">
        <v>3</v>
      </c>
      <c r="L23" t="b">
        <v>1</v>
      </c>
      <c r="M23">
        <v>181</v>
      </c>
      <c r="N23">
        <v>128</v>
      </c>
      <c r="O23" t="s">
        <v>61</v>
      </c>
      <c r="P23" t="s">
        <v>28</v>
      </c>
      <c r="Q23" t="s">
        <v>43</v>
      </c>
      <c r="R23">
        <v>3</v>
      </c>
      <c r="S23">
        <v>4.5</v>
      </c>
      <c r="T23" t="b">
        <v>1</v>
      </c>
      <c r="U23" t="s">
        <v>30</v>
      </c>
      <c r="V23">
        <v>4602</v>
      </c>
      <c r="W23" t="s">
        <v>53</v>
      </c>
      <c r="X23" t="s">
        <v>70</v>
      </c>
      <c r="Y23" t="s">
        <v>39</v>
      </c>
    </row>
    <row r="24" spans="1:25" x14ac:dyDescent="0.35">
      <c r="A24">
        <v>1650</v>
      </c>
      <c r="B24" t="s">
        <v>80</v>
      </c>
      <c r="C24" s="1">
        <v>45529</v>
      </c>
      <c r="D24" s="1">
        <v>45619</v>
      </c>
      <c r="E24">
        <v>2</v>
      </c>
      <c r="F24">
        <v>15.99</v>
      </c>
      <c r="G24">
        <f t="shared" si="0"/>
        <v>31.98</v>
      </c>
      <c r="H24">
        <v>319</v>
      </c>
      <c r="I24" t="s">
        <v>81</v>
      </c>
      <c r="J24">
        <v>2</v>
      </c>
      <c r="K24">
        <v>2</v>
      </c>
      <c r="L24" t="b">
        <v>0</v>
      </c>
      <c r="M24">
        <v>842</v>
      </c>
      <c r="N24">
        <v>145</v>
      </c>
      <c r="O24" t="s">
        <v>76</v>
      </c>
      <c r="P24" t="s">
        <v>66</v>
      </c>
      <c r="Q24" t="s">
        <v>43</v>
      </c>
      <c r="R24">
        <v>27</v>
      </c>
      <c r="S24">
        <v>3.6</v>
      </c>
      <c r="T24" t="b">
        <v>1</v>
      </c>
      <c r="U24" t="s">
        <v>30</v>
      </c>
      <c r="V24">
        <v>256</v>
      </c>
      <c r="W24" t="s">
        <v>53</v>
      </c>
      <c r="X24" t="s">
        <v>32</v>
      </c>
      <c r="Y24" t="s">
        <v>77</v>
      </c>
    </row>
    <row r="25" spans="1:25" x14ac:dyDescent="0.35">
      <c r="A25">
        <v>4884</v>
      </c>
      <c r="B25" t="s">
        <v>85</v>
      </c>
      <c r="C25" s="1">
        <v>45249</v>
      </c>
      <c r="D25" s="1">
        <v>45621</v>
      </c>
      <c r="E25">
        <v>12</v>
      </c>
      <c r="F25">
        <v>15.99</v>
      </c>
      <c r="G25">
        <f t="shared" si="0"/>
        <v>191.88</v>
      </c>
      <c r="H25">
        <v>150</v>
      </c>
      <c r="I25" t="s">
        <v>45</v>
      </c>
      <c r="J25">
        <v>3</v>
      </c>
      <c r="K25">
        <v>3</v>
      </c>
      <c r="L25" t="b">
        <v>1</v>
      </c>
      <c r="M25">
        <v>40</v>
      </c>
      <c r="N25">
        <v>196</v>
      </c>
      <c r="O25" t="s">
        <v>41</v>
      </c>
      <c r="P25" t="s">
        <v>42</v>
      </c>
      <c r="Q25" t="s">
        <v>36</v>
      </c>
      <c r="R25">
        <v>60</v>
      </c>
      <c r="S25">
        <v>3.7</v>
      </c>
      <c r="T25" t="b">
        <v>0</v>
      </c>
      <c r="U25" t="s">
        <v>30</v>
      </c>
      <c r="V25">
        <v>2406</v>
      </c>
      <c r="W25" t="s">
        <v>59</v>
      </c>
      <c r="X25" t="s">
        <v>70</v>
      </c>
      <c r="Y25" t="s">
        <v>39</v>
      </c>
    </row>
    <row r="26" spans="1:25" x14ac:dyDescent="0.35">
      <c r="A26">
        <v>8321</v>
      </c>
      <c r="B26" t="s">
        <v>86</v>
      </c>
      <c r="C26" s="1">
        <v>45191</v>
      </c>
      <c r="D26" s="1">
        <v>45619</v>
      </c>
      <c r="E26">
        <v>14</v>
      </c>
      <c r="F26">
        <v>11.99</v>
      </c>
      <c r="G26">
        <f t="shared" si="0"/>
        <v>167.86</v>
      </c>
      <c r="H26">
        <v>496</v>
      </c>
      <c r="I26" t="s">
        <v>81</v>
      </c>
      <c r="J26">
        <v>3</v>
      </c>
      <c r="K26">
        <v>1</v>
      </c>
      <c r="L26" t="b">
        <v>1</v>
      </c>
      <c r="M26">
        <v>431</v>
      </c>
      <c r="N26">
        <v>41</v>
      </c>
      <c r="O26" t="s">
        <v>50</v>
      </c>
      <c r="P26" t="s">
        <v>51</v>
      </c>
      <c r="Q26" t="s">
        <v>58</v>
      </c>
      <c r="R26">
        <v>91</v>
      </c>
      <c r="S26">
        <v>4</v>
      </c>
      <c r="T26" t="b">
        <v>1</v>
      </c>
      <c r="U26" t="s">
        <v>30</v>
      </c>
      <c r="V26">
        <v>1394</v>
      </c>
      <c r="W26" t="s">
        <v>53</v>
      </c>
      <c r="X26" t="s">
        <v>70</v>
      </c>
      <c r="Y26" t="s">
        <v>77</v>
      </c>
    </row>
    <row r="27" spans="1:25" x14ac:dyDescent="0.35">
      <c r="A27">
        <v>2381</v>
      </c>
      <c r="B27" t="s">
        <v>87</v>
      </c>
      <c r="C27" s="1">
        <v>45427</v>
      </c>
      <c r="D27" s="1">
        <v>45641</v>
      </c>
      <c r="E27">
        <v>7</v>
      </c>
      <c r="F27">
        <v>7.99</v>
      </c>
      <c r="G27">
        <f t="shared" si="0"/>
        <v>55.93</v>
      </c>
      <c r="H27">
        <v>347</v>
      </c>
      <c r="I27" t="s">
        <v>57</v>
      </c>
      <c r="J27">
        <v>2</v>
      </c>
      <c r="K27">
        <v>5</v>
      </c>
      <c r="L27" t="b">
        <v>0</v>
      </c>
      <c r="M27">
        <v>415</v>
      </c>
      <c r="N27">
        <v>194</v>
      </c>
      <c r="O27" t="s">
        <v>27</v>
      </c>
      <c r="P27" t="s">
        <v>51</v>
      </c>
      <c r="Q27" t="s">
        <v>36</v>
      </c>
      <c r="R27">
        <v>76</v>
      </c>
      <c r="S27">
        <v>4.3</v>
      </c>
      <c r="T27" t="b">
        <v>1</v>
      </c>
      <c r="U27" t="s">
        <v>30</v>
      </c>
      <c r="V27">
        <v>1856</v>
      </c>
      <c r="W27" t="s">
        <v>37</v>
      </c>
      <c r="X27" t="s">
        <v>54</v>
      </c>
      <c r="Y27" t="s">
        <v>77</v>
      </c>
    </row>
    <row r="28" spans="1:25" x14ac:dyDescent="0.35">
      <c r="A28">
        <v>9507</v>
      </c>
      <c r="B28" t="s">
        <v>88</v>
      </c>
      <c r="C28" s="1">
        <v>45096</v>
      </c>
      <c r="D28" s="1">
        <v>45615</v>
      </c>
      <c r="E28">
        <v>17</v>
      </c>
      <c r="F28">
        <v>11.99</v>
      </c>
      <c r="G28">
        <f t="shared" si="0"/>
        <v>203.83</v>
      </c>
      <c r="H28">
        <v>201</v>
      </c>
      <c r="I28" t="s">
        <v>26</v>
      </c>
      <c r="J28">
        <v>1</v>
      </c>
      <c r="K28">
        <v>6</v>
      </c>
      <c r="L28" t="b">
        <v>1</v>
      </c>
      <c r="M28">
        <v>902</v>
      </c>
      <c r="N28">
        <v>86</v>
      </c>
      <c r="O28" t="s">
        <v>27</v>
      </c>
      <c r="P28" t="s">
        <v>66</v>
      </c>
      <c r="Q28" t="s">
        <v>69</v>
      </c>
      <c r="R28">
        <v>69</v>
      </c>
      <c r="S28">
        <v>4.9000000000000004</v>
      </c>
      <c r="T28" t="b">
        <v>1</v>
      </c>
      <c r="U28" t="s">
        <v>30</v>
      </c>
      <c r="V28">
        <v>1665</v>
      </c>
      <c r="W28" t="s">
        <v>53</v>
      </c>
      <c r="X28" t="s">
        <v>54</v>
      </c>
      <c r="Y28" t="s">
        <v>77</v>
      </c>
    </row>
    <row r="29" spans="1:25" x14ac:dyDescent="0.35">
      <c r="A29">
        <v>2851</v>
      </c>
      <c r="B29" t="s">
        <v>89</v>
      </c>
      <c r="C29" s="1">
        <v>45434</v>
      </c>
      <c r="D29" s="1">
        <v>45619</v>
      </c>
      <c r="E29">
        <v>6</v>
      </c>
      <c r="F29">
        <v>15.99</v>
      </c>
      <c r="G29">
        <f t="shared" si="0"/>
        <v>95.94</v>
      </c>
      <c r="H29">
        <v>415</v>
      </c>
      <c r="I29" t="s">
        <v>81</v>
      </c>
      <c r="J29">
        <v>3</v>
      </c>
      <c r="K29">
        <v>5</v>
      </c>
      <c r="L29" t="b">
        <v>1</v>
      </c>
      <c r="M29">
        <v>769</v>
      </c>
      <c r="N29">
        <v>144</v>
      </c>
      <c r="O29" t="s">
        <v>61</v>
      </c>
      <c r="P29" t="s">
        <v>66</v>
      </c>
      <c r="Q29" t="s">
        <v>52</v>
      </c>
      <c r="R29">
        <v>98</v>
      </c>
      <c r="S29">
        <v>3.9</v>
      </c>
      <c r="T29" t="b">
        <v>0</v>
      </c>
      <c r="U29" t="s">
        <v>30</v>
      </c>
      <c r="V29">
        <v>2759</v>
      </c>
      <c r="W29" t="s">
        <v>67</v>
      </c>
      <c r="X29" t="s">
        <v>32</v>
      </c>
      <c r="Y29" t="s">
        <v>39</v>
      </c>
    </row>
    <row r="30" spans="1:25" x14ac:dyDescent="0.35">
      <c r="A30">
        <v>4083</v>
      </c>
      <c r="B30" t="s">
        <v>90</v>
      </c>
      <c r="C30" s="1">
        <v>45321</v>
      </c>
      <c r="D30" s="1">
        <v>45636</v>
      </c>
      <c r="E30">
        <v>10</v>
      </c>
      <c r="F30">
        <v>11.99</v>
      </c>
      <c r="G30">
        <f t="shared" si="0"/>
        <v>119.9</v>
      </c>
      <c r="H30">
        <v>32</v>
      </c>
      <c r="I30" t="s">
        <v>57</v>
      </c>
      <c r="J30">
        <v>1</v>
      </c>
      <c r="K30">
        <v>4</v>
      </c>
      <c r="L30" t="b">
        <v>1</v>
      </c>
      <c r="M30">
        <v>588</v>
      </c>
      <c r="N30">
        <v>137</v>
      </c>
      <c r="O30" t="s">
        <v>76</v>
      </c>
      <c r="P30" t="s">
        <v>51</v>
      </c>
      <c r="Q30" t="s">
        <v>58</v>
      </c>
      <c r="R30">
        <v>85</v>
      </c>
      <c r="S30">
        <v>3.7</v>
      </c>
      <c r="T30" t="b">
        <v>1</v>
      </c>
      <c r="U30" t="s">
        <v>30</v>
      </c>
      <c r="V30">
        <v>3433</v>
      </c>
      <c r="W30" t="s">
        <v>59</v>
      </c>
      <c r="X30" t="s">
        <v>32</v>
      </c>
      <c r="Y30" t="s">
        <v>77</v>
      </c>
    </row>
    <row r="31" spans="1:25" x14ac:dyDescent="0.35">
      <c r="A31">
        <v>4608</v>
      </c>
      <c r="B31" t="s">
        <v>91</v>
      </c>
      <c r="C31" s="1">
        <v>45379</v>
      </c>
      <c r="D31" s="1">
        <v>45624</v>
      </c>
      <c r="E31">
        <v>8</v>
      </c>
      <c r="F31">
        <v>11.99</v>
      </c>
      <c r="G31">
        <f t="shared" si="0"/>
        <v>95.92</v>
      </c>
      <c r="H31">
        <v>338</v>
      </c>
      <c r="I31" t="s">
        <v>64</v>
      </c>
      <c r="J31">
        <v>3</v>
      </c>
      <c r="K31">
        <v>2</v>
      </c>
      <c r="L31" t="b">
        <v>1</v>
      </c>
      <c r="M31">
        <v>528</v>
      </c>
      <c r="N31">
        <v>184</v>
      </c>
      <c r="O31" t="s">
        <v>46</v>
      </c>
      <c r="P31" t="s">
        <v>66</v>
      </c>
      <c r="Q31" t="s">
        <v>52</v>
      </c>
      <c r="R31">
        <v>58</v>
      </c>
      <c r="S31">
        <v>3.7</v>
      </c>
      <c r="T31" t="b">
        <v>1</v>
      </c>
      <c r="U31" t="s">
        <v>30</v>
      </c>
      <c r="V31">
        <v>3966</v>
      </c>
      <c r="W31" t="s">
        <v>37</v>
      </c>
      <c r="X31" t="s">
        <v>70</v>
      </c>
      <c r="Y31" t="s">
        <v>33</v>
      </c>
    </row>
    <row r="32" spans="1:25" x14ac:dyDescent="0.35">
      <c r="A32">
        <v>4815</v>
      </c>
      <c r="B32" t="s">
        <v>92</v>
      </c>
      <c r="C32" s="1">
        <v>45475</v>
      </c>
      <c r="D32" s="1">
        <v>45616</v>
      </c>
      <c r="E32">
        <v>4</v>
      </c>
      <c r="F32">
        <v>7.99</v>
      </c>
      <c r="G32">
        <f t="shared" si="0"/>
        <v>31.96</v>
      </c>
      <c r="H32">
        <v>52</v>
      </c>
      <c r="I32" t="s">
        <v>48</v>
      </c>
      <c r="J32">
        <v>5</v>
      </c>
      <c r="K32">
        <v>5</v>
      </c>
      <c r="L32" t="b">
        <v>0</v>
      </c>
      <c r="M32">
        <v>467</v>
      </c>
      <c r="N32">
        <v>23</v>
      </c>
      <c r="O32" t="s">
        <v>27</v>
      </c>
      <c r="P32" t="s">
        <v>28</v>
      </c>
      <c r="Q32" t="s">
        <v>52</v>
      </c>
      <c r="R32">
        <v>97</v>
      </c>
      <c r="S32">
        <v>3.3</v>
      </c>
      <c r="T32" t="b">
        <v>1</v>
      </c>
      <c r="U32" t="s">
        <v>30</v>
      </c>
      <c r="V32">
        <v>4185</v>
      </c>
      <c r="W32" t="s">
        <v>37</v>
      </c>
      <c r="X32" t="s">
        <v>70</v>
      </c>
      <c r="Y32" t="s">
        <v>39</v>
      </c>
    </row>
    <row r="33" spans="1:25" x14ac:dyDescent="0.35">
      <c r="A33">
        <v>9597</v>
      </c>
      <c r="B33" t="s">
        <v>93</v>
      </c>
      <c r="C33" s="1">
        <v>45632</v>
      </c>
      <c r="D33" s="1">
        <v>45628</v>
      </c>
      <c r="E33">
        <v>0</v>
      </c>
      <c r="F33">
        <v>11.99</v>
      </c>
      <c r="G33">
        <f t="shared" si="0"/>
        <v>0</v>
      </c>
      <c r="H33">
        <v>447</v>
      </c>
      <c r="I33" t="s">
        <v>81</v>
      </c>
      <c r="J33">
        <v>5</v>
      </c>
      <c r="K33">
        <v>5</v>
      </c>
      <c r="L33" t="b">
        <v>0</v>
      </c>
      <c r="M33">
        <v>73</v>
      </c>
      <c r="N33">
        <v>138</v>
      </c>
      <c r="O33" t="s">
        <v>65</v>
      </c>
      <c r="P33" t="s">
        <v>42</v>
      </c>
      <c r="Q33" t="s">
        <v>29</v>
      </c>
      <c r="R33">
        <v>84</v>
      </c>
      <c r="S33">
        <v>4.0999999999999996</v>
      </c>
      <c r="T33" t="b">
        <v>0</v>
      </c>
      <c r="U33" t="s">
        <v>30</v>
      </c>
      <c r="V33">
        <v>784</v>
      </c>
      <c r="W33" t="s">
        <v>31</v>
      </c>
      <c r="X33" t="s">
        <v>38</v>
      </c>
      <c r="Y33" t="s">
        <v>77</v>
      </c>
    </row>
    <row r="34" spans="1:25" x14ac:dyDescent="0.35">
      <c r="A34">
        <v>6566</v>
      </c>
      <c r="B34" t="s">
        <v>94</v>
      </c>
      <c r="C34" s="1">
        <v>45099</v>
      </c>
      <c r="D34" s="1">
        <v>45643</v>
      </c>
      <c r="E34">
        <v>17</v>
      </c>
      <c r="F34">
        <v>11.99</v>
      </c>
      <c r="G34">
        <f t="shared" si="0"/>
        <v>203.83</v>
      </c>
      <c r="H34">
        <v>312</v>
      </c>
      <c r="I34" t="s">
        <v>57</v>
      </c>
      <c r="J34">
        <v>5</v>
      </c>
      <c r="K34">
        <v>1</v>
      </c>
      <c r="L34" t="b">
        <v>1</v>
      </c>
      <c r="M34">
        <v>895</v>
      </c>
      <c r="N34">
        <v>154</v>
      </c>
      <c r="O34" t="s">
        <v>65</v>
      </c>
      <c r="P34" t="s">
        <v>42</v>
      </c>
      <c r="Q34" t="s">
        <v>52</v>
      </c>
      <c r="R34">
        <v>85</v>
      </c>
      <c r="S34">
        <v>4.7</v>
      </c>
      <c r="T34" t="b">
        <v>1</v>
      </c>
      <c r="U34" t="s">
        <v>30</v>
      </c>
      <c r="V34">
        <v>3428</v>
      </c>
      <c r="W34" t="s">
        <v>59</v>
      </c>
      <c r="X34" t="s">
        <v>38</v>
      </c>
      <c r="Y34" t="s">
        <v>39</v>
      </c>
    </row>
    <row r="35" spans="1:25" x14ac:dyDescent="0.35">
      <c r="A35">
        <v>1419</v>
      </c>
      <c r="B35" t="s">
        <v>95</v>
      </c>
      <c r="C35" s="1">
        <v>45110</v>
      </c>
      <c r="D35" s="1">
        <v>45642</v>
      </c>
      <c r="E35">
        <v>17</v>
      </c>
      <c r="F35">
        <v>11.99</v>
      </c>
      <c r="G35">
        <f t="shared" si="0"/>
        <v>203.83</v>
      </c>
      <c r="H35">
        <v>406</v>
      </c>
      <c r="I35" t="s">
        <v>45</v>
      </c>
      <c r="J35">
        <v>2</v>
      </c>
      <c r="K35">
        <v>6</v>
      </c>
      <c r="L35" t="b">
        <v>0</v>
      </c>
      <c r="M35">
        <v>983</v>
      </c>
      <c r="N35">
        <v>113</v>
      </c>
      <c r="O35" t="s">
        <v>50</v>
      </c>
      <c r="P35" t="s">
        <v>66</v>
      </c>
      <c r="Q35" t="s">
        <v>36</v>
      </c>
      <c r="R35">
        <v>78</v>
      </c>
      <c r="S35">
        <v>3.1</v>
      </c>
      <c r="T35" t="b">
        <v>0</v>
      </c>
      <c r="U35" t="s">
        <v>30</v>
      </c>
      <c r="V35">
        <v>4245</v>
      </c>
      <c r="W35" t="s">
        <v>31</v>
      </c>
      <c r="X35" t="s">
        <v>38</v>
      </c>
      <c r="Y35" t="s">
        <v>39</v>
      </c>
    </row>
    <row r="36" spans="1:25" x14ac:dyDescent="0.35">
      <c r="A36">
        <v>9470</v>
      </c>
      <c r="B36" t="s">
        <v>96</v>
      </c>
      <c r="C36" s="1">
        <v>45258</v>
      </c>
      <c r="D36" s="1">
        <v>45641</v>
      </c>
      <c r="E36">
        <v>12</v>
      </c>
      <c r="F36">
        <v>7.99</v>
      </c>
      <c r="G36">
        <f t="shared" si="0"/>
        <v>95.88</v>
      </c>
      <c r="H36">
        <v>350</v>
      </c>
      <c r="I36" t="s">
        <v>57</v>
      </c>
      <c r="J36">
        <v>3</v>
      </c>
      <c r="K36">
        <v>6</v>
      </c>
      <c r="L36" t="b">
        <v>1</v>
      </c>
      <c r="M36">
        <v>801</v>
      </c>
      <c r="N36">
        <v>156</v>
      </c>
      <c r="O36" t="s">
        <v>76</v>
      </c>
      <c r="P36" t="s">
        <v>51</v>
      </c>
      <c r="Q36" t="s">
        <v>43</v>
      </c>
      <c r="R36">
        <v>66</v>
      </c>
      <c r="S36">
        <v>4.5999999999999996</v>
      </c>
      <c r="T36" t="b">
        <v>1</v>
      </c>
      <c r="U36" t="s">
        <v>30</v>
      </c>
      <c r="V36">
        <v>2580</v>
      </c>
      <c r="W36" t="s">
        <v>53</v>
      </c>
      <c r="X36" t="s">
        <v>54</v>
      </c>
      <c r="Y36" t="s">
        <v>33</v>
      </c>
    </row>
    <row r="37" spans="1:25" x14ac:dyDescent="0.35">
      <c r="A37">
        <v>4989</v>
      </c>
      <c r="B37" t="s">
        <v>97</v>
      </c>
      <c r="C37" s="1">
        <v>45301</v>
      </c>
      <c r="D37" s="1">
        <v>45636</v>
      </c>
      <c r="E37">
        <v>11</v>
      </c>
      <c r="F37">
        <v>7.99</v>
      </c>
      <c r="G37">
        <f t="shared" si="0"/>
        <v>87.89</v>
      </c>
      <c r="H37">
        <v>99</v>
      </c>
      <c r="I37" t="s">
        <v>64</v>
      </c>
      <c r="J37">
        <v>2</v>
      </c>
      <c r="K37">
        <v>5</v>
      </c>
      <c r="L37" t="b">
        <v>1</v>
      </c>
      <c r="M37">
        <v>96</v>
      </c>
      <c r="N37">
        <v>114</v>
      </c>
      <c r="O37" t="s">
        <v>27</v>
      </c>
      <c r="P37" t="s">
        <v>28</v>
      </c>
      <c r="Q37" t="s">
        <v>29</v>
      </c>
      <c r="R37">
        <v>45</v>
      </c>
      <c r="S37">
        <v>4.3</v>
      </c>
      <c r="T37" t="b">
        <v>0</v>
      </c>
      <c r="U37" t="s">
        <v>30</v>
      </c>
      <c r="V37">
        <v>2779</v>
      </c>
      <c r="W37" t="s">
        <v>53</v>
      </c>
      <c r="X37" t="s">
        <v>70</v>
      </c>
      <c r="Y37" t="s">
        <v>55</v>
      </c>
    </row>
    <row r="38" spans="1:25" x14ac:dyDescent="0.35">
      <c r="A38">
        <v>9389</v>
      </c>
      <c r="B38" t="s">
        <v>98</v>
      </c>
      <c r="C38" s="1">
        <v>45568</v>
      </c>
      <c r="D38" s="1">
        <v>45617</v>
      </c>
      <c r="E38">
        <v>1</v>
      </c>
      <c r="F38">
        <v>15.99</v>
      </c>
      <c r="G38">
        <f t="shared" si="0"/>
        <v>15.99</v>
      </c>
      <c r="H38">
        <v>53</v>
      </c>
      <c r="I38" t="s">
        <v>45</v>
      </c>
      <c r="J38">
        <v>1</v>
      </c>
      <c r="K38">
        <v>2</v>
      </c>
      <c r="L38" t="b">
        <v>0</v>
      </c>
      <c r="M38">
        <v>849</v>
      </c>
      <c r="N38">
        <v>98</v>
      </c>
      <c r="O38" t="s">
        <v>50</v>
      </c>
      <c r="P38" t="s">
        <v>51</v>
      </c>
      <c r="Q38" t="s">
        <v>43</v>
      </c>
      <c r="R38">
        <v>14</v>
      </c>
      <c r="S38">
        <v>3.1</v>
      </c>
      <c r="T38" t="b">
        <v>0</v>
      </c>
      <c r="U38" t="s">
        <v>30</v>
      </c>
      <c r="V38">
        <v>2318</v>
      </c>
      <c r="W38" t="s">
        <v>31</v>
      </c>
      <c r="X38" t="s">
        <v>32</v>
      </c>
      <c r="Y38" t="s">
        <v>39</v>
      </c>
    </row>
    <row r="39" spans="1:25" x14ac:dyDescent="0.35">
      <c r="A39">
        <v>7728</v>
      </c>
      <c r="B39" t="s">
        <v>99</v>
      </c>
      <c r="C39" s="1">
        <v>45184</v>
      </c>
      <c r="D39" s="1">
        <v>45639</v>
      </c>
      <c r="E39">
        <v>14</v>
      </c>
      <c r="F39">
        <v>11.99</v>
      </c>
      <c r="G39">
        <f t="shared" si="0"/>
        <v>167.86</v>
      </c>
      <c r="H39">
        <v>484</v>
      </c>
      <c r="I39" t="s">
        <v>81</v>
      </c>
      <c r="J39">
        <v>3</v>
      </c>
      <c r="K39">
        <v>6</v>
      </c>
      <c r="L39" t="b">
        <v>0</v>
      </c>
      <c r="M39">
        <v>515</v>
      </c>
      <c r="N39">
        <v>174</v>
      </c>
      <c r="O39" t="s">
        <v>46</v>
      </c>
      <c r="P39" t="s">
        <v>28</v>
      </c>
      <c r="Q39" t="s">
        <v>36</v>
      </c>
      <c r="R39">
        <v>12</v>
      </c>
      <c r="S39">
        <v>4</v>
      </c>
      <c r="T39" t="b">
        <v>1</v>
      </c>
      <c r="U39" t="s">
        <v>30</v>
      </c>
      <c r="V39">
        <v>827</v>
      </c>
      <c r="W39" t="s">
        <v>31</v>
      </c>
      <c r="X39" t="s">
        <v>38</v>
      </c>
      <c r="Y39" t="s">
        <v>55</v>
      </c>
    </row>
    <row r="40" spans="1:25" x14ac:dyDescent="0.35">
      <c r="A40">
        <v>7943</v>
      </c>
      <c r="B40" t="s">
        <v>100</v>
      </c>
      <c r="C40" s="1">
        <v>45566</v>
      </c>
      <c r="D40" s="1">
        <v>45627</v>
      </c>
      <c r="E40">
        <v>2</v>
      </c>
      <c r="F40">
        <v>15.99</v>
      </c>
      <c r="G40">
        <f t="shared" si="0"/>
        <v>31.98</v>
      </c>
      <c r="H40">
        <v>211</v>
      </c>
      <c r="I40" t="s">
        <v>48</v>
      </c>
      <c r="J40">
        <v>2</v>
      </c>
      <c r="K40">
        <v>6</v>
      </c>
      <c r="L40" t="b">
        <v>1</v>
      </c>
      <c r="M40">
        <v>657</v>
      </c>
      <c r="N40">
        <v>137</v>
      </c>
      <c r="O40" t="s">
        <v>61</v>
      </c>
      <c r="P40" t="s">
        <v>51</v>
      </c>
      <c r="Q40" t="s">
        <v>29</v>
      </c>
      <c r="R40">
        <v>26</v>
      </c>
      <c r="S40">
        <v>4</v>
      </c>
      <c r="T40" t="b">
        <v>1</v>
      </c>
      <c r="U40" t="s">
        <v>30</v>
      </c>
      <c r="V40">
        <v>2670</v>
      </c>
      <c r="W40" t="s">
        <v>37</v>
      </c>
      <c r="X40" t="s">
        <v>54</v>
      </c>
      <c r="Y40" t="s">
        <v>33</v>
      </c>
    </row>
    <row r="41" spans="1:25" x14ac:dyDescent="0.35">
      <c r="A41">
        <v>2490</v>
      </c>
      <c r="B41" t="s">
        <v>101</v>
      </c>
      <c r="C41" s="1">
        <v>45156</v>
      </c>
      <c r="D41" s="1">
        <v>45615</v>
      </c>
      <c r="E41">
        <v>15</v>
      </c>
      <c r="F41">
        <v>11.99</v>
      </c>
      <c r="G41">
        <f t="shared" si="0"/>
        <v>179.85</v>
      </c>
      <c r="H41">
        <v>248</v>
      </c>
      <c r="I41" t="s">
        <v>45</v>
      </c>
      <c r="J41">
        <v>4</v>
      </c>
      <c r="K41">
        <v>1</v>
      </c>
      <c r="L41" t="b">
        <v>1</v>
      </c>
      <c r="M41">
        <v>426</v>
      </c>
      <c r="N41">
        <v>21</v>
      </c>
      <c r="O41" t="s">
        <v>50</v>
      </c>
      <c r="P41" t="s">
        <v>42</v>
      </c>
      <c r="Q41" t="s">
        <v>52</v>
      </c>
      <c r="R41">
        <v>99</v>
      </c>
      <c r="S41">
        <v>4.8</v>
      </c>
      <c r="T41" t="b">
        <v>0</v>
      </c>
      <c r="U41" t="s">
        <v>30</v>
      </c>
      <c r="V41">
        <v>2409</v>
      </c>
      <c r="W41" t="s">
        <v>31</v>
      </c>
      <c r="X41" t="s">
        <v>32</v>
      </c>
      <c r="Y41" t="s">
        <v>33</v>
      </c>
    </row>
    <row r="42" spans="1:25" x14ac:dyDescent="0.35">
      <c r="A42">
        <v>5042</v>
      </c>
      <c r="B42" t="s">
        <v>102</v>
      </c>
      <c r="C42" s="1">
        <v>45338</v>
      </c>
      <c r="D42" s="1">
        <v>45619</v>
      </c>
      <c r="E42">
        <v>9</v>
      </c>
      <c r="F42">
        <v>15.99</v>
      </c>
      <c r="G42">
        <f t="shared" si="0"/>
        <v>143.91</v>
      </c>
      <c r="H42">
        <v>197</v>
      </c>
      <c r="I42" t="s">
        <v>81</v>
      </c>
      <c r="J42">
        <v>4</v>
      </c>
      <c r="K42">
        <v>2</v>
      </c>
      <c r="L42" t="b">
        <v>0</v>
      </c>
      <c r="M42">
        <v>309</v>
      </c>
      <c r="N42">
        <v>178</v>
      </c>
      <c r="O42" t="s">
        <v>61</v>
      </c>
      <c r="P42" t="s">
        <v>66</v>
      </c>
      <c r="Q42" t="s">
        <v>43</v>
      </c>
      <c r="R42">
        <v>7</v>
      </c>
      <c r="S42">
        <v>4.3</v>
      </c>
      <c r="T42" t="b">
        <v>0</v>
      </c>
      <c r="U42" t="s">
        <v>30</v>
      </c>
      <c r="V42">
        <v>1577</v>
      </c>
      <c r="W42" t="s">
        <v>53</v>
      </c>
      <c r="X42" t="s">
        <v>32</v>
      </c>
      <c r="Y42" t="s">
        <v>39</v>
      </c>
    </row>
    <row r="43" spans="1:25" x14ac:dyDescent="0.35">
      <c r="A43">
        <v>3620</v>
      </c>
      <c r="B43" t="s">
        <v>103</v>
      </c>
      <c r="C43" s="1">
        <v>45511</v>
      </c>
      <c r="D43" s="1">
        <v>45633</v>
      </c>
      <c r="E43">
        <v>4</v>
      </c>
      <c r="F43">
        <v>15.99</v>
      </c>
      <c r="G43">
        <f t="shared" si="0"/>
        <v>63.96</v>
      </c>
      <c r="H43">
        <v>253</v>
      </c>
      <c r="I43" t="s">
        <v>64</v>
      </c>
      <c r="J43">
        <v>5</v>
      </c>
      <c r="K43">
        <v>5</v>
      </c>
      <c r="L43" t="b">
        <v>1</v>
      </c>
      <c r="M43">
        <v>141</v>
      </c>
      <c r="N43">
        <v>199</v>
      </c>
      <c r="O43" t="s">
        <v>27</v>
      </c>
      <c r="P43" t="s">
        <v>42</v>
      </c>
      <c r="Q43" t="s">
        <v>69</v>
      </c>
      <c r="R43">
        <v>72</v>
      </c>
      <c r="S43">
        <v>3.1</v>
      </c>
      <c r="T43" t="b">
        <v>0</v>
      </c>
      <c r="U43" t="s">
        <v>30</v>
      </c>
      <c r="V43">
        <v>4072</v>
      </c>
      <c r="W43" t="s">
        <v>59</v>
      </c>
      <c r="X43" t="s">
        <v>62</v>
      </c>
      <c r="Y43" t="s">
        <v>77</v>
      </c>
    </row>
    <row r="44" spans="1:25" x14ac:dyDescent="0.35">
      <c r="A44">
        <v>8976</v>
      </c>
      <c r="B44" t="s">
        <v>104</v>
      </c>
      <c r="C44" s="1">
        <v>45552</v>
      </c>
      <c r="D44" s="1">
        <v>45638</v>
      </c>
      <c r="E44">
        <v>2</v>
      </c>
      <c r="F44">
        <v>7.99</v>
      </c>
      <c r="G44">
        <f t="shared" si="0"/>
        <v>15.98</v>
      </c>
      <c r="H44">
        <v>352</v>
      </c>
      <c r="I44" t="s">
        <v>81</v>
      </c>
      <c r="J44">
        <v>4</v>
      </c>
      <c r="K44">
        <v>3</v>
      </c>
      <c r="L44" t="b">
        <v>1</v>
      </c>
      <c r="M44">
        <v>112</v>
      </c>
      <c r="N44">
        <v>106</v>
      </c>
      <c r="O44" t="s">
        <v>76</v>
      </c>
      <c r="P44" t="s">
        <v>51</v>
      </c>
      <c r="Q44" t="s">
        <v>69</v>
      </c>
      <c r="R44">
        <v>33</v>
      </c>
      <c r="S44">
        <v>4.5999999999999996</v>
      </c>
      <c r="T44" t="b">
        <v>1</v>
      </c>
      <c r="U44" t="s">
        <v>30</v>
      </c>
      <c r="V44">
        <v>3432</v>
      </c>
      <c r="W44" t="s">
        <v>67</v>
      </c>
      <c r="X44" t="s">
        <v>62</v>
      </c>
      <c r="Y44" t="s">
        <v>77</v>
      </c>
    </row>
    <row r="45" spans="1:25" x14ac:dyDescent="0.35">
      <c r="A45">
        <v>1570</v>
      </c>
      <c r="B45" t="s">
        <v>101</v>
      </c>
      <c r="C45" s="1">
        <v>45125</v>
      </c>
      <c r="D45" s="1">
        <v>45618</v>
      </c>
      <c r="E45">
        <v>16</v>
      </c>
      <c r="F45">
        <v>11.99</v>
      </c>
      <c r="G45">
        <f t="shared" si="0"/>
        <v>191.84</v>
      </c>
      <c r="H45">
        <v>97</v>
      </c>
      <c r="I45" t="s">
        <v>81</v>
      </c>
      <c r="J45">
        <v>1</v>
      </c>
      <c r="K45">
        <v>2</v>
      </c>
      <c r="L45" t="b">
        <v>0</v>
      </c>
      <c r="M45">
        <v>836</v>
      </c>
      <c r="N45">
        <v>122</v>
      </c>
      <c r="O45" t="s">
        <v>46</v>
      </c>
      <c r="P45" t="s">
        <v>42</v>
      </c>
      <c r="Q45" t="s">
        <v>52</v>
      </c>
      <c r="R45">
        <v>65</v>
      </c>
      <c r="S45">
        <v>4.3</v>
      </c>
      <c r="T45" t="b">
        <v>1</v>
      </c>
      <c r="U45" t="s">
        <v>30</v>
      </c>
      <c r="V45">
        <v>4511</v>
      </c>
      <c r="W45" t="s">
        <v>31</v>
      </c>
      <c r="X45" t="s">
        <v>54</v>
      </c>
      <c r="Y45" t="s">
        <v>55</v>
      </c>
    </row>
    <row r="46" spans="1:25" x14ac:dyDescent="0.35">
      <c r="A46">
        <v>7709</v>
      </c>
      <c r="B46" t="s">
        <v>105</v>
      </c>
      <c r="C46" s="1">
        <v>45020</v>
      </c>
      <c r="D46" s="1">
        <v>45627</v>
      </c>
      <c r="E46">
        <v>19</v>
      </c>
      <c r="F46">
        <v>11.99</v>
      </c>
      <c r="G46">
        <f t="shared" si="0"/>
        <v>227.81</v>
      </c>
      <c r="H46">
        <v>283</v>
      </c>
      <c r="I46" t="s">
        <v>45</v>
      </c>
      <c r="J46">
        <v>5</v>
      </c>
      <c r="K46">
        <v>2</v>
      </c>
      <c r="L46" t="b">
        <v>0</v>
      </c>
      <c r="M46">
        <v>785</v>
      </c>
      <c r="N46">
        <v>1</v>
      </c>
      <c r="O46" t="s">
        <v>61</v>
      </c>
      <c r="P46" t="s">
        <v>42</v>
      </c>
      <c r="Q46" t="s">
        <v>36</v>
      </c>
      <c r="R46">
        <v>79</v>
      </c>
      <c r="S46">
        <v>3.4</v>
      </c>
      <c r="T46" t="b">
        <v>1</v>
      </c>
      <c r="U46" t="s">
        <v>30</v>
      </c>
      <c r="V46">
        <v>583</v>
      </c>
      <c r="W46" t="s">
        <v>67</v>
      </c>
      <c r="X46" t="s">
        <v>38</v>
      </c>
      <c r="Y46" t="s">
        <v>39</v>
      </c>
    </row>
    <row r="47" spans="1:25" x14ac:dyDescent="0.35">
      <c r="A47">
        <v>9503</v>
      </c>
      <c r="B47" t="s">
        <v>106</v>
      </c>
      <c r="C47" s="1">
        <v>45393</v>
      </c>
      <c r="D47" s="1">
        <v>45631</v>
      </c>
      <c r="E47">
        <v>7</v>
      </c>
      <c r="F47">
        <v>11.99</v>
      </c>
      <c r="G47">
        <f t="shared" si="0"/>
        <v>83.93</v>
      </c>
      <c r="H47">
        <v>307</v>
      </c>
      <c r="I47" t="s">
        <v>48</v>
      </c>
      <c r="J47">
        <v>5</v>
      </c>
      <c r="K47">
        <v>6</v>
      </c>
      <c r="L47" t="b">
        <v>0</v>
      </c>
      <c r="M47">
        <v>857</v>
      </c>
      <c r="N47">
        <v>9</v>
      </c>
      <c r="O47" t="s">
        <v>76</v>
      </c>
      <c r="P47" t="s">
        <v>66</v>
      </c>
      <c r="Q47" t="s">
        <v>29</v>
      </c>
      <c r="R47">
        <v>55</v>
      </c>
      <c r="S47">
        <v>3.2</v>
      </c>
      <c r="T47" t="b">
        <v>1</v>
      </c>
      <c r="U47" t="s">
        <v>30</v>
      </c>
      <c r="V47">
        <v>3626</v>
      </c>
      <c r="W47" t="s">
        <v>59</v>
      </c>
      <c r="X47" t="s">
        <v>32</v>
      </c>
      <c r="Y47" t="s">
        <v>33</v>
      </c>
    </row>
    <row r="48" spans="1:25" x14ac:dyDescent="0.35">
      <c r="A48">
        <v>9564</v>
      </c>
      <c r="B48" t="s">
        <v>107</v>
      </c>
      <c r="C48" s="1">
        <v>45042</v>
      </c>
      <c r="D48" s="1">
        <v>45630</v>
      </c>
      <c r="E48">
        <v>19</v>
      </c>
      <c r="F48">
        <v>15.99</v>
      </c>
      <c r="G48">
        <f t="shared" si="0"/>
        <v>303.81</v>
      </c>
      <c r="H48">
        <v>203</v>
      </c>
      <c r="I48" t="s">
        <v>64</v>
      </c>
      <c r="J48">
        <v>5</v>
      </c>
      <c r="K48">
        <v>1</v>
      </c>
      <c r="L48" t="b">
        <v>0</v>
      </c>
      <c r="M48">
        <v>347</v>
      </c>
      <c r="N48">
        <v>18</v>
      </c>
      <c r="O48" t="s">
        <v>61</v>
      </c>
      <c r="P48" t="s">
        <v>66</v>
      </c>
      <c r="Q48" t="s">
        <v>52</v>
      </c>
      <c r="R48">
        <v>8</v>
      </c>
      <c r="S48">
        <v>4.4000000000000004</v>
      </c>
      <c r="T48" t="b">
        <v>1</v>
      </c>
      <c r="U48" t="s">
        <v>30</v>
      </c>
      <c r="V48">
        <v>476</v>
      </c>
      <c r="W48" t="s">
        <v>59</v>
      </c>
      <c r="X48" t="s">
        <v>62</v>
      </c>
      <c r="Y48" t="s">
        <v>77</v>
      </c>
    </row>
    <row r="49" spans="1:25" x14ac:dyDescent="0.35">
      <c r="A49">
        <v>8934</v>
      </c>
      <c r="B49" t="s">
        <v>108</v>
      </c>
      <c r="C49" s="1">
        <v>45010</v>
      </c>
      <c r="D49" s="1">
        <v>45631</v>
      </c>
      <c r="E49">
        <v>20</v>
      </c>
      <c r="F49">
        <v>7.99</v>
      </c>
      <c r="G49">
        <f t="shared" si="0"/>
        <v>159.80000000000001</v>
      </c>
      <c r="H49">
        <v>22</v>
      </c>
      <c r="I49" t="s">
        <v>35</v>
      </c>
      <c r="J49">
        <v>4</v>
      </c>
      <c r="K49">
        <v>3</v>
      </c>
      <c r="L49" t="b">
        <v>0</v>
      </c>
      <c r="M49">
        <v>707</v>
      </c>
      <c r="N49">
        <v>156</v>
      </c>
      <c r="O49" t="s">
        <v>41</v>
      </c>
      <c r="P49" t="s">
        <v>66</v>
      </c>
      <c r="Q49" t="s">
        <v>52</v>
      </c>
      <c r="R49">
        <v>99</v>
      </c>
      <c r="S49">
        <v>3.3</v>
      </c>
      <c r="T49" t="b">
        <v>0</v>
      </c>
      <c r="U49" t="s">
        <v>30</v>
      </c>
      <c r="V49">
        <v>4114</v>
      </c>
      <c r="W49" t="s">
        <v>37</v>
      </c>
      <c r="X49" t="s">
        <v>54</v>
      </c>
      <c r="Y49" t="s">
        <v>39</v>
      </c>
    </row>
    <row r="50" spans="1:25" x14ac:dyDescent="0.35">
      <c r="A50">
        <v>1222</v>
      </c>
      <c r="B50" t="s">
        <v>109</v>
      </c>
      <c r="C50" s="1">
        <v>45170</v>
      </c>
      <c r="D50" s="1">
        <v>45634</v>
      </c>
      <c r="E50">
        <v>15</v>
      </c>
      <c r="F50">
        <v>15.99</v>
      </c>
      <c r="G50">
        <f t="shared" si="0"/>
        <v>239.85</v>
      </c>
      <c r="H50">
        <v>382</v>
      </c>
      <c r="I50" t="s">
        <v>81</v>
      </c>
      <c r="J50">
        <v>2</v>
      </c>
      <c r="K50">
        <v>2</v>
      </c>
      <c r="L50" t="b">
        <v>0</v>
      </c>
      <c r="M50">
        <v>49</v>
      </c>
      <c r="N50">
        <v>45</v>
      </c>
      <c r="O50" t="s">
        <v>41</v>
      </c>
      <c r="P50" t="s">
        <v>28</v>
      </c>
      <c r="Q50" t="s">
        <v>29</v>
      </c>
      <c r="R50">
        <v>63</v>
      </c>
      <c r="S50">
        <v>4</v>
      </c>
      <c r="T50" t="b">
        <v>1</v>
      </c>
      <c r="U50" t="s">
        <v>30</v>
      </c>
      <c r="V50">
        <v>1581</v>
      </c>
      <c r="W50" t="s">
        <v>53</v>
      </c>
      <c r="X50" t="s">
        <v>32</v>
      </c>
      <c r="Y50" t="s">
        <v>55</v>
      </c>
    </row>
    <row r="51" spans="1:25" x14ac:dyDescent="0.35">
      <c r="A51">
        <v>5762</v>
      </c>
      <c r="B51" t="s">
        <v>110</v>
      </c>
      <c r="C51" s="1">
        <v>45379</v>
      </c>
      <c r="D51" s="1">
        <v>45628</v>
      </c>
      <c r="E51">
        <v>8</v>
      </c>
      <c r="F51">
        <v>11.99</v>
      </c>
      <c r="G51">
        <f t="shared" si="0"/>
        <v>95.92</v>
      </c>
      <c r="H51">
        <v>302</v>
      </c>
      <c r="I51" t="s">
        <v>64</v>
      </c>
      <c r="J51">
        <v>5</v>
      </c>
      <c r="K51">
        <v>4</v>
      </c>
      <c r="L51" t="b">
        <v>0</v>
      </c>
      <c r="M51">
        <v>801</v>
      </c>
      <c r="N51">
        <v>141</v>
      </c>
      <c r="O51" t="s">
        <v>76</v>
      </c>
      <c r="P51" t="s">
        <v>42</v>
      </c>
      <c r="Q51" t="s">
        <v>43</v>
      </c>
      <c r="R51">
        <v>62</v>
      </c>
      <c r="S51">
        <v>3.5</v>
      </c>
      <c r="T51" t="b">
        <v>1</v>
      </c>
      <c r="U51" t="s">
        <v>30</v>
      </c>
      <c r="V51">
        <v>1293</v>
      </c>
      <c r="W51" t="s">
        <v>59</v>
      </c>
      <c r="X51" t="s">
        <v>62</v>
      </c>
      <c r="Y51" t="s">
        <v>55</v>
      </c>
    </row>
    <row r="52" spans="1:25" x14ac:dyDescent="0.35">
      <c r="A52">
        <v>4066</v>
      </c>
      <c r="B52" t="s">
        <v>104</v>
      </c>
      <c r="C52" s="1">
        <v>45011</v>
      </c>
      <c r="D52" s="1">
        <v>45638</v>
      </c>
      <c r="E52">
        <v>20</v>
      </c>
      <c r="F52">
        <v>11.99</v>
      </c>
      <c r="G52">
        <f t="shared" si="0"/>
        <v>239.8</v>
      </c>
      <c r="H52">
        <v>76</v>
      </c>
      <c r="I52" t="s">
        <v>45</v>
      </c>
      <c r="J52">
        <v>2</v>
      </c>
      <c r="K52">
        <v>3</v>
      </c>
      <c r="L52" t="b">
        <v>0</v>
      </c>
      <c r="M52">
        <v>788</v>
      </c>
      <c r="N52">
        <v>55</v>
      </c>
      <c r="O52" t="s">
        <v>46</v>
      </c>
      <c r="P52" t="s">
        <v>51</v>
      </c>
      <c r="Q52" t="s">
        <v>36</v>
      </c>
      <c r="R52">
        <v>50</v>
      </c>
      <c r="S52">
        <v>4.8</v>
      </c>
      <c r="T52" t="b">
        <v>1</v>
      </c>
      <c r="U52" t="s">
        <v>30</v>
      </c>
      <c r="V52">
        <v>1744</v>
      </c>
      <c r="W52" t="s">
        <v>59</v>
      </c>
      <c r="X52" t="s">
        <v>54</v>
      </c>
      <c r="Y52" t="s">
        <v>55</v>
      </c>
    </row>
    <row r="53" spans="1:25" x14ac:dyDescent="0.35">
      <c r="A53">
        <v>6469</v>
      </c>
      <c r="B53" t="s">
        <v>80</v>
      </c>
      <c r="C53" s="1">
        <v>45461</v>
      </c>
      <c r="D53" s="1">
        <v>45620</v>
      </c>
      <c r="E53">
        <v>5</v>
      </c>
      <c r="F53">
        <v>11.99</v>
      </c>
      <c r="G53">
        <f t="shared" si="0"/>
        <v>59.95</v>
      </c>
      <c r="H53">
        <v>125</v>
      </c>
      <c r="I53" t="s">
        <v>48</v>
      </c>
      <c r="J53">
        <v>3</v>
      </c>
      <c r="K53">
        <v>6</v>
      </c>
      <c r="L53" t="b">
        <v>1</v>
      </c>
      <c r="M53">
        <v>853</v>
      </c>
      <c r="N53">
        <v>16</v>
      </c>
      <c r="O53" t="s">
        <v>61</v>
      </c>
      <c r="P53" t="s">
        <v>28</v>
      </c>
      <c r="Q53" t="s">
        <v>36</v>
      </c>
      <c r="R53">
        <v>65</v>
      </c>
      <c r="S53">
        <v>4.8</v>
      </c>
      <c r="T53" t="b">
        <v>1</v>
      </c>
      <c r="U53" t="s">
        <v>30</v>
      </c>
      <c r="V53">
        <v>448</v>
      </c>
      <c r="W53" t="s">
        <v>59</v>
      </c>
      <c r="X53" t="s">
        <v>54</v>
      </c>
      <c r="Y53" t="s">
        <v>33</v>
      </c>
    </row>
    <row r="54" spans="1:25" x14ac:dyDescent="0.35">
      <c r="A54">
        <v>1364</v>
      </c>
      <c r="B54" t="s">
        <v>111</v>
      </c>
      <c r="C54" s="1">
        <v>45134</v>
      </c>
      <c r="D54" s="1">
        <v>45628</v>
      </c>
      <c r="E54">
        <v>16</v>
      </c>
      <c r="F54">
        <v>11.99</v>
      </c>
      <c r="G54">
        <f t="shared" si="0"/>
        <v>191.84</v>
      </c>
      <c r="H54">
        <v>113</v>
      </c>
      <c r="I54" t="s">
        <v>57</v>
      </c>
      <c r="J54">
        <v>1</v>
      </c>
      <c r="K54">
        <v>1</v>
      </c>
      <c r="L54" t="b">
        <v>0</v>
      </c>
      <c r="M54">
        <v>970</v>
      </c>
      <c r="N54">
        <v>159</v>
      </c>
      <c r="O54" t="s">
        <v>46</v>
      </c>
      <c r="P54" t="s">
        <v>51</v>
      </c>
      <c r="Q54" t="s">
        <v>36</v>
      </c>
      <c r="R54">
        <v>96</v>
      </c>
      <c r="S54">
        <v>4.9000000000000004</v>
      </c>
      <c r="T54" t="b">
        <v>1</v>
      </c>
      <c r="U54" t="s">
        <v>30</v>
      </c>
      <c r="V54">
        <v>3398</v>
      </c>
      <c r="W54" t="s">
        <v>59</v>
      </c>
      <c r="X54" t="s">
        <v>32</v>
      </c>
      <c r="Y54" t="s">
        <v>33</v>
      </c>
    </row>
    <row r="55" spans="1:25" x14ac:dyDescent="0.35">
      <c r="A55">
        <v>4197</v>
      </c>
      <c r="B55" t="s">
        <v>104</v>
      </c>
      <c r="C55" s="1">
        <v>45596</v>
      </c>
      <c r="D55" s="1">
        <v>45639</v>
      </c>
      <c r="E55">
        <v>1</v>
      </c>
      <c r="F55">
        <v>15.99</v>
      </c>
      <c r="G55">
        <f t="shared" si="0"/>
        <v>15.99</v>
      </c>
      <c r="H55">
        <v>183</v>
      </c>
      <c r="I55" t="s">
        <v>81</v>
      </c>
      <c r="J55">
        <v>3</v>
      </c>
      <c r="K55">
        <v>5</v>
      </c>
      <c r="L55" t="b">
        <v>0</v>
      </c>
      <c r="M55">
        <v>490</v>
      </c>
      <c r="N55">
        <v>127</v>
      </c>
      <c r="O55" t="s">
        <v>41</v>
      </c>
      <c r="P55" t="s">
        <v>42</v>
      </c>
      <c r="Q55" t="s">
        <v>29</v>
      </c>
      <c r="R55">
        <v>40</v>
      </c>
      <c r="S55">
        <v>4.5999999999999996</v>
      </c>
      <c r="T55" t="b">
        <v>1</v>
      </c>
      <c r="U55" t="s">
        <v>30</v>
      </c>
      <c r="V55">
        <v>4691</v>
      </c>
      <c r="W55" t="s">
        <v>37</v>
      </c>
      <c r="X55" t="s">
        <v>62</v>
      </c>
      <c r="Y55" t="s">
        <v>55</v>
      </c>
    </row>
    <row r="56" spans="1:25" x14ac:dyDescent="0.35">
      <c r="A56">
        <v>9700</v>
      </c>
      <c r="B56" t="s">
        <v>112</v>
      </c>
      <c r="C56" s="1">
        <v>44921</v>
      </c>
      <c r="D56" s="1">
        <v>45626</v>
      </c>
      <c r="E56">
        <v>23</v>
      </c>
      <c r="F56">
        <v>15.99</v>
      </c>
      <c r="G56">
        <f t="shared" si="0"/>
        <v>367.77</v>
      </c>
      <c r="H56">
        <v>272</v>
      </c>
      <c r="I56" t="s">
        <v>48</v>
      </c>
      <c r="J56">
        <v>5</v>
      </c>
      <c r="K56">
        <v>1</v>
      </c>
      <c r="L56" t="b">
        <v>0</v>
      </c>
      <c r="M56">
        <v>201</v>
      </c>
      <c r="N56">
        <v>122</v>
      </c>
      <c r="O56" t="s">
        <v>50</v>
      </c>
      <c r="P56" t="s">
        <v>66</v>
      </c>
      <c r="Q56" t="s">
        <v>58</v>
      </c>
      <c r="R56">
        <v>94</v>
      </c>
      <c r="S56">
        <v>4.5999999999999996</v>
      </c>
      <c r="T56" t="b">
        <v>1</v>
      </c>
      <c r="U56" t="s">
        <v>30</v>
      </c>
      <c r="V56">
        <v>4674</v>
      </c>
      <c r="W56" t="s">
        <v>59</v>
      </c>
      <c r="X56" t="s">
        <v>62</v>
      </c>
      <c r="Y56" t="s">
        <v>77</v>
      </c>
    </row>
    <row r="57" spans="1:25" x14ac:dyDescent="0.35">
      <c r="A57">
        <v>5644</v>
      </c>
      <c r="B57" t="s">
        <v>94</v>
      </c>
      <c r="C57" s="1">
        <v>45388</v>
      </c>
      <c r="D57" s="1">
        <v>45629</v>
      </c>
      <c r="E57">
        <v>7</v>
      </c>
      <c r="F57">
        <v>11.99</v>
      </c>
      <c r="G57">
        <f t="shared" si="0"/>
        <v>83.93</v>
      </c>
      <c r="H57">
        <v>19</v>
      </c>
      <c r="I57" t="s">
        <v>64</v>
      </c>
      <c r="J57">
        <v>4</v>
      </c>
      <c r="K57">
        <v>2</v>
      </c>
      <c r="L57" t="b">
        <v>1</v>
      </c>
      <c r="M57">
        <v>741</v>
      </c>
      <c r="N57">
        <v>36</v>
      </c>
      <c r="O57" t="s">
        <v>76</v>
      </c>
      <c r="P57" t="s">
        <v>28</v>
      </c>
      <c r="Q57" t="s">
        <v>58</v>
      </c>
      <c r="R57">
        <v>13</v>
      </c>
      <c r="S57">
        <v>4.4000000000000004</v>
      </c>
      <c r="T57" t="b">
        <v>0</v>
      </c>
      <c r="U57" t="s">
        <v>30</v>
      </c>
      <c r="V57">
        <v>3641</v>
      </c>
      <c r="W57" t="s">
        <v>67</v>
      </c>
      <c r="X57" t="s">
        <v>54</v>
      </c>
      <c r="Y57" t="s">
        <v>77</v>
      </c>
    </row>
    <row r="58" spans="1:25" x14ac:dyDescent="0.35">
      <c r="A58">
        <v>5420</v>
      </c>
      <c r="B58" t="s">
        <v>113</v>
      </c>
      <c r="C58" s="1">
        <v>44926</v>
      </c>
      <c r="D58" s="1">
        <v>45627</v>
      </c>
      <c r="E58">
        <v>23</v>
      </c>
      <c r="F58">
        <v>11.99</v>
      </c>
      <c r="G58">
        <f t="shared" si="0"/>
        <v>275.77</v>
      </c>
      <c r="H58">
        <v>204</v>
      </c>
      <c r="I58" t="s">
        <v>35</v>
      </c>
      <c r="J58">
        <v>4</v>
      </c>
      <c r="K58">
        <v>6</v>
      </c>
      <c r="L58" t="b">
        <v>0</v>
      </c>
      <c r="M58">
        <v>928</v>
      </c>
      <c r="N58">
        <v>30</v>
      </c>
      <c r="O58" t="s">
        <v>50</v>
      </c>
      <c r="P58" t="s">
        <v>51</v>
      </c>
      <c r="Q58" t="s">
        <v>43</v>
      </c>
      <c r="R58">
        <v>58</v>
      </c>
      <c r="S58">
        <v>4.4000000000000004</v>
      </c>
      <c r="T58" t="b">
        <v>0</v>
      </c>
      <c r="U58" t="s">
        <v>30</v>
      </c>
      <c r="V58">
        <v>1765</v>
      </c>
      <c r="W58" t="s">
        <v>31</v>
      </c>
      <c r="X58" t="s">
        <v>62</v>
      </c>
      <c r="Y58" t="s">
        <v>33</v>
      </c>
    </row>
    <row r="59" spans="1:25" x14ac:dyDescent="0.35">
      <c r="A59">
        <v>7560</v>
      </c>
      <c r="B59" t="s">
        <v>114</v>
      </c>
      <c r="C59" s="1">
        <v>44919</v>
      </c>
      <c r="D59" s="1">
        <v>45629</v>
      </c>
      <c r="E59">
        <v>23</v>
      </c>
      <c r="F59">
        <v>7.99</v>
      </c>
      <c r="G59">
        <f t="shared" si="0"/>
        <v>183.77</v>
      </c>
      <c r="H59">
        <v>345</v>
      </c>
      <c r="I59" t="s">
        <v>57</v>
      </c>
      <c r="J59">
        <v>3</v>
      </c>
      <c r="K59">
        <v>3</v>
      </c>
      <c r="L59" t="b">
        <v>0</v>
      </c>
      <c r="M59">
        <v>80</v>
      </c>
      <c r="N59">
        <v>100</v>
      </c>
      <c r="O59" t="s">
        <v>27</v>
      </c>
      <c r="P59" t="s">
        <v>51</v>
      </c>
      <c r="Q59" t="s">
        <v>29</v>
      </c>
      <c r="R59">
        <v>40</v>
      </c>
      <c r="S59">
        <v>4.9000000000000004</v>
      </c>
      <c r="T59" t="b">
        <v>1</v>
      </c>
      <c r="U59" t="s">
        <v>30</v>
      </c>
      <c r="V59">
        <v>3462</v>
      </c>
      <c r="W59" t="s">
        <v>31</v>
      </c>
      <c r="X59" t="s">
        <v>70</v>
      </c>
      <c r="Y59" t="s">
        <v>55</v>
      </c>
    </row>
    <row r="60" spans="1:25" x14ac:dyDescent="0.35">
      <c r="A60">
        <v>9644</v>
      </c>
      <c r="B60" t="s">
        <v>84</v>
      </c>
      <c r="C60" s="1">
        <v>45543</v>
      </c>
      <c r="D60" s="1">
        <v>45621</v>
      </c>
      <c r="E60">
        <v>2</v>
      </c>
      <c r="F60">
        <v>7.99</v>
      </c>
      <c r="G60">
        <f t="shared" si="0"/>
        <v>15.98</v>
      </c>
      <c r="H60">
        <v>294</v>
      </c>
      <c r="I60" t="s">
        <v>64</v>
      </c>
      <c r="J60">
        <v>4</v>
      </c>
      <c r="K60">
        <v>1</v>
      </c>
      <c r="L60" t="b">
        <v>1</v>
      </c>
      <c r="M60">
        <v>453</v>
      </c>
      <c r="N60">
        <v>149</v>
      </c>
      <c r="O60" t="s">
        <v>76</v>
      </c>
      <c r="P60" t="s">
        <v>28</v>
      </c>
      <c r="Q60" t="s">
        <v>29</v>
      </c>
      <c r="R60">
        <v>82</v>
      </c>
      <c r="S60">
        <v>3.9</v>
      </c>
      <c r="T60" t="b">
        <v>1</v>
      </c>
      <c r="U60" t="s">
        <v>30</v>
      </c>
      <c r="V60">
        <v>790</v>
      </c>
      <c r="W60" t="s">
        <v>37</v>
      </c>
      <c r="X60" t="s">
        <v>54</v>
      </c>
      <c r="Y60" t="s">
        <v>55</v>
      </c>
    </row>
    <row r="61" spans="1:25" x14ac:dyDescent="0.35">
      <c r="A61">
        <v>7239</v>
      </c>
      <c r="B61" t="s">
        <v>115</v>
      </c>
      <c r="C61" s="1">
        <v>45279</v>
      </c>
      <c r="D61" s="1">
        <v>45625</v>
      </c>
      <c r="E61">
        <v>11</v>
      </c>
      <c r="F61">
        <v>15.99</v>
      </c>
      <c r="G61">
        <f t="shared" si="0"/>
        <v>175.89000000000001</v>
      </c>
      <c r="H61">
        <v>318</v>
      </c>
      <c r="I61" t="s">
        <v>26</v>
      </c>
      <c r="J61">
        <v>3</v>
      </c>
      <c r="K61">
        <v>2</v>
      </c>
      <c r="L61" t="b">
        <v>1</v>
      </c>
      <c r="M61">
        <v>943</v>
      </c>
      <c r="N61">
        <v>116</v>
      </c>
      <c r="O61" t="s">
        <v>41</v>
      </c>
      <c r="P61" t="s">
        <v>28</v>
      </c>
      <c r="Q61" t="s">
        <v>29</v>
      </c>
      <c r="R61">
        <v>22</v>
      </c>
      <c r="S61">
        <v>4.0999999999999996</v>
      </c>
      <c r="T61" t="b">
        <v>0</v>
      </c>
      <c r="U61" t="s">
        <v>30</v>
      </c>
      <c r="V61">
        <v>4732</v>
      </c>
      <c r="W61" t="s">
        <v>59</v>
      </c>
      <c r="X61" t="s">
        <v>38</v>
      </c>
      <c r="Y61" t="s">
        <v>77</v>
      </c>
    </row>
    <row r="62" spans="1:25" x14ac:dyDescent="0.35">
      <c r="A62">
        <v>6415</v>
      </c>
      <c r="B62" t="s">
        <v>116</v>
      </c>
      <c r="C62" s="1">
        <v>45211</v>
      </c>
      <c r="D62" s="1">
        <v>45615</v>
      </c>
      <c r="E62">
        <v>13</v>
      </c>
      <c r="F62">
        <v>11.99</v>
      </c>
      <c r="G62">
        <f t="shared" si="0"/>
        <v>155.87</v>
      </c>
      <c r="H62">
        <v>396</v>
      </c>
      <c r="I62" t="s">
        <v>26</v>
      </c>
      <c r="J62">
        <v>1</v>
      </c>
      <c r="K62">
        <v>2</v>
      </c>
      <c r="L62" t="b">
        <v>0</v>
      </c>
      <c r="M62">
        <v>348</v>
      </c>
      <c r="N62">
        <v>172</v>
      </c>
      <c r="O62" t="s">
        <v>46</v>
      </c>
      <c r="P62" t="s">
        <v>66</v>
      </c>
      <c r="Q62" t="s">
        <v>29</v>
      </c>
      <c r="R62">
        <v>61</v>
      </c>
      <c r="S62">
        <v>3.9</v>
      </c>
      <c r="T62" t="b">
        <v>0</v>
      </c>
      <c r="U62" t="s">
        <v>30</v>
      </c>
      <c r="V62">
        <v>4599</v>
      </c>
      <c r="W62" t="s">
        <v>31</v>
      </c>
      <c r="X62" t="s">
        <v>32</v>
      </c>
      <c r="Y62" t="s">
        <v>77</v>
      </c>
    </row>
    <row r="63" spans="1:25" x14ac:dyDescent="0.35">
      <c r="A63">
        <v>9020</v>
      </c>
      <c r="B63" t="s">
        <v>117</v>
      </c>
      <c r="C63" s="1">
        <v>44960</v>
      </c>
      <c r="D63" s="1">
        <v>45629</v>
      </c>
      <c r="E63">
        <v>22</v>
      </c>
      <c r="F63">
        <v>11.99</v>
      </c>
      <c r="G63">
        <f t="shared" si="0"/>
        <v>263.78000000000003</v>
      </c>
      <c r="H63">
        <v>455</v>
      </c>
      <c r="I63" t="s">
        <v>57</v>
      </c>
      <c r="J63">
        <v>5</v>
      </c>
      <c r="K63">
        <v>3</v>
      </c>
      <c r="L63" t="b">
        <v>1</v>
      </c>
      <c r="M63">
        <v>112</v>
      </c>
      <c r="N63">
        <v>158</v>
      </c>
      <c r="O63" t="s">
        <v>50</v>
      </c>
      <c r="P63" t="s">
        <v>51</v>
      </c>
      <c r="Q63" t="s">
        <v>36</v>
      </c>
      <c r="R63">
        <v>15</v>
      </c>
      <c r="S63">
        <v>3.9</v>
      </c>
      <c r="T63" t="b">
        <v>1</v>
      </c>
      <c r="U63" t="s">
        <v>30</v>
      </c>
      <c r="V63">
        <v>965</v>
      </c>
      <c r="W63" t="s">
        <v>53</v>
      </c>
      <c r="X63" t="s">
        <v>38</v>
      </c>
      <c r="Y63" t="s">
        <v>55</v>
      </c>
    </row>
    <row r="64" spans="1:25" x14ac:dyDescent="0.35">
      <c r="A64">
        <v>2324</v>
      </c>
      <c r="B64" t="s">
        <v>118</v>
      </c>
      <c r="C64" s="1">
        <v>45620</v>
      </c>
      <c r="D64" s="1">
        <v>45637</v>
      </c>
      <c r="E64">
        <v>0</v>
      </c>
      <c r="F64">
        <v>7.99</v>
      </c>
      <c r="G64">
        <f t="shared" si="0"/>
        <v>0</v>
      </c>
      <c r="H64">
        <v>175</v>
      </c>
      <c r="I64" t="s">
        <v>64</v>
      </c>
      <c r="J64">
        <v>5</v>
      </c>
      <c r="K64">
        <v>6</v>
      </c>
      <c r="L64" t="b">
        <v>1</v>
      </c>
      <c r="M64">
        <v>606</v>
      </c>
      <c r="N64">
        <v>195</v>
      </c>
      <c r="O64" t="s">
        <v>27</v>
      </c>
      <c r="P64" t="s">
        <v>51</v>
      </c>
      <c r="Q64" t="s">
        <v>58</v>
      </c>
      <c r="R64">
        <v>95</v>
      </c>
      <c r="S64">
        <v>4</v>
      </c>
      <c r="T64" t="b">
        <v>0</v>
      </c>
      <c r="U64" t="s">
        <v>30</v>
      </c>
      <c r="V64">
        <v>1155</v>
      </c>
      <c r="W64" t="s">
        <v>67</v>
      </c>
      <c r="X64" t="s">
        <v>32</v>
      </c>
      <c r="Y64" t="s">
        <v>33</v>
      </c>
    </row>
    <row r="65" spans="1:25" x14ac:dyDescent="0.35">
      <c r="A65">
        <v>1354</v>
      </c>
      <c r="B65" t="s">
        <v>119</v>
      </c>
      <c r="C65" s="1">
        <v>45101</v>
      </c>
      <c r="D65" s="1">
        <v>45633</v>
      </c>
      <c r="E65">
        <v>17</v>
      </c>
      <c r="F65">
        <v>7.99</v>
      </c>
      <c r="G65">
        <f t="shared" si="0"/>
        <v>135.83000000000001</v>
      </c>
      <c r="H65">
        <v>36</v>
      </c>
      <c r="I65" t="s">
        <v>45</v>
      </c>
      <c r="J65">
        <v>1</v>
      </c>
      <c r="K65">
        <v>6</v>
      </c>
      <c r="L65" t="b">
        <v>0</v>
      </c>
      <c r="M65">
        <v>214</v>
      </c>
      <c r="N65">
        <v>114</v>
      </c>
      <c r="O65" t="s">
        <v>50</v>
      </c>
      <c r="P65" t="s">
        <v>28</v>
      </c>
      <c r="Q65" t="s">
        <v>52</v>
      </c>
      <c r="R65">
        <v>39</v>
      </c>
      <c r="S65">
        <v>4.9000000000000004</v>
      </c>
      <c r="T65" t="b">
        <v>0</v>
      </c>
      <c r="U65" t="s">
        <v>30</v>
      </c>
      <c r="V65">
        <v>1110</v>
      </c>
      <c r="W65" t="s">
        <v>67</v>
      </c>
      <c r="X65" t="s">
        <v>54</v>
      </c>
      <c r="Y65" t="s">
        <v>77</v>
      </c>
    </row>
    <row r="66" spans="1:25" x14ac:dyDescent="0.35">
      <c r="A66">
        <v>4019</v>
      </c>
      <c r="B66" t="s">
        <v>120</v>
      </c>
      <c r="C66" s="1">
        <v>45289</v>
      </c>
      <c r="D66" s="1">
        <v>45632</v>
      </c>
      <c r="E66">
        <v>11</v>
      </c>
      <c r="F66">
        <v>15.99</v>
      </c>
      <c r="G66">
        <f t="shared" si="0"/>
        <v>175.89000000000001</v>
      </c>
      <c r="H66">
        <v>349</v>
      </c>
      <c r="I66" t="s">
        <v>48</v>
      </c>
      <c r="J66">
        <v>1</v>
      </c>
      <c r="K66">
        <v>6</v>
      </c>
      <c r="L66" t="b">
        <v>1</v>
      </c>
      <c r="M66">
        <v>334</v>
      </c>
      <c r="N66">
        <v>76</v>
      </c>
      <c r="O66" t="s">
        <v>41</v>
      </c>
      <c r="P66" t="s">
        <v>51</v>
      </c>
      <c r="Q66" t="s">
        <v>43</v>
      </c>
      <c r="R66">
        <v>32</v>
      </c>
      <c r="S66">
        <v>3.3</v>
      </c>
      <c r="T66" t="b">
        <v>0</v>
      </c>
      <c r="U66" t="s">
        <v>30</v>
      </c>
      <c r="V66">
        <v>1911</v>
      </c>
      <c r="W66" t="s">
        <v>53</v>
      </c>
      <c r="X66" t="s">
        <v>70</v>
      </c>
      <c r="Y66" t="s">
        <v>77</v>
      </c>
    </row>
    <row r="67" spans="1:25" x14ac:dyDescent="0.35">
      <c r="A67">
        <v>6178</v>
      </c>
      <c r="B67" t="s">
        <v>121</v>
      </c>
      <c r="C67" s="1">
        <v>44986</v>
      </c>
      <c r="D67" s="1">
        <v>45635</v>
      </c>
      <c r="E67">
        <v>21</v>
      </c>
      <c r="F67">
        <v>11.99</v>
      </c>
      <c r="G67">
        <f t="shared" ref="G67:G130" si="1">F67*E67</f>
        <v>251.79</v>
      </c>
      <c r="H67">
        <v>262</v>
      </c>
      <c r="I67" t="s">
        <v>48</v>
      </c>
      <c r="J67">
        <v>5</v>
      </c>
      <c r="K67">
        <v>5</v>
      </c>
      <c r="L67" t="b">
        <v>1</v>
      </c>
      <c r="M67">
        <v>849</v>
      </c>
      <c r="N67">
        <v>68</v>
      </c>
      <c r="O67" t="s">
        <v>50</v>
      </c>
      <c r="P67" t="s">
        <v>51</v>
      </c>
      <c r="Q67" t="s">
        <v>69</v>
      </c>
      <c r="R67">
        <v>24</v>
      </c>
      <c r="S67">
        <v>3</v>
      </c>
      <c r="T67" t="b">
        <v>0</v>
      </c>
      <c r="U67" t="s">
        <v>30</v>
      </c>
      <c r="V67">
        <v>1721</v>
      </c>
      <c r="W67" t="s">
        <v>31</v>
      </c>
      <c r="X67" t="s">
        <v>54</v>
      </c>
      <c r="Y67" t="s">
        <v>55</v>
      </c>
    </row>
    <row r="68" spans="1:25" x14ac:dyDescent="0.35">
      <c r="A68">
        <v>8673</v>
      </c>
      <c r="B68" t="s">
        <v>99</v>
      </c>
      <c r="C68" s="1">
        <v>45289</v>
      </c>
      <c r="D68" s="1">
        <v>45637</v>
      </c>
      <c r="E68">
        <v>11</v>
      </c>
      <c r="F68">
        <v>7.99</v>
      </c>
      <c r="G68">
        <f t="shared" si="1"/>
        <v>87.89</v>
      </c>
      <c r="H68">
        <v>378</v>
      </c>
      <c r="I68" t="s">
        <v>26</v>
      </c>
      <c r="J68">
        <v>2</v>
      </c>
      <c r="K68">
        <v>3</v>
      </c>
      <c r="L68" t="b">
        <v>0</v>
      </c>
      <c r="M68">
        <v>155</v>
      </c>
      <c r="N68">
        <v>69</v>
      </c>
      <c r="O68" t="s">
        <v>46</v>
      </c>
      <c r="P68" t="s">
        <v>42</v>
      </c>
      <c r="Q68" t="s">
        <v>52</v>
      </c>
      <c r="R68">
        <v>11</v>
      </c>
      <c r="S68">
        <v>3.3</v>
      </c>
      <c r="T68" t="b">
        <v>0</v>
      </c>
      <c r="U68" t="s">
        <v>30</v>
      </c>
      <c r="V68">
        <v>353</v>
      </c>
      <c r="W68" t="s">
        <v>53</v>
      </c>
      <c r="X68" t="s">
        <v>70</v>
      </c>
      <c r="Y68" t="s">
        <v>55</v>
      </c>
    </row>
    <row r="69" spans="1:25" x14ac:dyDescent="0.35">
      <c r="A69">
        <v>8250</v>
      </c>
      <c r="B69" t="s">
        <v>122</v>
      </c>
      <c r="C69" s="1">
        <v>45366</v>
      </c>
      <c r="D69" s="1">
        <v>45625</v>
      </c>
      <c r="E69">
        <v>8</v>
      </c>
      <c r="F69">
        <v>15.99</v>
      </c>
      <c r="G69">
        <f t="shared" si="1"/>
        <v>127.92</v>
      </c>
      <c r="H69">
        <v>469</v>
      </c>
      <c r="I69" t="s">
        <v>48</v>
      </c>
      <c r="J69">
        <v>3</v>
      </c>
      <c r="K69">
        <v>5</v>
      </c>
      <c r="L69" t="b">
        <v>1</v>
      </c>
      <c r="M69">
        <v>406</v>
      </c>
      <c r="N69">
        <v>71</v>
      </c>
      <c r="O69" t="s">
        <v>61</v>
      </c>
      <c r="P69" t="s">
        <v>66</v>
      </c>
      <c r="Q69" t="s">
        <v>69</v>
      </c>
      <c r="R69">
        <v>88</v>
      </c>
      <c r="S69">
        <v>4.8</v>
      </c>
      <c r="T69" t="b">
        <v>1</v>
      </c>
      <c r="U69" t="s">
        <v>30</v>
      </c>
      <c r="V69">
        <v>423</v>
      </c>
      <c r="W69" t="s">
        <v>67</v>
      </c>
      <c r="X69" t="s">
        <v>32</v>
      </c>
      <c r="Y69" t="s">
        <v>77</v>
      </c>
    </row>
    <row r="70" spans="1:25" x14ac:dyDescent="0.35">
      <c r="A70">
        <v>1609</v>
      </c>
      <c r="B70" t="s">
        <v>123</v>
      </c>
      <c r="C70" s="1">
        <v>45029</v>
      </c>
      <c r="D70" s="1">
        <v>45643</v>
      </c>
      <c r="E70">
        <v>20</v>
      </c>
      <c r="F70">
        <v>7.99</v>
      </c>
      <c r="G70">
        <f t="shared" si="1"/>
        <v>159.80000000000001</v>
      </c>
      <c r="H70">
        <v>87</v>
      </c>
      <c r="I70" t="s">
        <v>57</v>
      </c>
      <c r="J70">
        <v>4</v>
      </c>
      <c r="K70">
        <v>4</v>
      </c>
      <c r="L70" t="b">
        <v>0</v>
      </c>
      <c r="M70">
        <v>571</v>
      </c>
      <c r="N70">
        <v>54</v>
      </c>
      <c r="O70" t="s">
        <v>41</v>
      </c>
      <c r="P70" t="s">
        <v>51</v>
      </c>
      <c r="Q70" t="s">
        <v>36</v>
      </c>
      <c r="R70">
        <v>57</v>
      </c>
      <c r="S70">
        <v>4.2</v>
      </c>
      <c r="T70" t="b">
        <v>0</v>
      </c>
      <c r="U70" t="s">
        <v>30</v>
      </c>
      <c r="V70">
        <v>344</v>
      </c>
      <c r="W70" t="s">
        <v>53</v>
      </c>
      <c r="X70" t="s">
        <v>70</v>
      </c>
      <c r="Y70" t="s">
        <v>55</v>
      </c>
    </row>
    <row r="71" spans="1:25" x14ac:dyDescent="0.35">
      <c r="A71">
        <v>3806</v>
      </c>
      <c r="B71" t="s">
        <v>124</v>
      </c>
      <c r="C71" s="1">
        <v>44976</v>
      </c>
      <c r="D71" s="1">
        <v>45638</v>
      </c>
      <c r="E71">
        <v>21</v>
      </c>
      <c r="F71">
        <v>15.99</v>
      </c>
      <c r="G71">
        <f t="shared" si="1"/>
        <v>335.79</v>
      </c>
      <c r="H71">
        <v>471</v>
      </c>
      <c r="I71" t="s">
        <v>48</v>
      </c>
      <c r="J71">
        <v>3</v>
      </c>
      <c r="K71">
        <v>6</v>
      </c>
      <c r="L71" t="b">
        <v>1</v>
      </c>
      <c r="M71">
        <v>56</v>
      </c>
      <c r="N71">
        <v>69</v>
      </c>
      <c r="O71" t="s">
        <v>41</v>
      </c>
      <c r="P71" t="s">
        <v>28</v>
      </c>
      <c r="Q71" t="s">
        <v>43</v>
      </c>
      <c r="R71">
        <v>44</v>
      </c>
      <c r="S71">
        <v>3.6</v>
      </c>
      <c r="T71" t="b">
        <v>1</v>
      </c>
      <c r="U71" t="s">
        <v>30</v>
      </c>
      <c r="V71">
        <v>4117</v>
      </c>
      <c r="W71" t="s">
        <v>67</v>
      </c>
      <c r="X71" t="s">
        <v>70</v>
      </c>
      <c r="Y71" t="s">
        <v>55</v>
      </c>
    </row>
    <row r="72" spans="1:25" x14ac:dyDescent="0.35">
      <c r="A72">
        <v>7973</v>
      </c>
      <c r="B72" t="s">
        <v>125</v>
      </c>
      <c r="C72" s="1">
        <v>45566</v>
      </c>
      <c r="D72" s="1">
        <v>45629</v>
      </c>
      <c r="E72">
        <v>2</v>
      </c>
      <c r="F72">
        <v>7.99</v>
      </c>
      <c r="G72">
        <f t="shared" si="1"/>
        <v>15.98</v>
      </c>
      <c r="H72">
        <v>469</v>
      </c>
      <c r="I72" t="s">
        <v>81</v>
      </c>
      <c r="J72">
        <v>5</v>
      </c>
      <c r="K72">
        <v>2</v>
      </c>
      <c r="L72" t="b">
        <v>1</v>
      </c>
      <c r="M72">
        <v>748</v>
      </c>
      <c r="N72">
        <v>147</v>
      </c>
      <c r="O72" t="s">
        <v>76</v>
      </c>
      <c r="P72" t="s">
        <v>66</v>
      </c>
      <c r="Q72" t="s">
        <v>29</v>
      </c>
      <c r="R72">
        <v>33</v>
      </c>
      <c r="S72">
        <v>4.5999999999999996</v>
      </c>
      <c r="T72" t="b">
        <v>1</v>
      </c>
      <c r="U72" t="s">
        <v>30</v>
      </c>
      <c r="V72">
        <v>3983</v>
      </c>
      <c r="W72" t="s">
        <v>53</v>
      </c>
      <c r="X72" t="s">
        <v>70</v>
      </c>
      <c r="Y72" t="s">
        <v>39</v>
      </c>
    </row>
    <row r="73" spans="1:25" x14ac:dyDescent="0.35">
      <c r="A73">
        <v>7948</v>
      </c>
      <c r="B73" t="s">
        <v>126</v>
      </c>
      <c r="C73" s="1">
        <v>45256</v>
      </c>
      <c r="D73" s="1">
        <v>45619</v>
      </c>
      <c r="E73">
        <v>11</v>
      </c>
      <c r="F73">
        <v>15.99</v>
      </c>
      <c r="G73">
        <f t="shared" si="1"/>
        <v>175.89000000000001</v>
      </c>
      <c r="H73">
        <v>298</v>
      </c>
      <c r="I73" t="s">
        <v>45</v>
      </c>
      <c r="J73">
        <v>4</v>
      </c>
      <c r="K73">
        <v>1</v>
      </c>
      <c r="L73" t="b">
        <v>0</v>
      </c>
      <c r="M73">
        <v>603</v>
      </c>
      <c r="N73">
        <v>161</v>
      </c>
      <c r="O73" t="s">
        <v>65</v>
      </c>
      <c r="P73" t="s">
        <v>28</v>
      </c>
      <c r="Q73" t="s">
        <v>52</v>
      </c>
      <c r="R73">
        <v>68</v>
      </c>
      <c r="S73">
        <v>4.4000000000000004</v>
      </c>
      <c r="T73" t="b">
        <v>0</v>
      </c>
      <c r="U73" t="s">
        <v>30</v>
      </c>
      <c r="V73">
        <v>3941</v>
      </c>
      <c r="W73" t="s">
        <v>59</v>
      </c>
      <c r="X73" t="s">
        <v>32</v>
      </c>
      <c r="Y73" t="s">
        <v>77</v>
      </c>
    </row>
    <row r="74" spans="1:25" x14ac:dyDescent="0.35">
      <c r="A74">
        <v>3195</v>
      </c>
      <c r="B74" t="s">
        <v>127</v>
      </c>
      <c r="C74" s="1">
        <v>45212</v>
      </c>
      <c r="D74" s="1">
        <v>45643</v>
      </c>
      <c r="E74">
        <v>14</v>
      </c>
      <c r="F74">
        <v>11.99</v>
      </c>
      <c r="G74">
        <f t="shared" si="1"/>
        <v>167.86</v>
      </c>
      <c r="H74">
        <v>331</v>
      </c>
      <c r="I74" t="s">
        <v>26</v>
      </c>
      <c r="J74">
        <v>5</v>
      </c>
      <c r="K74">
        <v>5</v>
      </c>
      <c r="L74" t="b">
        <v>0</v>
      </c>
      <c r="M74">
        <v>990</v>
      </c>
      <c r="N74">
        <v>72</v>
      </c>
      <c r="O74" t="s">
        <v>65</v>
      </c>
      <c r="P74" t="s">
        <v>42</v>
      </c>
      <c r="Q74" t="s">
        <v>52</v>
      </c>
      <c r="R74">
        <v>80</v>
      </c>
      <c r="S74">
        <v>3.7</v>
      </c>
      <c r="T74" t="b">
        <v>0</v>
      </c>
      <c r="U74" t="s">
        <v>30</v>
      </c>
      <c r="V74">
        <v>3085</v>
      </c>
      <c r="W74" t="s">
        <v>31</v>
      </c>
      <c r="X74" t="s">
        <v>32</v>
      </c>
      <c r="Y74" t="s">
        <v>55</v>
      </c>
    </row>
    <row r="75" spans="1:25" x14ac:dyDescent="0.35">
      <c r="A75">
        <v>6285</v>
      </c>
      <c r="B75" t="s">
        <v>128</v>
      </c>
      <c r="C75" s="1">
        <v>45138</v>
      </c>
      <c r="D75" s="1">
        <v>45626</v>
      </c>
      <c r="E75">
        <v>15</v>
      </c>
      <c r="F75">
        <v>11.99</v>
      </c>
      <c r="G75">
        <f t="shared" si="1"/>
        <v>179.85</v>
      </c>
      <c r="H75">
        <v>238</v>
      </c>
      <c r="I75" t="s">
        <v>48</v>
      </c>
      <c r="J75">
        <v>3</v>
      </c>
      <c r="K75">
        <v>6</v>
      </c>
      <c r="L75" t="b">
        <v>1</v>
      </c>
      <c r="M75">
        <v>831</v>
      </c>
      <c r="N75">
        <v>101</v>
      </c>
      <c r="O75" t="s">
        <v>27</v>
      </c>
      <c r="P75" t="s">
        <v>28</v>
      </c>
      <c r="Q75" t="s">
        <v>36</v>
      </c>
      <c r="R75">
        <v>94</v>
      </c>
      <c r="S75">
        <v>4.4000000000000004</v>
      </c>
      <c r="T75" t="b">
        <v>1</v>
      </c>
      <c r="U75" t="s">
        <v>30</v>
      </c>
      <c r="V75">
        <v>48</v>
      </c>
      <c r="W75" t="s">
        <v>53</v>
      </c>
      <c r="X75" t="s">
        <v>32</v>
      </c>
      <c r="Y75" t="s">
        <v>39</v>
      </c>
    </row>
    <row r="76" spans="1:25" x14ac:dyDescent="0.35">
      <c r="A76">
        <v>4303</v>
      </c>
      <c r="B76" t="s">
        <v>123</v>
      </c>
      <c r="C76" s="1">
        <v>45175</v>
      </c>
      <c r="D76" s="1">
        <v>45643</v>
      </c>
      <c r="E76">
        <v>15</v>
      </c>
      <c r="F76">
        <v>7.99</v>
      </c>
      <c r="G76">
        <f t="shared" si="1"/>
        <v>119.85000000000001</v>
      </c>
      <c r="H76">
        <v>231</v>
      </c>
      <c r="I76" t="s">
        <v>64</v>
      </c>
      <c r="J76">
        <v>1</v>
      </c>
      <c r="K76">
        <v>4</v>
      </c>
      <c r="L76" t="b">
        <v>0</v>
      </c>
      <c r="M76">
        <v>420</v>
      </c>
      <c r="N76">
        <v>85</v>
      </c>
      <c r="O76" t="s">
        <v>65</v>
      </c>
      <c r="P76" t="s">
        <v>66</v>
      </c>
      <c r="Q76" t="s">
        <v>43</v>
      </c>
      <c r="R76">
        <v>30</v>
      </c>
      <c r="S76">
        <v>3.5</v>
      </c>
      <c r="T76" t="b">
        <v>0</v>
      </c>
      <c r="U76" t="s">
        <v>30</v>
      </c>
      <c r="V76">
        <v>1520</v>
      </c>
      <c r="W76" t="s">
        <v>53</v>
      </c>
      <c r="X76" t="s">
        <v>70</v>
      </c>
      <c r="Y76" t="s">
        <v>39</v>
      </c>
    </row>
    <row r="77" spans="1:25" x14ac:dyDescent="0.35">
      <c r="A77">
        <v>7751</v>
      </c>
      <c r="B77" t="s">
        <v>129</v>
      </c>
      <c r="C77" s="1">
        <v>45481</v>
      </c>
      <c r="D77" s="1">
        <v>45619</v>
      </c>
      <c r="E77">
        <v>4</v>
      </c>
      <c r="F77">
        <v>11.99</v>
      </c>
      <c r="G77">
        <f t="shared" si="1"/>
        <v>47.96</v>
      </c>
      <c r="H77">
        <v>457</v>
      </c>
      <c r="I77" t="s">
        <v>45</v>
      </c>
      <c r="J77">
        <v>2</v>
      </c>
      <c r="K77">
        <v>5</v>
      </c>
      <c r="L77" t="b">
        <v>1</v>
      </c>
      <c r="M77">
        <v>754</v>
      </c>
      <c r="N77">
        <v>98</v>
      </c>
      <c r="O77" t="s">
        <v>41</v>
      </c>
      <c r="P77" t="s">
        <v>28</v>
      </c>
      <c r="Q77" t="s">
        <v>43</v>
      </c>
      <c r="R77">
        <v>53</v>
      </c>
      <c r="S77">
        <v>3.6</v>
      </c>
      <c r="T77" t="b">
        <v>1</v>
      </c>
      <c r="U77" t="s">
        <v>30</v>
      </c>
      <c r="V77">
        <v>935</v>
      </c>
      <c r="W77" t="s">
        <v>31</v>
      </c>
      <c r="X77" t="s">
        <v>70</v>
      </c>
      <c r="Y77" t="s">
        <v>39</v>
      </c>
    </row>
    <row r="78" spans="1:25" x14ac:dyDescent="0.35">
      <c r="A78">
        <v>7813</v>
      </c>
      <c r="B78" t="s">
        <v>130</v>
      </c>
      <c r="C78" s="1">
        <v>45493</v>
      </c>
      <c r="D78" s="1">
        <v>45617</v>
      </c>
      <c r="E78">
        <v>4</v>
      </c>
      <c r="F78">
        <v>15.99</v>
      </c>
      <c r="G78">
        <f t="shared" si="1"/>
        <v>63.96</v>
      </c>
      <c r="H78">
        <v>373</v>
      </c>
      <c r="I78" t="s">
        <v>35</v>
      </c>
      <c r="J78">
        <v>4</v>
      </c>
      <c r="K78">
        <v>4</v>
      </c>
      <c r="L78" t="b">
        <v>1</v>
      </c>
      <c r="M78">
        <v>782</v>
      </c>
      <c r="N78">
        <v>7</v>
      </c>
      <c r="O78" t="s">
        <v>50</v>
      </c>
      <c r="P78" t="s">
        <v>66</v>
      </c>
      <c r="Q78" t="s">
        <v>52</v>
      </c>
      <c r="R78">
        <v>18</v>
      </c>
      <c r="S78">
        <v>3.2</v>
      </c>
      <c r="T78" t="b">
        <v>1</v>
      </c>
      <c r="U78" t="s">
        <v>30</v>
      </c>
      <c r="V78">
        <v>4641</v>
      </c>
      <c r="W78" t="s">
        <v>53</v>
      </c>
      <c r="X78" t="s">
        <v>70</v>
      </c>
      <c r="Y78" t="s">
        <v>39</v>
      </c>
    </row>
    <row r="79" spans="1:25" x14ac:dyDescent="0.35">
      <c r="A79">
        <v>9028</v>
      </c>
      <c r="B79" t="s">
        <v>131</v>
      </c>
      <c r="C79" s="1">
        <v>45266</v>
      </c>
      <c r="D79" s="1">
        <v>45624</v>
      </c>
      <c r="E79">
        <v>11</v>
      </c>
      <c r="F79">
        <v>15.99</v>
      </c>
      <c r="G79">
        <f t="shared" si="1"/>
        <v>175.89000000000001</v>
      </c>
      <c r="H79">
        <v>11</v>
      </c>
      <c r="I79" t="s">
        <v>26</v>
      </c>
      <c r="J79">
        <v>1</v>
      </c>
      <c r="K79">
        <v>4</v>
      </c>
      <c r="L79" t="b">
        <v>0</v>
      </c>
      <c r="M79">
        <v>557</v>
      </c>
      <c r="N79">
        <v>165</v>
      </c>
      <c r="O79" t="s">
        <v>27</v>
      </c>
      <c r="P79" t="s">
        <v>28</v>
      </c>
      <c r="Q79" t="s">
        <v>69</v>
      </c>
      <c r="R79">
        <v>11</v>
      </c>
      <c r="S79">
        <v>4</v>
      </c>
      <c r="T79" t="b">
        <v>1</v>
      </c>
      <c r="U79" t="s">
        <v>30</v>
      </c>
      <c r="V79">
        <v>2941</v>
      </c>
      <c r="W79" t="s">
        <v>31</v>
      </c>
      <c r="X79" t="s">
        <v>38</v>
      </c>
      <c r="Y79" t="s">
        <v>33</v>
      </c>
    </row>
    <row r="80" spans="1:25" x14ac:dyDescent="0.35">
      <c r="A80">
        <v>6109</v>
      </c>
      <c r="B80" t="s">
        <v>132</v>
      </c>
      <c r="C80" s="1">
        <v>45224</v>
      </c>
      <c r="D80" s="1">
        <v>45632</v>
      </c>
      <c r="E80">
        <v>13</v>
      </c>
      <c r="F80">
        <v>15.99</v>
      </c>
      <c r="G80">
        <f t="shared" si="1"/>
        <v>207.87</v>
      </c>
      <c r="H80">
        <v>425</v>
      </c>
      <c r="I80" t="s">
        <v>81</v>
      </c>
      <c r="J80">
        <v>2</v>
      </c>
      <c r="K80">
        <v>2</v>
      </c>
      <c r="L80" t="b">
        <v>1</v>
      </c>
      <c r="M80">
        <v>552</v>
      </c>
      <c r="N80">
        <v>27</v>
      </c>
      <c r="O80" t="s">
        <v>65</v>
      </c>
      <c r="P80" t="s">
        <v>66</v>
      </c>
      <c r="Q80" t="s">
        <v>58</v>
      </c>
      <c r="R80">
        <v>36</v>
      </c>
      <c r="S80">
        <v>4</v>
      </c>
      <c r="T80" t="b">
        <v>1</v>
      </c>
      <c r="U80" t="s">
        <v>30</v>
      </c>
      <c r="V80">
        <v>1325</v>
      </c>
      <c r="W80" t="s">
        <v>67</v>
      </c>
      <c r="X80" t="s">
        <v>54</v>
      </c>
      <c r="Y80" t="s">
        <v>33</v>
      </c>
    </row>
    <row r="81" spans="1:25" x14ac:dyDescent="0.35">
      <c r="A81">
        <v>2565</v>
      </c>
      <c r="B81" t="s">
        <v>133</v>
      </c>
      <c r="C81" s="1">
        <v>45550</v>
      </c>
      <c r="D81" s="1">
        <v>45644</v>
      </c>
      <c r="E81">
        <v>3</v>
      </c>
      <c r="F81">
        <v>7.99</v>
      </c>
      <c r="G81">
        <f t="shared" si="1"/>
        <v>23.97</v>
      </c>
      <c r="H81">
        <v>231</v>
      </c>
      <c r="I81" t="s">
        <v>64</v>
      </c>
      <c r="J81">
        <v>5</v>
      </c>
      <c r="K81">
        <v>4</v>
      </c>
      <c r="L81" t="b">
        <v>1</v>
      </c>
      <c r="M81">
        <v>356</v>
      </c>
      <c r="N81">
        <v>81</v>
      </c>
      <c r="O81" t="s">
        <v>61</v>
      </c>
      <c r="P81" t="s">
        <v>51</v>
      </c>
      <c r="Q81" t="s">
        <v>69</v>
      </c>
      <c r="R81">
        <v>73</v>
      </c>
      <c r="S81">
        <v>3.4</v>
      </c>
      <c r="T81" t="b">
        <v>0</v>
      </c>
      <c r="U81" t="s">
        <v>30</v>
      </c>
      <c r="V81">
        <v>4465</v>
      </c>
      <c r="W81" t="s">
        <v>67</v>
      </c>
      <c r="X81" t="s">
        <v>70</v>
      </c>
      <c r="Y81" t="s">
        <v>33</v>
      </c>
    </row>
    <row r="82" spans="1:25" x14ac:dyDescent="0.35">
      <c r="A82">
        <v>7551</v>
      </c>
      <c r="B82" t="s">
        <v>134</v>
      </c>
      <c r="C82" s="1">
        <v>45291</v>
      </c>
      <c r="D82" s="1">
        <v>45628</v>
      </c>
      <c r="E82">
        <v>11</v>
      </c>
      <c r="F82">
        <v>15.99</v>
      </c>
      <c r="G82">
        <f t="shared" si="1"/>
        <v>175.89000000000001</v>
      </c>
      <c r="H82">
        <v>483</v>
      </c>
      <c r="I82" t="s">
        <v>35</v>
      </c>
      <c r="J82">
        <v>2</v>
      </c>
      <c r="K82">
        <v>4</v>
      </c>
      <c r="L82" t="b">
        <v>0</v>
      </c>
      <c r="M82">
        <v>161</v>
      </c>
      <c r="N82">
        <v>110</v>
      </c>
      <c r="O82" t="s">
        <v>27</v>
      </c>
      <c r="P82" t="s">
        <v>66</v>
      </c>
      <c r="Q82" t="s">
        <v>69</v>
      </c>
      <c r="R82">
        <v>71</v>
      </c>
      <c r="S82">
        <v>4.4000000000000004</v>
      </c>
      <c r="T82" t="b">
        <v>1</v>
      </c>
      <c r="U82" t="s">
        <v>30</v>
      </c>
      <c r="V82">
        <v>3517</v>
      </c>
      <c r="W82" t="s">
        <v>31</v>
      </c>
      <c r="X82" t="s">
        <v>38</v>
      </c>
      <c r="Y82" t="s">
        <v>39</v>
      </c>
    </row>
    <row r="83" spans="1:25" x14ac:dyDescent="0.35">
      <c r="A83">
        <v>6398</v>
      </c>
      <c r="B83" t="s">
        <v>135</v>
      </c>
      <c r="C83" s="1">
        <v>45158</v>
      </c>
      <c r="D83" s="1">
        <v>45633</v>
      </c>
      <c r="E83">
        <v>15</v>
      </c>
      <c r="F83">
        <v>7.99</v>
      </c>
      <c r="G83">
        <f t="shared" si="1"/>
        <v>119.85000000000001</v>
      </c>
      <c r="H83">
        <v>55</v>
      </c>
      <c r="I83" t="s">
        <v>81</v>
      </c>
      <c r="J83">
        <v>3</v>
      </c>
      <c r="K83">
        <v>2</v>
      </c>
      <c r="L83" t="b">
        <v>1</v>
      </c>
      <c r="M83">
        <v>17</v>
      </c>
      <c r="N83">
        <v>40</v>
      </c>
      <c r="O83" t="s">
        <v>46</v>
      </c>
      <c r="P83" t="s">
        <v>28</v>
      </c>
      <c r="Q83" t="s">
        <v>43</v>
      </c>
      <c r="R83">
        <v>48</v>
      </c>
      <c r="S83">
        <v>3.7</v>
      </c>
      <c r="T83" t="b">
        <v>0</v>
      </c>
      <c r="U83" t="s">
        <v>30</v>
      </c>
      <c r="V83">
        <v>1672</v>
      </c>
      <c r="W83" t="s">
        <v>53</v>
      </c>
      <c r="X83" t="s">
        <v>62</v>
      </c>
      <c r="Y83" t="s">
        <v>33</v>
      </c>
    </row>
    <row r="84" spans="1:25" x14ac:dyDescent="0.35">
      <c r="A84">
        <v>4982</v>
      </c>
      <c r="B84" t="s">
        <v>136</v>
      </c>
      <c r="C84" s="1">
        <v>45249</v>
      </c>
      <c r="D84" s="1">
        <v>45638</v>
      </c>
      <c r="E84">
        <v>12</v>
      </c>
      <c r="F84">
        <v>11.99</v>
      </c>
      <c r="G84">
        <f t="shared" si="1"/>
        <v>143.88</v>
      </c>
      <c r="H84">
        <v>375</v>
      </c>
      <c r="I84" t="s">
        <v>35</v>
      </c>
      <c r="J84">
        <v>4</v>
      </c>
      <c r="K84">
        <v>3</v>
      </c>
      <c r="L84" t="b">
        <v>0</v>
      </c>
      <c r="M84">
        <v>366</v>
      </c>
      <c r="N84">
        <v>13</v>
      </c>
      <c r="O84" t="s">
        <v>41</v>
      </c>
      <c r="P84" t="s">
        <v>28</v>
      </c>
      <c r="Q84" t="s">
        <v>29</v>
      </c>
      <c r="R84">
        <v>73</v>
      </c>
      <c r="S84">
        <v>4.8</v>
      </c>
      <c r="T84" t="b">
        <v>1</v>
      </c>
      <c r="U84" t="s">
        <v>30</v>
      </c>
      <c r="V84">
        <v>2164</v>
      </c>
      <c r="W84" t="s">
        <v>67</v>
      </c>
      <c r="X84" t="s">
        <v>38</v>
      </c>
      <c r="Y84" t="s">
        <v>77</v>
      </c>
    </row>
    <row r="85" spans="1:25" x14ac:dyDescent="0.35">
      <c r="A85">
        <v>8108</v>
      </c>
      <c r="B85" t="s">
        <v>137</v>
      </c>
      <c r="C85" s="1">
        <v>45585</v>
      </c>
      <c r="D85" s="1">
        <v>45626</v>
      </c>
      <c r="E85">
        <v>1</v>
      </c>
      <c r="F85">
        <v>11.99</v>
      </c>
      <c r="G85">
        <f t="shared" si="1"/>
        <v>11.99</v>
      </c>
      <c r="H85">
        <v>336</v>
      </c>
      <c r="I85" t="s">
        <v>64</v>
      </c>
      <c r="J85">
        <v>1</v>
      </c>
      <c r="K85">
        <v>2</v>
      </c>
      <c r="L85" t="b">
        <v>0</v>
      </c>
      <c r="M85">
        <v>758</v>
      </c>
      <c r="N85">
        <v>32</v>
      </c>
      <c r="O85" t="s">
        <v>41</v>
      </c>
      <c r="P85" t="s">
        <v>66</v>
      </c>
      <c r="Q85" t="s">
        <v>36</v>
      </c>
      <c r="R85">
        <v>64</v>
      </c>
      <c r="S85">
        <v>5</v>
      </c>
      <c r="T85" t="b">
        <v>0</v>
      </c>
      <c r="U85" t="s">
        <v>30</v>
      </c>
      <c r="V85">
        <v>3663</v>
      </c>
      <c r="W85" t="s">
        <v>31</v>
      </c>
      <c r="X85" t="s">
        <v>54</v>
      </c>
      <c r="Y85" t="s">
        <v>39</v>
      </c>
    </row>
    <row r="86" spans="1:25" x14ac:dyDescent="0.35">
      <c r="A86">
        <v>6779</v>
      </c>
      <c r="B86" t="s">
        <v>138</v>
      </c>
      <c r="C86" s="1">
        <v>45495</v>
      </c>
      <c r="D86" s="1">
        <v>45629</v>
      </c>
      <c r="E86">
        <v>4</v>
      </c>
      <c r="F86">
        <v>7.99</v>
      </c>
      <c r="G86">
        <f t="shared" si="1"/>
        <v>31.96</v>
      </c>
      <c r="H86">
        <v>196</v>
      </c>
      <c r="I86" t="s">
        <v>81</v>
      </c>
      <c r="J86">
        <v>1</v>
      </c>
      <c r="K86">
        <v>6</v>
      </c>
      <c r="L86" t="b">
        <v>1</v>
      </c>
      <c r="M86">
        <v>936</v>
      </c>
      <c r="N86">
        <v>152</v>
      </c>
      <c r="O86" t="s">
        <v>61</v>
      </c>
      <c r="P86" t="s">
        <v>28</v>
      </c>
      <c r="Q86" t="s">
        <v>43</v>
      </c>
      <c r="R86">
        <v>3</v>
      </c>
      <c r="S86">
        <v>3.1</v>
      </c>
      <c r="T86" t="b">
        <v>1</v>
      </c>
      <c r="U86" t="s">
        <v>30</v>
      </c>
      <c r="V86">
        <v>2845</v>
      </c>
      <c r="W86" t="s">
        <v>31</v>
      </c>
      <c r="X86" t="s">
        <v>62</v>
      </c>
      <c r="Y86" t="s">
        <v>77</v>
      </c>
    </row>
    <row r="87" spans="1:25" x14ac:dyDescent="0.35">
      <c r="A87">
        <v>1169</v>
      </c>
      <c r="B87" t="s">
        <v>111</v>
      </c>
      <c r="C87" s="1">
        <v>45525</v>
      </c>
      <c r="D87" s="1">
        <v>45629</v>
      </c>
      <c r="E87">
        <v>3</v>
      </c>
      <c r="F87">
        <v>11.99</v>
      </c>
      <c r="G87">
        <f t="shared" si="1"/>
        <v>35.97</v>
      </c>
      <c r="H87">
        <v>285</v>
      </c>
      <c r="I87" t="s">
        <v>35</v>
      </c>
      <c r="J87">
        <v>3</v>
      </c>
      <c r="K87">
        <v>1</v>
      </c>
      <c r="L87" t="b">
        <v>0</v>
      </c>
      <c r="M87">
        <v>13</v>
      </c>
      <c r="N87">
        <v>103</v>
      </c>
      <c r="O87" t="s">
        <v>61</v>
      </c>
      <c r="P87" t="s">
        <v>51</v>
      </c>
      <c r="Q87" t="s">
        <v>52</v>
      </c>
      <c r="R87">
        <v>11</v>
      </c>
      <c r="S87">
        <v>3.7</v>
      </c>
      <c r="T87" t="b">
        <v>0</v>
      </c>
      <c r="U87" t="s">
        <v>30</v>
      </c>
      <c r="V87">
        <v>2390</v>
      </c>
      <c r="W87" t="s">
        <v>59</v>
      </c>
      <c r="X87" t="s">
        <v>54</v>
      </c>
      <c r="Y87" t="s">
        <v>55</v>
      </c>
    </row>
    <row r="88" spans="1:25" x14ac:dyDescent="0.35">
      <c r="A88">
        <v>5067</v>
      </c>
      <c r="B88" t="s">
        <v>139</v>
      </c>
      <c r="C88" s="1">
        <v>45535</v>
      </c>
      <c r="D88" s="1">
        <v>45623</v>
      </c>
      <c r="E88">
        <v>2</v>
      </c>
      <c r="F88">
        <v>7.99</v>
      </c>
      <c r="G88">
        <f t="shared" si="1"/>
        <v>15.98</v>
      </c>
      <c r="H88">
        <v>155</v>
      </c>
      <c r="I88" t="s">
        <v>48</v>
      </c>
      <c r="J88">
        <v>5</v>
      </c>
      <c r="K88">
        <v>1</v>
      </c>
      <c r="L88" t="b">
        <v>1</v>
      </c>
      <c r="M88">
        <v>305</v>
      </c>
      <c r="N88">
        <v>77</v>
      </c>
      <c r="O88" t="s">
        <v>27</v>
      </c>
      <c r="P88" t="s">
        <v>66</v>
      </c>
      <c r="Q88" t="s">
        <v>69</v>
      </c>
      <c r="R88">
        <v>66</v>
      </c>
      <c r="S88">
        <v>3.4</v>
      </c>
      <c r="T88" t="b">
        <v>0</v>
      </c>
      <c r="U88" t="s">
        <v>30</v>
      </c>
      <c r="V88">
        <v>234</v>
      </c>
      <c r="W88" t="s">
        <v>31</v>
      </c>
      <c r="X88" t="s">
        <v>70</v>
      </c>
      <c r="Y88" t="s">
        <v>77</v>
      </c>
    </row>
    <row r="89" spans="1:25" x14ac:dyDescent="0.35">
      <c r="A89">
        <v>5299</v>
      </c>
      <c r="B89" t="s">
        <v>140</v>
      </c>
      <c r="C89" s="1">
        <v>45046</v>
      </c>
      <c r="D89" s="1">
        <v>45628</v>
      </c>
      <c r="E89">
        <v>19</v>
      </c>
      <c r="F89">
        <v>7.99</v>
      </c>
      <c r="G89">
        <f t="shared" si="1"/>
        <v>151.81</v>
      </c>
      <c r="H89">
        <v>275</v>
      </c>
      <c r="I89" t="s">
        <v>64</v>
      </c>
      <c r="J89">
        <v>2</v>
      </c>
      <c r="K89">
        <v>2</v>
      </c>
      <c r="L89" t="b">
        <v>1</v>
      </c>
      <c r="M89">
        <v>755</v>
      </c>
      <c r="N89">
        <v>166</v>
      </c>
      <c r="O89" t="s">
        <v>65</v>
      </c>
      <c r="P89" t="s">
        <v>42</v>
      </c>
      <c r="Q89" t="s">
        <v>43</v>
      </c>
      <c r="R89">
        <v>45</v>
      </c>
      <c r="S89">
        <v>3.9</v>
      </c>
      <c r="T89" t="b">
        <v>0</v>
      </c>
      <c r="U89" t="s">
        <v>30</v>
      </c>
      <c r="V89">
        <v>3975</v>
      </c>
      <c r="W89" t="s">
        <v>67</v>
      </c>
      <c r="X89" t="s">
        <v>32</v>
      </c>
      <c r="Y89" t="s">
        <v>55</v>
      </c>
    </row>
    <row r="90" spans="1:25" x14ac:dyDescent="0.35">
      <c r="A90">
        <v>3978</v>
      </c>
      <c r="B90" t="s">
        <v>104</v>
      </c>
      <c r="C90" s="1">
        <v>45427</v>
      </c>
      <c r="D90" s="1">
        <v>45624</v>
      </c>
      <c r="E90">
        <v>6</v>
      </c>
      <c r="F90">
        <v>7.99</v>
      </c>
      <c r="G90">
        <f t="shared" si="1"/>
        <v>47.94</v>
      </c>
      <c r="H90">
        <v>341</v>
      </c>
      <c r="I90" t="s">
        <v>35</v>
      </c>
      <c r="J90">
        <v>3</v>
      </c>
      <c r="K90">
        <v>4</v>
      </c>
      <c r="L90" t="b">
        <v>0</v>
      </c>
      <c r="M90">
        <v>27</v>
      </c>
      <c r="N90">
        <v>82</v>
      </c>
      <c r="O90" t="s">
        <v>27</v>
      </c>
      <c r="P90" t="s">
        <v>42</v>
      </c>
      <c r="Q90" t="s">
        <v>36</v>
      </c>
      <c r="R90">
        <v>98</v>
      </c>
      <c r="S90">
        <v>3.7</v>
      </c>
      <c r="T90" t="b">
        <v>1</v>
      </c>
      <c r="U90" t="s">
        <v>30</v>
      </c>
      <c r="V90">
        <v>561</v>
      </c>
      <c r="W90" t="s">
        <v>67</v>
      </c>
      <c r="X90" t="s">
        <v>62</v>
      </c>
      <c r="Y90" t="s">
        <v>77</v>
      </c>
    </row>
    <row r="91" spans="1:25" x14ac:dyDescent="0.35">
      <c r="A91">
        <v>8634</v>
      </c>
      <c r="B91" t="s">
        <v>141</v>
      </c>
      <c r="C91" s="1">
        <v>45140</v>
      </c>
      <c r="D91" s="1">
        <v>45639</v>
      </c>
      <c r="E91">
        <v>16</v>
      </c>
      <c r="F91">
        <v>15.99</v>
      </c>
      <c r="G91">
        <f t="shared" si="1"/>
        <v>255.84</v>
      </c>
      <c r="H91">
        <v>321</v>
      </c>
      <c r="I91" t="s">
        <v>35</v>
      </c>
      <c r="J91">
        <v>2</v>
      </c>
      <c r="K91">
        <v>2</v>
      </c>
      <c r="L91" t="b">
        <v>0</v>
      </c>
      <c r="M91">
        <v>676</v>
      </c>
      <c r="N91">
        <v>81</v>
      </c>
      <c r="O91" t="s">
        <v>27</v>
      </c>
      <c r="P91" t="s">
        <v>66</v>
      </c>
      <c r="Q91" t="s">
        <v>58</v>
      </c>
      <c r="R91">
        <v>65</v>
      </c>
      <c r="S91">
        <v>4.5999999999999996</v>
      </c>
      <c r="T91" t="b">
        <v>0</v>
      </c>
      <c r="U91" t="s">
        <v>30</v>
      </c>
      <c r="V91">
        <v>4647</v>
      </c>
      <c r="W91" t="s">
        <v>67</v>
      </c>
      <c r="X91" t="s">
        <v>70</v>
      </c>
      <c r="Y91" t="s">
        <v>33</v>
      </c>
    </row>
    <row r="92" spans="1:25" x14ac:dyDescent="0.35">
      <c r="A92">
        <v>9635</v>
      </c>
      <c r="B92" t="s">
        <v>142</v>
      </c>
      <c r="C92" s="1">
        <v>45278</v>
      </c>
      <c r="D92" s="1">
        <v>45622</v>
      </c>
      <c r="E92">
        <v>11</v>
      </c>
      <c r="F92">
        <v>11.99</v>
      </c>
      <c r="G92">
        <f t="shared" si="1"/>
        <v>131.89000000000001</v>
      </c>
      <c r="H92">
        <v>456</v>
      </c>
      <c r="I92" t="s">
        <v>64</v>
      </c>
      <c r="J92">
        <v>2</v>
      </c>
      <c r="K92">
        <v>5</v>
      </c>
      <c r="L92" t="b">
        <v>0</v>
      </c>
      <c r="M92">
        <v>734</v>
      </c>
      <c r="N92">
        <v>83</v>
      </c>
      <c r="O92" t="s">
        <v>50</v>
      </c>
      <c r="P92" t="s">
        <v>42</v>
      </c>
      <c r="Q92" t="s">
        <v>69</v>
      </c>
      <c r="R92">
        <v>87</v>
      </c>
      <c r="S92">
        <v>3.8</v>
      </c>
      <c r="T92" t="b">
        <v>1</v>
      </c>
      <c r="U92" t="s">
        <v>30</v>
      </c>
      <c r="V92">
        <v>581</v>
      </c>
      <c r="W92" t="s">
        <v>67</v>
      </c>
      <c r="X92" t="s">
        <v>32</v>
      </c>
      <c r="Y92" t="s">
        <v>39</v>
      </c>
    </row>
    <row r="93" spans="1:25" x14ac:dyDescent="0.35">
      <c r="A93">
        <v>1776</v>
      </c>
      <c r="B93" t="s">
        <v>143</v>
      </c>
      <c r="C93" s="1">
        <v>45221</v>
      </c>
      <c r="D93" s="1">
        <v>45616</v>
      </c>
      <c r="E93">
        <v>12</v>
      </c>
      <c r="F93">
        <v>15.99</v>
      </c>
      <c r="G93">
        <f t="shared" si="1"/>
        <v>191.88</v>
      </c>
      <c r="H93">
        <v>15</v>
      </c>
      <c r="I93" t="s">
        <v>64</v>
      </c>
      <c r="J93">
        <v>1</v>
      </c>
      <c r="K93">
        <v>4</v>
      </c>
      <c r="L93" t="b">
        <v>0</v>
      </c>
      <c r="M93">
        <v>687</v>
      </c>
      <c r="N93">
        <v>183</v>
      </c>
      <c r="O93" t="s">
        <v>76</v>
      </c>
      <c r="P93" t="s">
        <v>66</v>
      </c>
      <c r="Q93" t="s">
        <v>29</v>
      </c>
      <c r="R93">
        <v>46</v>
      </c>
      <c r="S93">
        <v>4.2</v>
      </c>
      <c r="T93" t="b">
        <v>1</v>
      </c>
      <c r="U93" t="s">
        <v>30</v>
      </c>
      <c r="V93">
        <v>1250</v>
      </c>
      <c r="W93" t="s">
        <v>37</v>
      </c>
      <c r="X93" t="s">
        <v>70</v>
      </c>
      <c r="Y93" t="s">
        <v>33</v>
      </c>
    </row>
    <row r="94" spans="1:25" x14ac:dyDescent="0.35">
      <c r="A94">
        <v>9703</v>
      </c>
      <c r="B94" t="s">
        <v>84</v>
      </c>
      <c r="C94" s="1">
        <v>45351</v>
      </c>
      <c r="D94" s="1">
        <v>45638</v>
      </c>
      <c r="E94">
        <v>9</v>
      </c>
      <c r="F94">
        <v>11.99</v>
      </c>
      <c r="G94">
        <f t="shared" si="1"/>
        <v>107.91</v>
      </c>
      <c r="H94">
        <v>410</v>
      </c>
      <c r="I94" t="s">
        <v>45</v>
      </c>
      <c r="J94">
        <v>3</v>
      </c>
      <c r="K94">
        <v>5</v>
      </c>
      <c r="L94" t="b">
        <v>0</v>
      </c>
      <c r="M94">
        <v>826</v>
      </c>
      <c r="N94">
        <v>182</v>
      </c>
      <c r="O94" t="s">
        <v>46</v>
      </c>
      <c r="P94" t="s">
        <v>66</v>
      </c>
      <c r="Q94" t="s">
        <v>58</v>
      </c>
      <c r="R94">
        <v>69</v>
      </c>
      <c r="S94">
        <v>4.2</v>
      </c>
      <c r="T94" t="b">
        <v>0</v>
      </c>
      <c r="U94" t="s">
        <v>30</v>
      </c>
      <c r="V94">
        <v>3441</v>
      </c>
      <c r="W94" t="s">
        <v>31</v>
      </c>
      <c r="X94" t="s">
        <v>32</v>
      </c>
      <c r="Y94" t="s">
        <v>39</v>
      </c>
    </row>
    <row r="95" spans="1:25" x14ac:dyDescent="0.35">
      <c r="A95">
        <v>3498</v>
      </c>
      <c r="B95" t="s">
        <v>144</v>
      </c>
      <c r="C95" s="1">
        <v>45180</v>
      </c>
      <c r="D95" s="1">
        <v>45627</v>
      </c>
      <c r="E95">
        <v>14</v>
      </c>
      <c r="F95">
        <v>15.99</v>
      </c>
      <c r="G95">
        <f t="shared" si="1"/>
        <v>223.86</v>
      </c>
      <c r="H95">
        <v>29</v>
      </c>
      <c r="I95" t="s">
        <v>35</v>
      </c>
      <c r="J95">
        <v>2</v>
      </c>
      <c r="K95">
        <v>4</v>
      </c>
      <c r="L95" t="b">
        <v>1</v>
      </c>
      <c r="M95">
        <v>450</v>
      </c>
      <c r="N95">
        <v>67</v>
      </c>
      <c r="O95" t="s">
        <v>50</v>
      </c>
      <c r="P95" t="s">
        <v>51</v>
      </c>
      <c r="Q95" t="s">
        <v>36</v>
      </c>
      <c r="R95">
        <v>52</v>
      </c>
      <c r="S95">
        <v>3.3</v>
      </c>
      <c r="T95" t="b">
        <v>0</v>
      </c>
      <c r="U95" t="s">
        <v>30</v>
      </c>
      <c r="V95">
        <v>3211</v>
      </c>
      <c r="W95" t="s">
        <v>31</v>
      </c>
      <c r="X95" t="s">
        <v>70</v>
      </c>
      <c r="Y95" t="s">
        <v>55</v>
      </c>
    </row>
    <row r="96" spans="1:25" x14ac:dyDescent="0.35">
      <c r="A96">
        <v>4260</v>
      </c>
      <c r="B96" t="s">
        <v>145</v>
      </c>
      <c r="C96" s="1">
        <v>45467</v>
      </c>
      <c r="D96" s="1">
        <v>45642</v>
      </c>
      <c r="E96">
        <v>5</v>
      </c>
      <c r="F96">
        <v>7.99</v>
      </c>
      <c r="G96">
        <f t="shared" si="1"/>
        <v>39.950000000000003</v>
      </c>
      <c r="H96">
        <v>427</v>
      </c>
      <c r="I96" t="s">
        <v>57</v>
      </c>
      <c r="J96">
        <v>1</v>
      </c>
      <c r="K96">
        <v>1</v>
      </c>
      <c r="L96" t="b">
        <v>0</v>
      </c>
      <c r="M96">
        <v>159</v>
      </c>
      <c r="N96">
        <v>98</v>
      </c>
      <c r="O96" t="s">
        <v>65</v>
      </c>
      <c r="P96" t="s">
        <v>51</v>
      </c>
      <c r="Q96" t="s">
        <v>52</v>
      </c>
      <c r="R96">
        <v>66</v>
      </c>
      <c r="S96">
        <v>3.3</v>
      </c>
      <c r="T96" t="b">
        <v>0</v>
      </c>
      <c r="U96" t="s">
        <v>30</v>
      </c>
      <c r="V96">
        <v>647</v>
      </c>
      <c r="W96" t="s">
        <v>31</v>
      </c>
      <c r="X96" t="s">
        <v>70</v>
      </c>
      <c r="Y96" t="s">
        <v>33</v>
      </c>
    </row>
    <row r="97" spans="1:25" x14ac:dyDescent="0.35">
      <c r="A97">
        <v>7152</v>
      </c>
      <c r="B97" t="s">
        <v>110</v>
      </c>
      <c r="C97" s="1">
        <v>44962</v>
      </c>
      <c r="D97" s="1">
        <v>45630</v>
      </c>
      <c r="E97">
        <v>21</v>
      </c>
      <c r="F97">
        <v>11.99</v>
      </c>
      <c r="G97">
        <f t="shared" si="1"/>
        <v>251.79</v>
      </c>
      <c r="H97">
        <v>166</v>
      </c>
      <c r="I97" t="s">
        <v>26</v>
      </c>
      <c r="J97">
        <v>5</v>
      </c>
      <c r="K97">
        <v>3</v>
      </c>
      <c r="L97" t="b">
        <v>0</v>
      </c>
      <c r="M97">
        <v>367</v>
      </c>
      <c r="N97">
        <v>198</v>
      </c>
      <c r="O97" t="s">
        <v>50</v>
      </c>
      <c r="P97" t="s">
        <v>42</v>
      </c>
      <c r="Q97" t="s">
        <v>29</v>
      </c>
      <c r="R97">
        <v>11</v>
      </c>
      <c r="S97">
        <v>4.5999999999999996</v>
      </c>
      <c r="T97" t="b">
        <v>1</v>
      </c>
      <c r="U97" t="s">
        <v>30</v>
      </c>
      <c r="V97">
        <v>3751</v>
      </c>
      <c r="W97" t="s">
        <v>59</v>
      </c>
      <c r="X97" t="s">
        <v>32</v>
      </c>
      <c r="Y97" t="s">
        <v>77</v>
      </c>
    </row>
    <row r="98" spans="1:25" x14ac:dyDescent="0.35">
      <c r="A98">
        <v>2457</v>
      </c>
      <c r="B98" t="s">
        <v>123</v>
      </c>
      <c r="C98" s="1">
        <v>45220</v>
      </c>
      <c r="D98" s="1">
        <v>45622</v>
      </c>
      <c r="E98">
        <v>13</v>
      </c>
      <c r="F98">
        <v>7.99</v>
      </c>
      <c r="G98">
        <f t="shared" si="1"/>
        <v>103.87</v>
      </c>
      <c r="H98">
        <v>192</v>
      </c>
      <c r="I98" t="s">
        <v>64</v>
      </c>
      <c r="J98">
        <v>1</v>
      </c>
      <c r="K98">
        <v>1</v>
      </c>
      <c r="L98" t="b">
        <v>0</v>
      </c>
      <c r="M98">
        <v>786</v>
      </c>
      <c r="N98">
        <v>140</v>
      </c>
      <c r="O98" t="s">
        <v>41</v>
      </c>
      <c r="P98" t="s">
        <v>42</v>
      </c>
      <c r="Q98" t="s">
        <v>69</v>
      </c>
      <c r="R98">
        <v>95</v>
      </c>
      <c r="S98">
        <v>3.4</v>
      </c>
      <c r="T98" t="b">
        <v>0</v>
      </c>
      <c r="U98" t="s">
        <v>30</v>
      </c>
      <c r="V98">
        <v>2925</v>
      </c>
      <c r="W98" t="s">
        <v>67</v>
      </c>
      <c r="X98" t="s">
        <v>38</v>
      </c>
      <c r="Y98" t="s">
        <v>33</v>
      </c>
    </row>
    <row r="99" spans="1:25" x14ac:dyDescent="0.35">
      <c r="A99">
        <v>8530</v>
      </c>
      <c r="B99" t="s">
        <v>146</v>
      </c>
      <c r="C99" s="1">
        <v>45010</v>
      </c>
      <c r="D99" s="1">
        <v>45630</v>
      </c>
      <c r="E99">
        <v>20</v>
      </c>
      <c r="F99">
        <v>11.99</v>
      </c>
      <c r="G99">
        <f t="shared" si="1"/>
        <v>239.8</v>
      </c>
      <c r="H99">
        <v>88</v>
      </c>
      <c r="I99" t="s">
        <v>48</v>
      </c>
      <c r="J99">
        <v>1</v>
      </c>
      <c r="K99">
        <v>6</v>
      </c>
      <c r="L99" t="b">
        <v>1</v>
      </c>
      <c r="M99">
        <v>962</v>
      </c>
      <c r="N99">
        <v>183</v>
      </c>
      <c r="O99" t="s">
        <v>61</v>
      </c>
      <c r="P99" t="s">
        <v>42</v>
      </c>
      <c r="Q99" t="s">
        <v>58</v>
      </c>
      <c r="R99">
        <v>90</v>
      </c>
      <c r="S99">
        <v>5</v>
      </c>
      <c r="T99" t="b">
        <v>0</v>
      </c>
      <c r="U99" t="s">
        <v>30</v>
      </c>
      <c r="V99">
        <v>4646</v>
      </c>
      <c r="W99" t="s">
        <v>53</v>
      </c>
      <c r="X99" t="s">
        <v>70</v>
      </c>
      <c r="Y99" t="s">
        <v>33</v>
      </c>
    </row>
    <row r="100" spans="1:25" x14ac:dyDescent="0.35">
      <c r="A100">
        <v>9131</v>
      </c>
      <c r="B100" t="s">
        <v>147</v>
      </c>
      <c r="C100" s="1">
        <v>45141</v>
      </c>
      <c r="D100" s="1">
        <v>45623</v>
      </c>
      <c r="E100">
        <v>15</v>
      </c>
      <c r="F100">
        <v>7.99</v>
      </c>
      <c r="G100">
        <f t="shared" si="1"/>
        <v>119.85000000000001</v>
      </c>
      <c r="H100">
        <v>127</v>
      </c>
      <c r="I100" t="s">
        <v>45</v>
      </c>
      <c r="J100">
        <v>2</v>
      </c>
      <c r="K100">
        <v>5</v>
      </c>
      <c r="L100" t="b">
        <v>0</v>
      </c>
      <c r="M100">
        <v>482</v>
      </c>
      <c r="N100">
        <v>5</v>
      </c>
      <c r="O100" t="s">
        <v>50</v>
      </c>
      <c r="P100" t="s">
        <v>66</v>
      </c>
      <c r="Q100" t="s">
        <v>58</v>
      </c>
      <c r="R100">
        <v>99</v>
      </c>
      <c r="S100">
        <v>3.6</v>
      </c>
      <c r="T100" t="b">
        <v>0</v>
      </c>
      <c r="U100" t="s">
        <v>30</v>
      </c>
      <c r="V100">
        <v>2867</v>
      </c>
      <c r="W100" t="s">
        <v>37</v>
      </c>
      <c r="X100" t="s">
        <v>38</v>
      </c>
      <c r="Y100" t="s">
        <v>77</v>
      </c>
    </row>
    <row r="101" spans="1:25" x14ac:dyDescent="0.35">
      <c r="A101">
        <v>9770</v>
      </c>
      <c r="B101" t="s">
        <v>148</v>
      </c>
      <c r="C101" s="1">
        <v>45227</v>
      </c>
      <c r="D101" s="1">
        <v>45620</v>
      </c>
      <c r="E101">
        <v>12</v>
      </c>
      <c r="F101">
        <v>7.99</v>
      </c>
      <c r="G101">
        <f t="shared" si="1"/>
        <v>95.88</v>
      </c>
      <c r="H101">
        <v>327</v>
      </c>
      <c r="I101" t="s">
        <v>81</v>
      </c>
      <c r="J101">
        <v>4</v>
      </c>
      <c r="K101">
        <v>3</v>
      </c>
      <c r="L101" t="b">
        <v>0</v>
      </c>
      <c r="M101">
        <v>451</v>
      </c>
      <c r="N101">
        <v>108</v>
      </c>
      <c r="O101" t="s">
        <v>46</v>
      </c>
      <c r="P101" t="s">
        <v>28</v>
      </c>
      <c r="Q101" t="s">
        <v>52</v>
      </c>
      <c r="R101">
        <v>91</v>
      </c>
      <c r="S101">
        <v>3.2</v>
      </c>
      <c r="T101" t="b">
        <v>1</v>
      </c>
      <c r="U101" t="s">
        <v>30</v>
      </c>
      <c r="V101">
        <v>4131</v>
      </c>
      <c r="W101" t="s">
        <v>53</v>
      </c>
      <c r="X101" t="s">
        <v>38</v>
      </c>
      <c r="Y101" t="s">
        <v>39</v>
      </c>
    </row>
    <row r="102" spans="1:25" x14ac:dyDescent="0.35">
      <c r="A102">
        <v>8095</v>
      </c>
      <c r="B102" t="s">
        <v>149</v>
      </c>
      <c r="C102" s="1">
        <v>45031</v>
      </c>
      <c r="D102" s="1">
        <v>45637</v>
      </c>
      <c r="E102">
        <v>19</v>
      </c>
      <c r="F102">
        <v>7.99</v>
      </c>
      <c r="G102">
        <f t="shared" si="1"/>
        <v>151.81</v>
      </c>
      <c r="H102">
        <v>10</v>
      </c>
      <c r="I102" t="s">
        <v>26</v>
      </c>
      <c r="J102">
        <v>2</v>
      </c>
      <c r="K102">
        <v>5</v>
      </c>
      <c r="L102" t="b">
        <v>1</v>
      </c>
      <c r="M102">
        <v>22</v>
      </c>
      <c r="N102">
        <v>14</v>
      </c>
      <c r="O102" t="s">
        <v>61</v>
      </c>
      <c r="P102" t="s">
        <v>42</v>
      </c>
      <c r="Q102" t="s">
        <v>58</v>
      </c>
      <c r="R102">
        <v>25</v>
      </c>
      <c r="S102">
        <v>4.0999999999999996</v>
      </c>
      <c r="T102" t="b">
        <v>1</v>
      </c>
      <c r="U102" t="s">
        <v>30</v>
      </c>
      <c r="V102">
        <v>2927</v>
      </c>
      <c r="W102" t="s">
        <v>53</v>
      </c>
      <c r="X102" t="s">
        <v>32</v>
      </c>
      <c r="Y102" t="s">
        <v>39</v>
      </c>
    </row>
    <row r="103" spans="1:25" x14ac:dyDescent="0.35">
      <c r="A103">
        <v>3763</v>
      </c>
      <c r="B103" t="s">
        <v>150</v>
      </c>
      <c r="C103" s="1">
        <v>44914</v>
      </c>
      <c r="D103" s="1">
        <v>45632</v>
      </c>
      <c r="E103">
        <v>23</v>
      </c>
      <c r="F103">
        <v>11.99</v>
      </c>
      <c r="G103">
        <f t="shared" si="1"/>
        <v>275.77</v>
      </c>
      <c r="H103">
        <v>181</v>
      </c>
      <c r="I103" t="s">
        <v>57</v>
      </c>
      <c r="J103">
        <v>4</v>
      </c>
      <c r="K103">
        <v>2</v>
      </c>
      <c r="L103" t="b">
        <v>0</v>
      </c>
      <c r="M103">
        <v>848</v>
      </c>
      <c r="N103">
        <v>172</v>
      </c>
      <c r="O103" t="s">
        <v>50</v>
      </c>
      <c r="P103" t="s">
        <v>66</v>
      </c>
      <c r="Q103" t="s">
        <v>43</v>
      </c>
      <c r="R103">
        <v>6</v>
      </c>
      <c r="S103">
        <v>3.4</v>
      </c>
      <c r="T103" t="b">
        <v>0</v>
      </c>
      <c r="U103" t="s">
        <v>30</v>
      </c>
      <c r="V103">
        <v>3314</v>
      </c>
      <c r="W103" t="s">
        <v>31</v>
      </c>
      <c r="X103" t="s">
        <v>70</v>
      </c>
      <c r="Y103" t="s">
        <v>55</v>
      </c>
    </row>
    <row r="104" spans="1:25" x14ac:dyDescent="0.35">
      <c r="A104">
        <v>4346</v>
      </c>
      <c r="B104" t="s">
        <v>151</v>
      </c>
      <c r="C104" s="1">
        <v>45336</v>
      </c>
      <c r="D104" s="1">
        <v>45638</v>
      </c>
      <c r="E104">
        <v>9</v>
      </c>
      <c r="F104">
        <v>15.99</v>
      </c>
      <c r="G104">
        <f t="shared" si="1"/>
        <v>143.91</v>
      </c>
      <c r="H104">
        <v>238</v>
      </c>
      <c r="I104" t="s">
        <v>26</v>
      </c>
      <c r="J104">
        <v>4</v>
      </c>
      <c r="K104">
        <v>2</v>
      </c>
      <c r="L104" t="b">
        <v>0</v>
      </c>
      <c r="M104">
        <v>524</v>
      </c>
      <c r="N104">
        <v>162</v>
      </c>
      <c r="O104" t="s">
        <v>27</v>
      </c>
      <c r="P104" t="s">
        <v>66</v>
      </c>
      <c r="Q104" t="s">
        <v>36</v>
      </c>
      <c r="R104">
        <v>20</v>
      </c>
      <c r="S104">
        <v>3</v>
      </c>
      <c r="T104" t="b">
        <v>1</v>
      </c>
      <c r="U104" t="s">
        <v>30</v>
      </c>
      <c r="V104">
        <v>1782</v>
      </c>
      <c r="W104" t="s">
        <v>31</v>
      </c>
      <c r="X104" t="s">
        <v>62</v>
      </c>
      <c r="Y104" t="s">
        <v>55</v>
      </c>
    </row>
    <row r="105" spans="1:25" x14ac:dyDescent="0.35">
      <c r="A105">
        <v>5866</v>
      </c>
      <c r="B105" t="s">
        <v>130</v>
      </c>
      <c r="C105" s="1">
        <v>45444</v>
      </c>
      <c r="D105" s="1">
        <v>45622</v>
      </c>
      <c r="E105">
        <v>5</v>
      </c>
      <c r="F105">
        <v>7.99</v>
      </c>
      <c r="G105">
        <f t="shared" si="1"/>
        <v>39.950000000000003</v>
      </c>
      <c r="H105">
        <v>380</v>
      </c>
      <c r="I105" t="s">
        <v>48</v>
      </c>
      <c r="J105">
        <v>2</v>
      </c>
      <c r="K105">
        <v>3</v>
      </c>
      <c r="L105" t="b">
        <v>0</v>
      </c>
      <c r="M105">
        <v>76</v>
      </c>
      <c r="N105">
        <v>25</v>
      </c>
      <c r="O105" t="s">
        <v>65</v>
      </c>
      <c r="P105" t="s">
        <v>28</v>
      </c>
      <c r="Q105" t="s">
        <v>29</v>
      </c>
      <c r="R105">
        <v>95</v>
      </c>
      <c r="S105">
        <v>4.2</v>
      </c>
      <c r="T105" t="b">
        <v>1</v>
      </c>
      <c r="U105" t="s">
        <v>30</v>
      </c>
      <c r="V105">
        <v>1938</v>
      </c>
      <c r="W105" t="s">
        <v>59</v>
      </c>
      <c r="X105" t="s">
        <v>70</v>
      </c>
      <c r="Y105" t="s">
        <v>77</v>
      </c>
    </row>
    <row r="106" spans="1:25" x14ac:dyDescent="0.35">
      <c r="A106">
        <v>5865</v>
      </c>
      <c r="B106" t="s">
        <v>152</v>
      </c>
      <c r="C106" s="1">
        <v>45130</v>
      </c>
      <c r="D106" s="1">
        <v>45620</v>
      </c>
      <c r="E106">
        <v>16</v>
      </c>
      <c r="F106">
        <v>11.99</v>
      </c>
      <c r="G106">
        <f t="shared" si="1"/>
        <v>191.84</v>
      </c>
      <c r="H106">
        <v>444</v>
      </c>
      <c r="I106" t="s">
        <v>45</v>
      </c>
      <c r="J106">
        <v>2</v>
      </c>
      <c r="K106">
        <v>3</v>
      </c>
      <c r="L106" t="b">
        <v>0</v>
      </c>
      <c r="M106">
        <v>959</v>
      </c>
      <c r="N106">
        <v>183</v>
      </c>
      <c r="O106" t="s">
        <v>65</v>
      </c>
      <c r="P106" t="s">
        <v>28</v>
      </c>
      <c r="Q106" t="s">
        <v>29</v>
      </c>
      <c r="R106">
        <v>93</v>
      </c>
      <c r="S106">
        <v>3.8</v>
      </c>
      <c r="T106" t="b">
        <v>0</v>
      </c>
      <c r="U106" t="s">
        <v>30</v>
      </c>
      <c r="V106">
        <v>3935</v>
      </c>
      <c r="W106" t="s">
        <v>53</v>
      </c>
      <c r="X106" t="s">
        <v>54</v>
      </c>
      <c r="Y106" t="s">
        <v>77</v>
      </c>
    </row>
    <row r="107" spans="1:25" x14ac:dyDescent="0.35">
      <c r="A107">
        <v>9398</v>
      </c>
      <c r="B107" t="s">
        <v>153</v>
      </c>
      <c r="C107" s="1">
        <v>45595</v>
      </c>
      <c r="D107" s="1">
        <v>45637</v>
      </c>
      <c r="E107">
        <v>1</v>
      </c>
      <c r="F107">
        <v>7.99</v>
      </c>
      <c r="G107">
        <f t="shared" si="1"/>
        <v>7.99</v>
      </c>
      <c r="H107">
        <v>83</v>
      </c>
      <c r="I107" t="s">
        <v>64</v>
      </c>
      <c r="J107">
        <v>3</v>
      </c>
      <c r="K107">
        <v>5</v>
      </c>
      <c r="L107" t="b">
        <v>1</v>
      </c>
      <c r="M107">
        <v>148</v>
      </c>
      <c r="N107">
        <v>154</v>
      </c>
      <c r="O107" t="s">
        <v>46</v>
      </c>
      <c r="P107" t="s">
        <v>51</v>
      </c>
      <c r="Q107" t="s">
        <v>29</v>
      </c>
      <c r="R107">
        <v>21</v>
      </c>
      <c r="S107">
        <v>3.1</v>
      </c>
      <c r="T107" t="b">
        <v>0</v>
      </c>
      <c r="U107" t="s">
        <v>30</v>
      </c>
      <c r="V107">
        <v>3206</v>
      </c>
      <c r="W107" t="s">
        <v>53</v>
      </c>
      <c r="X107" t="s">
        <v>62</v>
      </c>
      <c r="Y107" t="s">
        <v>33</v>
      </c>
    </row>
    <row r="108" spans="1:25" x14ac:dyDescent="0.35">
      <c r="A108">
        <v>9695</v>
      </c>
      <c r="B108" t="s">
        <v>154</v>
      </c>
      <c r="C108" s="1">
        <v>45268</v>
      </c>
      <c r="D108" s="1">
        <v>45644</v>
      </c>
      <c r="E108">
        <v>12</v>
      </c>
      <c r="F108">
        <v>7.99</v>
      </c>
      <c r="G108">
        <f t="shared" si="1"/>
        <v>95.88</v>
      </c>
      <c r="H108">
        <v>452</v>
      </c>
      <c r="I108" t="s">
        <v>48</v>
      </c>
      <c r="J108">
        <v>4</v>
      </c>
      <c r="K108">
        <v>4</v>
      </c>
      <c r="L108" t="b">
        <v>0</v>
      </c>
      <c r="M108">
        <v>338</v>
      </c>
      <c r="N108">
        <v>132</v>
      </c>
      <c r="O108" t="s">
        <v>61</v>
      </c>
      <c r="P108" t="s">
        <v>28</v>
      </c>
      <c r="Q108" t="s">
        <v>52</v>
      </c>
      <c r="R108">
        <v>63</v>
      </c>
      <c r="S108">
        <v>3.3</v>
      </c>
      <c r="T108" t="b">
        <v>0</v>
      </c>
      <c r="U108" t="s">
        <v>30</v>
      </c>
      <c r="V108">
        <v>2523</v>
      </c>
      <c r="W108" t="s">
        <v>31</v>
      </c>
      <c r="X108" t="s">
        <v>54</v>
      </c>
      <c r="Y108" t="s">
        <v>33</v>
      </c>
    </row>
    <row r="109" spans="1:25" x14ac:dyDescent="0.35">
      <c r="A109">
        <v>8805</v>
      </c>
      <c r="B109" t="s">
        <v>73</v>
      </c>
      <c r="C109" s="1">
        <v>45479</v>
      </c>
      <c r="D109" s="1">
        <v>45632</v>
      </c>
      <c r="E109">
        <v>5</v>
      </c>
      <c r="F109">
        <v>15.99</v>
      </c>
      <c r="G109">
        <f t="shared" si="1"/>
        <v>79.95</v>
      </c>
      <c r="H109">
        <v>53</v>
      </c>
      <c r="I109" t="s">
        <v>81</v>
      </c>
      <c r="J109">
        <v>4</v>
      </c>
      <c r="K109">
        <v>2</v>
      </c>
      <c r="L109" t="b">
        <v>1</v>
      </c>
      <c r="M109">
        <v>720</v>
      </c>
      <c r="N109">
        <v>37</v>
      </c>
      <c r="O109" t="s">
        <v>61</v>
      </c>
      <c r="P109" t="s">
        <v>28</v>
      </c>
      <c r="Q109" t="s">
        <v>52</v>
      </c>
      <c r="R109">
        <v>8</v>
      </c>
      <c r="S109">
        <v>4</v>
      </c>
      <c r="T109" t="b">
        <v>1</v>
      </c>
      <c r="U109" t="s">
        <v>30</v>
      </c>
      <c r="V109">
        <v>2727</v>
      </c>
      <c r="W109" t="s">
        <v>59</v>
      </c>
      <c r="X109" t="s">
        <v>70</v>
      </c>
      <c r="Y109" t="s">
        <v>39</v>
      </c>
    </row>
    <row r="110" spans="1:25" x14ac:dyDescent="0.35">
      <c r="A110">
        <v>8353</v>
      </c>
      <c r="B110" t="s">
        <v>107</v>
      </c>
      <c r="C110" s="1">
        <v>45097</v>
      </c>
      <c r="D110" s="1">
        <v>45615</v>
      </c>
      <c r="E110">
        <v>16</v>
      </c>
      <c r="F110">
        <v>15.99</v>
      </c>
      <c r="G110">
        <f t="shared" si="1"/>
        <v>255.84</v>
      </c>
      <c r="H110">
        <v>89</v>
      </c>
      <c r="I110" t="s">
        <v>81</v>
      </c>
      <c r="J110">
        <v>5</v>
      </c>
      <c r="K110">
        <v>3</v>
      </c>
      <c r="L110" t="b">
        <v>0</v>
      </c>
      <c r="M110">
        <v>387</v>
      </c>
      <c r="N110">
        <v>81</v>
      </c>
      <c r="O110" t="s">
        <v>61</v>
      </c>
      <c r="P110" t="s">
        <v>28</v>
      </c>
      <c r="Q110" t="s">
        <v>58</v>
      </c>
      <c r="R110">
        <v>87</v>
      </c>
      <c r="S110">
        <v>3.8</v>
      </c>
      <c r="T110" t="b">
        <v>1</v>
      </c>
      <c r="U110" t="s">
        <v>30</v>
      </c>
      <c r="V110">
        <v>2864</v>
      </c>
      <c r="W110" t="s">
        <v>67</v>
      </c>
      <c r="X110" t="s">
        <v>62</v>
      </c>
      <c r="Y110" t="s">
        <v>33</v>
      </c>
    </row>
    <row r="111" spans="1:25" x14ac:dyDescent="0.35">
      <c r="A111">
        <v>3178</v>
      </c>
      <c r="B111" t="s">
        <v>155</v>
      </c>
      <c r="C111" s="1">
        <v>45370</v>
      </c>
      <c r="D111" s="1">
        <v>45637</v>
      </c>
      <c r="E111">
        <v>8</v>
      </c>
      <c r="F111">
        <v>7.99</v>
      </c>
      <c r="G111">
        <f t="shared" si="1"/>
        <v>63.92</v>
      </c>
      <c r="H111">
        <v>359</v>
      </c>
      <c r="I111" t="s">
        <v>57</v>
      </c>
      <c r="J111">
        <v>5</v>
      </c>
      <c r="K111">
        <v>4</v>
      </c>
      <c r="L111" t="b">
        <v>0</v>
      </c>
      <c r="M111">
        <v>624</v>
      </c>
      <c r="N111">
        <v>107</v>
      </c>
      <c r="O111" t="s">
        <v>50</v>
      </c>
      <c r="P111" t="s">
        <v>42</v>
      </c>
      <c r="Q111" t="s">
        <v>52</v>
      </c>
      <c r="R111">
        <v>4</v>
      </c>
      <c r="S111">
        <v>3.1</v>
      </c>
      <c r="T111" t="b">
        <v>1</v>
      </c>
      <c r="U111" t="s">
        <v>30</v>
      </c>
      <c r="V111">
        <v>3698</v>
      </c>
      <c r="W111" t="s">
        <v>67</v>
      </c>
      <c r="X111" t="s">
        <v>62</v>
      </c>
      <c r="Y111" t="s">
        <v>77</v>
      </c>
    </row>
    <row r="112" spans="1:25" x14ac:dyDescent="0.35">
      <c r="A112">
        <v>4917</v>
      </c>
      <c r="B112" t="s">
        <v>156</v>
      </c>
      <c r="C112" s="1">
        <v>44976</v>
      </c>
      <c r="D112" s="1">
        <v>45616</v>
      </c>
      <c r="E112">
        <v>21</v>
      </c>
      <c r="F112">
        <v>11.99</v>
      </c>
      <c r="G112">
        <f t="shared" si="1"/>
        <v>251.79</v>
      </c>
      <c r="H112">
        <v>487</v>
      </c>
      <c r="I112" t="s">
        <v>57</v>
      </c>
      <c r="J112">
        <v>1</v>
      </c>
      <c r="K112">
        <v>4</v>
      </c>
      <c r="L112" t="b">
        <v>0</v>
      </c>
      <c r="M112">
        <v>636</v>
      </c>
      <c r="N112">
        <v>66</v>
      </c>
      <c r="O112" t="s">
        <v>61</v>
      </c>
      <c r="P112" t="s">
        <v>28</v>
      </c>
      <c r="Q112" t="s">
        <v>69</v>
      </c>
      <c r="R112">
        <v>78</v>
      </c>
      <c r="S112">
        <v>3.5</v>
      </c>
      <c r="T112" t="b">
        <v>0</v>
      </c>
      <c r="U112" t="s">
        <v>30</v>
      </c>
      <c r="V112">
        <v>1531</v>
      </c>
      <c r="W112" t="s">
        <v>31</v>
      </c>
      <c r="X112" t="s">
        <v>62</v>
      </c>
      <c r="Y112" t="s">
        <v>55</v>
      </c>
    </row>
    <row r="113" spans="1:25" x14ac:dyDescent="0.35">
      <c r="A113">
        <v>8878</v>
      </c>
      <c r="B113" t="s">
        <v>157</v>
      </c>
      <c r="C113" s="1">
        <v>45351</v>
      </c>
      <c r="D113" s="1">
        <v>45617</v>
      </c>
      <c r="E113">
        <v>8</v>
      </c>
      <c r="F113">
        <v>7.99</v>
      </c>
      <c r="G113">
        <f t="shared" si="1"/>
        <v>63.92</v>
      </c>
      <c r="H113">
        <v>337</v>
      </c>
      <c r="I113" t="s">
        <v>64</v>
      </c>
      <c r="J113">
        <v>5</v>
      </c>
      <c r="K113">
        <v>1</v>
      </c>
      <c r="L113" t="b">
        <v>1</v>
      </c>
      <c r="M113">
        <v>429</v>
      </c>
      <c r="N113">
        <v>190</v>
      </c>
      <c r="O113" t="s">
        <v>41</v>
      </c>
      <c r="P113" t="s">
        <v>51</v>
      </c>
      <c r="Q113" t="s">
        <v>43</v>
      </c>
      <c r="R113">
        <v>88</v>
      </c>
      <c r="S113">
        <v>4.8</v>
      </c>
      <c r="T113" t="b">
        <v>0</v>
      </c>
      <c r="U113" t="s">
        <v>30</v>
      </c>
      <c r="V113">
        <v>4884</v>
      </c>
      <c r="W113" t="s">
        <v>31</v>
      </c>
      <c r="X113" t="s">
        <v>32</v>
      </c>
      <c r="Y113" t="s">
        <v>77</v>
      </c>
    </row>
    <row r="114" spans="1:25" x14ac:dyDescent="0.35">
      <c r="A114">
        <v>3810</v>
      </c>
      <c r="B114" t="s">
        <v>158</v>
      </c>
      <c r="C114" s="1">
        <v>44974</v>
      </c>
      <c r="D114" s="1">
        <v>45630</v>
      </c>
      <c r="E114">
        <v>21</v>
      </c>
      <c r="F114">
        <v>15.99</v>
      </c>
      <c r="G114">
        <f t="shared" si="1"/>
        <v>335.79</v>
      </c>
      <c r="H114">
        <v>427</v>
      </c>
      <c r="I114" t="s">
        <v>57</v>
      </c>
      <c r="J114">
        <v>5</v>
      </c>
      <c r="K114">
        <v>3</v>
      </c>
      <c r="L114" t="b">
        <v>0</v>
      </c>
      <c r="M114">
        <v>832</v>
      </c>
      <c r="N114">
        <v>103</v>
      </c>
      <c r="O114" t="s">
        <v>61</v>
      </c>
      <c r="P114" t="s">
        <v>66</v>
      </c>
      <c r="Q114" t="s">
        <v>43</v>
      </c>
      <c r="R114">
        <v>79</v>
      </c>
      <c r="S114">
        <v>3.3</v>
      </c>
      <c r="T114" t="b">
        <v>0</v>
      </c>
      <c r="U114" t="s">
        <v>30</v>
      </c>
      <c r="V114">
        <v>3633</v>
      </c>
      <c r="W114" t="s">
        <v>31</v>
      </c>
      <c r="X114" t="s">
        <v>38</v>
      </c>
      <c r="Y114" t="s">
        <v>39</v>
      </c>
    </row>
    <row r="115" spans="1:25" x14ac:dyDescent="0.35">
      <c r="A115">
        <v>9353</v>
      </c>
      <c r="B115" t="s">
        <v>159</v>
      </c>
      <c r="C115" s="1">
        <v>45144</v>
      </c>
      <c r="D115" s="1">
        <v>45622</v>
      </c>
      <c r="E115">
        <v>15</v>
      </c>
      <c r="F115">
        <v>7.99</v>
      </c>
      <c r="G115">
        <f t="shared" si="1"/>
        <v>119.85000000000001</v>
      </c>
      <c r="H115">
        <v>397</v>
      </c>
      <c r="I115" t="s">
        <v>48</v>
      </c>
      <c r="J115">
        <v>4</v>
      </c>
      <c r="K115">
        <v>4</v>
      </c>
      <c r="L115" t="b">
        <v>1</v>
      </c>
      <c r="M115">
        <v>63</v>
      </c>
      <c r="N115">
        <v>126</v>
      </c>
      <c r="O115" t="s">
        <v>65</v>
      </c>
      <c r="P115" t="s">
        <v>42</v>
      </c>
      <c r="Q115" t="s">
        <v>43</v>
      </c>
      <c r="R115">
        <v>77</v>
      </c>
      <c r="S115">
        <v>3.9</v>
      </c>
      <c r="T115" t="b">
        <v>1</v>
      </c>
      <c r="U115" t="s">
        <v>30</v>
      </c>
      <c r="V115">
        <v>4719</v>
      </c>
      <c r="W115" t="s">
        <v>31</v>
      </c>
      <c r="X115" t="s">
        <v>38</v>
      </c>
      <c r="Y115" t="s">
        <v>77</v>
      </c>
    </row>
    <row r="116" spans="1:25" x14ac:dyDescent="0.35">
      <c r="A116">
        <v>1672</v>
      </c>
      <c r="B116" t="s">
        <v>160</v>
      </c>
      <c r="C116" s="1">
        <v>44916</v>
      </c>
      <c r="D116" s="1">
        <v>45624</v>
      </c>
      <c r="E116">
        <v>23</v>
      </c>
      <c r="F116">
        <v>15.99</v>
      </c>
      <c r="G116">
        <f t="shared" si="1"/>
        <v>367.77</v>
      </c>
      <c r="H116">
        <v>200</v>
      </c>
      <c r="I116" t="s">
        <v>57</v>
      </c>
      <c r="J116">
        <v>4</v>
      </c>
      <c r="K116">
        <v>1</v>
      </c>
      <c r="L116" t="b">
        <v>0</v>
      </c>
      <c r="M116">
        <v>52</v>
      </c>
      <c r="N116">
        <v>8</v>
      </c>
      <c r="O116" t="s">
        <v>76</v>
      </c>
      <c r="P116" t="s">
        <v>51</v>
      </c>
      <c r="Q116" t="s">
        <v>69</v>
      </c>
      <c r="R116">
        <v>17</v>
      </c>
      <c r="S116">
        <v>3.2</v>
      </c>
      <c r="T116" t="b">
        <v>1</v>
      </c>
      <c r="U116" t="s">
        <v>30</v>
      </c>
      <c r="V116">
        <v>3161</v>
      </c>
      <c r="W116" t="s">
        <v>53</v>
      </c>
      <c r="X116" t="s">
        <v>62</v>
      </c>
      <c r="Y116" t="s">
        <v>55</v>
      </c>
    </row>
    <row r="117" spans="1:25" x14ac:dyDescent="0.35">
      <c r="A117">
        <v>6650</v>
      </c>
      <c r="B117" t="s">
        <v>161</v>
      </c>
      <c r="C117" s="1">
        <v>45354</v>
      </c>
      <c r="D117" s="1">
        <v>45622</v>
      </c>
      <c r="E117">
        <v>8</v>
      </c>
      <c r="F117">
        <v>11.99</v>
      </c>
      <c r="G117">
        <f t="shared" si="1"/>
        <v>95.92</v>
      </c>
      <c r="H117">
        <v>464</v>
      </c>
      <c r="I117" t="s">
        <v>35</v>
      </c>
      <c r="J117">
        <v>2</v>
      </c>
      <c r="K117">
        <v>3</v>
      </c>
      <c r="L117" t="b">
        <v>1</v>
      </c>
      <c r="M117">
        <v>909</v>
      </c>
      <c r="N117">
        <v>165</v>
      </c>
      <c r="O117" t="s">
        <v>65</v>
      </c>
      <c r="P117" t="s">
        <v>66</v>
      </c>
      <c r="Q117" t="s">
        <v>52</v>
      </c>
      <c r="R117">
        <v>28</v>
      </c>
      <c r="S117">
        <v>3.6</v>
      </c>
      <c r="T117" t="b">
        <v>1</v>
      </c>
      <c r="U117" t="s">
        <v>30</v>
      </c>
      <c r="V117">
        <v>3607</v>
      </c>
      <c r="W117" t="s">
        <v>37</v>
      </c>
      <c r="X117" t="s">
        <v>54</v>
      </c>
      <c r="Y117" t="s">
        <v>39</v>
      </c>
    </row>
    <row r="118" spans="1:25" x14ac:dyDescent="0.35">
      <c r="A118">
        <v>2581</v>
      </c>
      <c r="B118" t="s">
        <v>162</v>
      </c>
      <c r="C118" s="1">
        <v>45029</v>
      </c>
      <c r="D118" s="1">
        <v>45628</v>
      </c>
      <c r="E118">
        <v>19</v>
      </c>
      <c r="F118">
        <v>15.99</v>
      </c>
      <c r="G118">
        <f t="shared" si="1"/>
        <v>303.81</v>
      </c>
      <c r="H118">
        <v>495</v>
      </c>
      <c r="I118" t="s">
        <v>48</v>
      </c>
      <c r="J118">
        <v>1</v>
      </c>
      <c r="K118">
        <v>3</v>
      </c>
      <c r="L118" t="b">
        <v>0</v>
      </c>
      <c r="M118">
        <v>704</v>
      </c>
      <c r="N118">
        <v>53</v>
      </c>
      <c r="O118" t="s">
        <v>46</v>
      </c>
      <c r="P118" t="s">
        <v>51</v>
      </c>
      <c r="Q118" t="s">
        <v>58</v>
      </c>
      <c r="R118">
        <v>94</v>
      </c>
      <c r="S118">
        <v>3.4</v>
      </c>
      <c r="T118" t="b">
        <v>0</v>
      </c>
      <c r="U118" t="s">
        <v>30</v>
      </c>
      <c r="V118">
        <v>944</v>
      </c>
      <c r="W118" t="s">
        <v>67</v>
      </c>
      <c r="X118" t="s">
        <v>70</v>
      </c>
      <c r="Y118" t="s">
        <v>39</v>
      </c>
    </row>
    <row r="119" spans="1:25" x14ac:dyDescent="0.35">
      <c r="A119">
        <v>6860</v>
      </c>
      <c r="B119" t="s">
        <v>163</v>
      </c>
      <c r="C119" s="1">
        <v>45333</v>
      </c>
      <c r="D119" s="1">
        <v>45642</v>
      </c>
      <c r="E119">
        <v>10</v>
      </c>
      <c r="F119">
        <v>7.99</v>
      </c>
      <c r="G119">
        <f t="shared" si="1"/>
        <v>79.900000000000006</v>
      </c>
      <c r="H119">
        <v>286</v>
      </c>
      <c r="I119" t="s">
        <v>35</v>
      </c>
      <c r="J119">
        <v>5</v>
      </c>
      <c r="K119">
        <v>4</v>
      </c>
      <c r="L119" t="b">
        <v>0</v>
      </c>
      <c r="M119">
        <v>751</v>
      </c>
      <c r="N119">
        <v>103</v>
      </c>
      <c r="O119" t="s">
        <v>46</v>
      </c>
      <c r="P119" t="s">
        <v>66</v>
      </c>
      <c r="Q119" t="s">
        <v>69</v>
      </c>
      <c r="R119">
        <v>33</v>
      </c>
      <c r="S119">
        <v>3.6</v>
      </c>
      <c r="T119" t="b">
        <v>0</v>
      </c>
      <c r="U119" t="s">
        <v>30</v>
      </c>
      <c r="V119">
        <v>2757</v>
      </c>
      <c r="W119" t="s">
        <v>53</v>
      </c>
      <c r="X119" t="s">
        <v>70</v>
      </c>
      <c r="Y119" t="s">
        <v>33</v>
      </c>
    </row>
    <row r="120" spans="1:25" x14ac:dyDescent="0.35">
      <c r="A120">
        <v>4584</v>
      </c>
      <c r="B120" t="s">
        <v>101</v>
      </c>
      <c r="C120" s="1">
        <v>45561</v>
      </c>
      <c r="D120" s="1">
        <v>45640</v>
      </c>
      <c r="E120">
        <v>2</v>
      </c>
      <c r="F120">
        <v>7.99</v>
      </c>
      <c r="G120">
        <f t="shared" si="1"/>
        <v>15.98</v>
      </c>
      <c r="H120">
        <v>446</v>
      </c>
      <c r="I120" t="s">
        <v>35</v>
      </c>
      <c r="J120">
        <v>3</v>
      </c>
      <c r="K120">
        <v>6</v>
      </c>
      <c r="L120" t="b">
        <v>0</v>
      </c>
      <c r="M120">
        <v>185</v>
      </c>
      <c r="N120">
        <v>134</v>
      </c>
      <c r="O120" t="s">
        <v>27</v>
      </c>
      <c r="P120" t="s">
        <v>51</v>
      </c>
      <c r="Q120" t="s">
        <v>52</v>
      </c>
      <c r="R120">
        <v>18</v>
      </c>
      <c r="S120">
        <v>3.3</v>
      </c>
      <c r="T120" t="b">
        <v>0</v>
      </c>
      <c r="U120" t="s">
        <v>30</v>
      </c>
      <c r="V120">
        <v>727</v>
      </c>
      <c r="W120" t="s">
        <v>31</v>
      </c>
      <c r="X120" t="s">
        <v>62</v>
      </c>
      <c r="Y120" t="s">
        <v>55</v>
      </c>
    </row>
    <row r="121" spans="1:25" x14ac:dyDescent="0.35">
      <c r="A121">
        <v>3354</v>
      </c>
      <c r="B121" t="s">
        <v>107</v>
      </c>
      <c r="C121" s="1">
        <v>45200</v>
      </c>
      <c r="D121" s="1">
        <v>45618</v>
      </c>
      <c r="E121">
        <v>13</v>
      </c>
      <c r="F121">
        <v>11.99</v>
      </c>
      <c r="G121">
        <f t="shared" si="1"/>
        <v>155.87</v>
      </c>
      <c r="H121">
        <v>342</v>
      </c>
      <c r="I121" t="s">
        <v>64</v>
      </c>
      <c r="J121">
        <v>2</v>
      </c>
      <c r="K121">
        <v>2</v>
      </c>
      <c r="L121" t="b">
        <v>0</v>
      </c>
      <c r="M121">
        <v>503</v>
      </c>
      <c r="N121">
        <v>6</v>
      </c>
      <c r="O121" t="s">
        <v>76</v>
      </c>
      <c r="P121" t="s">
        <v>28</v>
      </c>
      <c r="Q121" t="s">
        <v>69</v>
      </c>
      <c r="R121">
        <v>23</v>
      </c>
      <c r="S121">
        <v>3.2</v>
      </c>
      <c r="T121" t="b">
        <v>1</v>
      </c>
      <c r="U121" t="s">
        <v>30</v>
      </c>
      <c r="V121">
        <v>3496</v>
      </c>
      <c r="W121" t="s">
        <v>59</v>
      </c>
      <c r="X121" t="s">
        <v>62</v>
      </c>
      <c r="Y121" t="s">
        <v>77</v>
      </c>
    </row>
    <row r="122" spans="1:25" x14ac:dyDescent="0.35">
      <c r="A122">
        <v>4668</v>
      </c>
      <c r="B122" t="s">
        <v>164</v>
      </c>
      <c r="C122" s="1">
        <v>45643</v>
      </c>
      <c r="D122" s="1">
        <v>45635</v>
      </c>
      <c r="E122">
        <v>0</v>
      </c>
      <c r="F122">
        <v>11.99</v>
      </c>
      <c r="G122">
        <f t="shared" si="1"/>
        <v>0</v>
      </c>
      <c r="H122">
        <v>396</v>
      </c>
      <c r="I122" t="s">
        <v>45</v>
      </c>
      <c r="J122">
        <v>5</v>
      </c>
      <c r="K122">
        <v>5</v>
      </c>
      <c r="L122" t="b">
        <v>1</v>
      </c>
      <c r="M122">
        <v>549</v>
      </c>
      <c r="N122">
        <v>35</v>
      </c>
      <c r="O122" t="s">
        <v>41</v>
      </c>
      <c r="P122" t="s">
        <v>28</v>
      </c>
      <c r="Q122" t="s">
        <v>36</v>
      </c>
      <c r="R122">
        <v>66</v>
      </c>
      <c r="S122">
        <v>3.6</v>
      </c>
      <c r="T122" t="b">
        <v>1</v>
      </c>
      <c r="U122" t="s">
        <v>30</v>
      </c>
      <c r="V122">
        <v>4293</v>
      </c>
      <c r="W122" t="s">
        <v>59</v>
      </c>
      <c r="X122" t="s">
        <v>70</v>
      </c>
      <c r="Y122" t="s">
        <v>55</v>
      </c>
    </row>
    <row r="123" spans="1:25" x14ac:dyDescent="0.35">
      <c r="A123">
        <v>6684</v>
      </c>
      <c r="B123" t="s">
        <v>165</v>
      </c>
      <c r="C123" s="1">
        <v>45552</v>
      </c>
      <c r="D123" s="1">
        <v>45637</v>
      </c>
      <c r="E123">
        <v>2</v>
      </c>
      <c r="F123">
        <v>11.99</v>
      </c>
      <c r="G123">
        <f t="shared" si="1"/>
        <v>23.98</v>
      </c>
      <c r="H123">
        <v>491</v>
      </c>
      <c r="I123" t="s">
        <v>81</v>
      </c>
      <c r="J123">
        <v>1</v>
      </c>
      <c r="K123">
        <v>6</v>
      </c>
      <c r="L123" t="b">
        <v>1</v>
      </c>
      <c r="M123">
        <v>434</v>
      </c>
      <c r="N123">
        <v>182</v>
      </c>
      <c r="O123" t="s">
        <v>65</v>
      </c>
      <c r="P123" t="s">
        <v>66</v>
      </c>
      <c r="Q123" t="s">
        <v>52</v>
      </c>
      <c r="R123">
        <v>24</v>
      </c>
      <c r="S123">
        <v>4.0999999999999996</v>
      </c>
      <c r="T123" t="b">
        <v>0</v>
      </c>
      <c r="U123" t="s">
        <v>30</v>
      </c>
      <c r="V123">
        <v>1357</v>
      </c>
      <c r="W123" t="s">
        <v>67</v>
      </c>
      <c r="X123" t="s">
        <v>62</v>
      </c>
      <c r="Y123" t="s">
        <v>33</v>
      </c>
    </row>
    <row r="124" spans="1:25" x14ac:dyDescent="0.35">
      <c r="A124">
        <v>8058</v>
      </c>
      <c r="B124" t="s">
        <v>166</v>
      </c>
      <c r="C124" s="1">
        <v>45018</v>
      </c>
      <c r="D124" s="1">
        <v>45640</v>
      </c>
      <c r="E124">
        <v>20</v>
      </c>
      <c r="F124">
        <v>15.99</v>
      </c>
      <c r="G124">
        <f t="shared" si="1"/>
        <v>319.8</v>
      </c>
      <c r="H124">
        <v>239</v>
      </c>
      <c r="I124" t="s">
        <v>45</v>
      </c>
      <c r="J124">
        <v>4</v>
      </c>
      <c r="K124">
        <v>6</v>
      </c>
      <c r="L124" t="b">
        <v>0</v>
      </c>
      <c r="M124">
        <v>832</v>
      </c>
      <c r="N124">
        <v>134</v>
      </c>
      <c r="O124" t="s">
        <v>61</v>
      </c>
      <c r="P124" t="s">
        <v>66</v>
      </c>
      <c r="Q124" t="s">
        <v>52</v>
      </c>
      <c r="R124">
        <v>99</v>
      </c>
      <c r="S124">
        <v>4.5999999999999996</v>
      </c>
      <c r="T124" t="b">
        <v>1</v>
      </c>
      <c r="U124" t="s">
        <v>30</v>
      </c>
      <c r="V124">
        <v>3596</v>
      </c>
      <c r="W124" t="s">
        <v>37</v>
      </c>
      <c r="X124" t="s">
        <v>54</v>
      </c>
      <c r="Y124" t="s">
        <v>55</v>
      </c>
    </row>
    <row r="125" spans="1:25" x14ac:dyDescent="0.35">
      <c r="A125">
        <v>3035</v>
      </c>
      <c r="B125" t="s">
        <v>111</v>
      </c>
      <c r="C125" s="1">
        <v>45042</v>
      </c>
      <c r="D125" s="1">
        <v>45620</v>
      </c>
      <c r="E125">
        <v>18</v>
      </c>
      <c r="F125">
        <v>15.99</v>
      </c>
      <c r="G125">
        <f t="shared" si="1"/>
        <v>287.82</v>
      </c>
      <c r="H125">
        <v>106</v>
      </c>
      <c r="I125" t="s">
        <v>81</v>
      </c>
      <c r="J125">
        <v>3</v>
      </c>
      <c r="K125">
        <v>3</v>
      </c>
      <c r="L125" t="b">
        <v>1</v>
      </c>
      <c r="M125">
        <v>377</v>
      </c>
      <c r="N125">
        <v>31</v>
      </c>
      <c r="O125" t="s">
        <v>65</v>
      </c>
      <c r="P125" t="s">
        <v>51</v>
      </c>
      <c r="Q125" t="s">
        <v>58</v>
      </c>
      <c r="R125">
        <v>85</v>
      </c>
      <c r="S125">
        <v>3.5</v>
      </c>
      <c r="T125" t="b">
        <v>1</v>
      </c>
      <c r="U125" t="s">
        <v>30</v>
      </c>
      <c r="V125">
        <v>613</v>
      </c>
      <c r="W125" t="s">
        <v>37</v>
      </c>
      <c r="X125" t="s">
        <v>70</v>
      </c>
      <c r="Y125" t="s">
        <v>33</v>
      </c>
    </row>
    <row r="126" spans="1:25" x14ac:dyDescent="0.35">
      <c r="A126">
        <v>2146</v>
      </c>
      <c r="B126" t="s">
        <v>167</v>
      </c>
      <c r="C126" s="1">
        <v>45484</v>
      </c>
      <c r="D126" s="1">
        <v>45618</v>
      </c>
      <c r="E126">
        <v>4</v>
      </c>
      <c r="F126">
        <v>11.99</v>
      </c>
      <c r="G126">
        <f t="shared" si="1"/>
        <v>47.96</v>
      </c>
      <c r="H126">
        <v>388</v>
      </c>
      <c r="I126" t="s">
        <v>57</v>
      </c>
      <c r="J126">
        <v>5</v>
      </c>
      <c r="K126">
        <v>4</v>
      </c>
      <c r="L126" t="b">
        <v>1</v>
      </c>
      <c r="M126">
        <v>380</v>
      </c>
      <c r="N126">
        <v>125</v>
      </c>
      <c r="O126" t="s">
        <v>61</v>
      </c>
      <c r="P126" t="s">
        <v>28</v>
      </c>
      <c r="Q126" t="s">
        <v>36</v>
      </c>
      <c r="R126">
        <v>14</v>
      </c>
      <c r="S126">
        <v>3.2</v>
      </c>
      <c r="T126" t="b">
        <v>0</v>
      </c>
      <c r="U126" t="s">
        <v>30</v>
      </c>
      <c r="V126">
        <v>2381</v>
      </c>
      <c r="W126" t="s">
        <v>67</v>
      </c>
      <c r="X126" t="s">
        <v>38</v>
      </c>
      <c r="Y126" t="s">
        <v>77</v>
      </c>
    </row>
    <row r="127" spans="1:25" x14ac:dyDescent="0.35">
      <c r="A127">
        <v>5761</v>
      </c>
      <c r="B127" t="s">
        <v>168</v>
      </c>
      <c r="C127" s="1">
        <v>45311</v>
      </c>
      <c r="D127" s="1">
        <v>45634</v>
      </c>
      <c r="E127">
        <v>10</v>
      </c>
      <c r="F127">
        <v>15.99</v>
      </c>
      <c r="G127">
        <f t="shared" si="1"/>
        <v>159.9</v>
      </c>
      <c r="H127">
        <v>452</v>
      </c>
      <c r="I127" t="s">
        <v>35</v>
      </c>
      <c r="J127">
        <v>2</v>
      </c>
      <c r="K127">
        <v>5</v>
      </c>
      <c r="L127" t="b">
        <v>0</v>
      </c>
      <c r="M127">
        <v>315</v>
      </c>
      <c r="N127">
        <v>118</v>
      </c>
      <c r="O127" t="s">
        <v>50</v>
      </c>
      <c r="P127" t="s">
        <v>66</v>
      </c>
      <c r="Q127" t="s">
        <v>52</v>
      </c>
      <c r="R127">
        <v>28</v>
      </c>
      <c r="S127">
        <v>3</v>
      </c>
      <c r="T127" t="b">
        <v>1</v>
      </c>
      <c r="U127" t="s">
        <v>30</v>
      </c>
      <c r="V127">
        <v>2159</v>
      </c>
      <c r="W127" t="s">
        <v>37</v>
      </c>
      <c r="X127" t="s">
        <v>62</v>
      </c>
      <c r="Y127" t="s">
        <v>55</v>
      </c>
    </row>
    <row r="128" spans="1:25" x14ac:dyDescent="0.35">
      <c r="A128">
        <v>5256</v>
      </c>
      <c r="B128" t="s">
        <v>169</v>
      </c>
      <c r="C128" s="1">
        <v>45614</v>
      </c>
      <c r="D128" s="1">
        <v>45628</v>
      </c>
      <c r="E128">
        <v>0</v>
      </c>
      <c r="F128">
        <v>15.99</v>
      </c>
      <c r="G128">
        <f t="shared" si="1"/>
        <v>0</v>
      </c>
      <c r="H128">
        <v>368</v>
      </c>
      <c r="I128" t="s">
        <v>45</v>
      </c>
      <c r="J128">
        <v>4</v>
      </c>
      <c r="K128">
        <v>4</v>
      </c>
      <c r="L128" t="b">
        <v>1</v>
      </c>
      <c r="M128">
        <v>968</v>
      </c>
      <c r="N128">
        <v>24</v>
      </c>
      <c r="O128" t="s">
        <v>61</v>
      </c>
      <c r="P128" t="s">
        <v>42</v>
      </c>
      <c r="Q128" t="s">
        <v>43</v>
      </c>
      <c r="R128">
        <v>30</v>
      </c>
      <c r="S128">
        <v>3</v>
      </c>
      <c r="T128" t="b">
        <v>1</v>
      </c>
      <c r="U128" t="s">
        <v>30</v>
      </c>
      <c r="V128">
        <v>119</v>
      </c>
      <c r="W128" t="s">
        <v>67</v>
      </c>
      <c r="X128" t="s">
        <v>70</v>
      </c>
      <c r="Y128" t="s">
        <v>33</v>
      </c>
    </row>
    <row r="129" spans="1:25" x14ac:dyDescent="0.35">
      <c r="A129">
        <v>5995</v>
      </c>
      <c r="B129" t="s">
        <v>155</v>
      </c>
      <c r="C129" s="1">
        <v>45094</v>
      </c>
      <c r="D129" s="1">
        <v>45623</v>
      </c>
      <c r="E129">
        <v>17</v>
      </c>
      <c r="F129">
        <v>15.99</v>
      </c>
      <c r="G129">
        <f t="shared" si="1"/>
        <v>271.83</v>
      </c>
      <c r="H129">
        <v>325</v>
      </c>
      <c r="I129" t="s">
        <v>26</v>
      </c>
      <c r="J129">
        <v>2</v>
      </c>
      <c r="K129">
        <v>5</v>
      </c>
      <c r="L129" t="b">
        <v>1</v>
      </c>
      <c r="M129">
        <v>757</v>
      </c>
      <c r="N129">
        <v>35</v>
      </c>
      <c r="O129" t="s">
        <v>46</v>
      </c>
      <c r="P129" t="s">
        <v>51</v>
      </c>
      <c r="Q129" t="s">
        <v>43</v>
      </c>
      <c r="R129">
        <v>81</v>
      </c>
      <c r="S129">
        <v>4.5999999999999996</v>
      </c>
      <c r="T129" t="b">
        <v>0</v>
      </c>
      <c r="U129" t="s">
        <v>30</v>
      </c>
      <c r="V129">
        <v>2798</v>
      </c>
      <c r="W129" t="s">
        <v>31</v>
      </c>
      <c r="X129" t="s">
        <v>38</v>
      </c>
      <c r="Y129" t="s">
        <v>33</v>
      </c>
    </row>
    <row r="130" spans="1:25" x14ac:dyDescent="0.35">
      <c r="A130">
        <v>4155</v>
      </c>
      <c r="B130" t="s">
        <v>170</v>
      </c>
      <c r="C130" s="1">
        <v>44992</v>
      </c>
      <c r="D130" s="1">
        <v>45632</v>
      </c>
      <c r="E130">
        <v>20</v>
      </c>
      <c r="F130">
        <v>11.99</v>
      </c>
      <c r="G130">
        <f t="shared" si="1"/>
        <v>239.8</v>
      </c>
      <c r="H130">
        <v>42</v>
      </c>
      <c r="I130" t="s">
        <v>45</v>
      </c>
      <c r="J130">
        <v>4</v>
      </c>
      <c r="K130">
        <v>2</v>
      </c>
      <c r="L130" t="b">
        <v>0</v>
      </c>
      <c r="M130">
        <v>560</v>
      </c>
      <c r="N130">
        <v>98</v>
      </c>
      <c r="O130" t="s">
        <v>76</v>
      </c>
      <c r="P130" t="s">
        <v>42</v>
      </c>
      <c r="Q130" t="s">
        <v>43</v>
      </c>
      <c r="R130">
        <v>90</v>
      </c>
      <c r="S130">
        <v>3.8</v>
      </c>
      <c r="T130" t="b">
        <v>0</v>
      </c>
      <c r="U130" t="s">
        <v>30</v>
      </c>
      <c r="V130">
        <v>496</v>
      </c>
      <c r="W130" t="s">
        <v>59</v>
      </c>
      <c r="X130" t="s">
        <v>54</v>
      </c>
      <c r="Y130" t="s">
        <v>77</v>
      </c>
    </row>
    <row r="131" spans="1:25" x14ac:dyDescent="0.35">
      <c r="A131">
        <v>1851</v>
      </c>
      <c r="B131" t="s">
        <v>74</v>
      </c>
      <c r="C131" s="1">
        <v>45202</v>
      </c>
      <c r="D131" s="1">
        <v>45637</v>
      </c>
      <c r="E131">
        <v>14</v>
      </c>
      <c r="F131">
        <v>11.99</v>
      </c>
      <c r="G131">
        <f t="shared" ref="G131:G194" si="2">F131*E131</f>
        <v>167.86</v>
      </c>
      <c r="H131">
        <v>344</v>
      </c>
      <c r="I131" t="s">
        <v>57</v>
      </c>
      <c r="J131">
        <v>3</v>
      </c>
      <c r="K131">
        <v>1</v>
      </c>
      <c r="L131" t="b">
        <v>0</v>
      </c>
      <c r="M131">
        <v>456</v>
      </c>
      <c r="N131">
        <v>196</v>
      </c>
      <c r="O131" t="s">
        <v>76</v>
      </c>
      <c r="P131" t="s">
        <v>51</v>
      </c>
      <c r="Q131" t="s">
        <v>43</v>
      </c>
      <c r="R131">
        <v>83</v>
      </c>
      <c r="S131">
        <v>5</v>
      </c>
      <c r="T131" t="b">
        <v>0</v>
      </c>
      <c r="U131" t="s">
        <v>30</v>
      </c>
      <c r="V131">
        <v>3599</v>
      </c>
      <c r="W131" t="s">
        <v>37</v>
      </c>
      <c r="X131" t="s">
        <v>62</v>
      </c>
      <c r="Y131" t="s">
        <v>39</v>
      </c>
    </row>
    <row r="132" spans="1:25" x14ac:dyDescent="0.35">
      <c r="A132">
        <v>8068</v>
      </c>
      <c r="B132" t="s">
        <v>171</v>
      </c>
      <c r="C132" s="1">
        <v>45640</v>
      </c>
      <c r="D132" s="1">
        <v>45619</v>
      </c>
      <c r="E132">
        <v>0</v>
      </c>
      <c r="F132">
        <v>15.99</v>
      </c>
      <c r="G132">
        <f t="shared" si="2"/>
        <v>0</v>
      </c>
      <c r="H132">
        <v>77</v>
      </c>
      <c r="I132" t="s">
        <v>35</v>
      </c>
      <c r="J132">
        <v>5</v>
      </c>
      <c r="K132">
        <v>3</v>
      </c>
      <c r="L132" t="b">
        <v>0</v>
      </c>
      <c r="M132">
        <v>780</v>
      </c>
      <c r="N132">
        <v>138</v>
      </c>
      <c r="O132" t="s">
        <v>50</v>
      </c>
      <c r="P132" t="s">
        <v>66</v>
      </c>
      <c r="Q132" t="s">
        <v>69</v>
      </c>
      <c r="R132">
        <v>66</v>
      </c>
      <c r="S132">
        <v>3.4</v>
      </c>
      <c r="T132" t="b">
        <v>0</v>
      </c>
      <c r="U132" t="s">
        <v>30</v>
      </c>
      <c r="V132">
        <v>1752</v>
      </c>
      <c r="W132" t="s">
        <v>67</v>
      </c>
      <c r="X132" t="s">
        <v>54</v>
      </c>
      <c r="Y132" t="s">
        <v>77</v>
      </c>
    </row>
    <row r="133" spans="1:25" x14ac:dyDescent="0.35">
      <c r="A133">
        <v>8425</v>
      </c>
      <c r="B133" t="s">
        <v>34</v>
      </c>
      <c r="C133" s="1">
        <v>45610</v>
      </c>
      <c r="D133" s="1">
        <v>45624</v>
      </c>
      <c r="E133">
        <v>0</v>
      </c>
      <c r="F133">
        <v>7.99</v>
      </c>
      <c r="G133">
        <f t="shared" si="2"/>
        <v>0</v>
      </c>
      <c r="H133">
        <v>237</v>
      </c>
      <c r="I133" t="s">
        <v>64</v>
      </c>
      <c r="J133">
        <v>5</v>
      </c>
      <c r="K133">
        <v>3</v>
      </c>
      <c r="L133" t="b">
        <v>1</v>
      </c>
      <c r="M133">
        <v>168</v>
      </c>
      <c r="N133">
        <v>18</v>
      </c>
      <c r="O133" t="s">
        <v>61</v>
      </c>
      <c r="P133" t="s">
        <v>66</v>
      </c>
      <c r="Q133" t="s">
        <v>43</v>
      </c>
      <c r="R133">
        <v>32</v>
      </c>
      <c r="S133">
        <v>3.5</v>
      </c>
      <c r="T133" t="b">
        <v>1</v>
      </c>
      <c r="U133" t="s">
        <v>30</v>
      </c>
      <c r="V133">
        <v>3633</v>
      </c>
      <c r="W133" t="s">
        <v>59</v>
      </c>
      <c r="X133" t="s">
        <v>38</v>
      </c>
      <c r="Y133" t="s">
        <v>39</v>
      </c>
    </row>
    <row r="134" spans="1:25" x14ac:dyDescent="0.35">
      <c r="A134">
        <v>4706</v>
      </c>
      <c r="B134" t="s">
        <v>117</v>
      </c>
      <c r="C134" s="1">
        <v>44965</v>
      </c>
      <c r="D134" s="1">
        <v>45632</v>
      </c>
      <c r="E134">
        <v>21</v>
      </c>
      <c r="F134">
        <v>11.99</v>
      </c>
      <c r="G134">
        <f t="shared" si="2"/>
        <v>251.79</v>
      </c>
      <c r="H134">
        <v>480</v>
      </c>
      <c r="I134" t="s">
        <v>45</v>
      </c>
      <c r="J134">
        <v>1</v>
      </c>
      <c r="K134">
        <v>2</v>
      </c>
      <c r="L134" t="b">
        <v>1</v>
      </c>
      <c r="M134">
        <v>350</v>
      </c>
      <c r="N134">
        <v>122</v>
      </c>
      <c r="O134" t="s">
        <v>76</v>
      </c>
      <c r="P134" t="s">
        <v>28</v>
      </c>
      <c r="Q134" t="s">
        <v>52</v>
      </c>
      <c r="R134">
        <v>59</v>
      </c>
      <c r="S134">
        <v>4.5999999999999996</v>
      </c>
      <c r="T134" t="b">
        <v>0</v>
      </c>
      <c r="U134" t="s">
        <v>30</v>
      </c>
      <c r="V134">
        <v>3568</v>
      </c>
      <c r="W134" t="s">
        <v>37</v>
      </c>
      <c r="X134" t="s">
        <v>32</v>
      </c>
      <c r="Y134" t="s">
        <v>33</v>
      </c>
    </row>
    <row r="135" spans="1:25" x14ac:dyDescent="0.35">
      <c r="A135">
        <v>7544</v>
      </c>
      <c r="B135" t="s">
        <v>172</v>
      </c>
      <c r="C135" s="1">
        <v>45170</v>
      </c>
      <c r="D135" s="1">
        <v>45621</v>
      </c>
      <c r="E135">
        <v>14</v>
      </c>
      <c r="F135">
        <v>15.99</v>
      </c>
      <c r="G135">
        <f t="shared" si="2"/>
        <v>223.86</v>
      </c>
      <c r="H135">
        <v>152</v>
      </c>
      <c r="I135" t="s">
        <v>57</v>
      </c>
      <c r="J135">
        <v>1</v>
      </c>
      <c r="K135">
        <v>3</v>
      </c>
      <c r="L135" t="b">
        <v>0</v>
      </c>
      <c r="M135">
        <v>341</v>
      </c>
      <c r="N135">
        <v>193</v>
      </c>
      <c r="O135" t="s">
        <v>46</v>
      </c>
      <c r="P135" t="s">
        <v>51</v>
      </c>
      <c r="Q135" t="s">
        <v>43</v>
      </c>
      <c r="R135">
        <v>95</v>
      </c>
      <c r="S135">
        <v>3.7</v>
      </c>
      <c r="T135" t="b">
        <v>0</v>
      </c>
      <c r="U135" t="s">
        <v>30</v>
      </c>
      <c r="V135">
        <v>4361</v>
      </c>
      <c r="W135" t="s">
        <v>31</v>
      </c>
      <c r="X135" t="s">
        <v>62</v>
      </c>
      <c r="Y135" t="s">
        <v>77</v>
      </c>
    </row>
    <row r="136" spans="1:25" x14ac:dyDescent="0.35">
      <c r="A136">
        <v>4029</v>
      </c>
      <c r="B136" t="s">
        <v>173</v>
      </c>
      <c r="C136" s="1">
        <v>45580</v>
      </c>
      <c r="D136" s="1">
        <v>45620</v>
      </c>
      <c r="E136">
        <v>1</v>
      </c>
      <c r="F136">
        <v>11.99</v>
      </c>
      <c r="G136">
        <f t="shared" si="2"/>
        <v>11.99</v>
      </c>
      <c r="H136">
        <v>308</v>
      </c>
      <c r="I136" t="s">
        <v>35</v>
      </c>
      <c r="J136">
        <v>2</v>
      </c>
      <c r="K136">
        <v>3</v>
      </c>
      <c r="L136" t="b">
        <v>0</v>
      </c>
      <c r="M136">
        <v>392</v>
      </c>
      <c r="N136">
        <v>151</v>
      </c>
      <c r="O136" t="s">
        <v>41</v>
      </c>
      <c r="P136" t="s">
        <v>42</v>
      </c>
      <c r="Q136" t="s">
        <v>36</v>
      </c>
      <c r="R136">
        <v>27</v>
      </c>
      <c r="S136">
        <v>4.2</v>
      </c>
      <c r="T136" t="b">
        <v>1</v>
      </c>
      <c r="U136" t="s">
        <v>30</v>
      </c>
      <c r="V136">
        <v>1176</v>
      </c>
      <c r="W136" t="s">
        <v>31</v>
      </c>
      <c r="X136" t="s">
        <v>54</v>
      </c>
      <c r="Y136" t="s">
        <v>39</v>
      </c>
    </row>
    <row r="137" spans="1:25" x14ac:dyDescent="0.35">
      <c r="A137">
        <v>6117</v>
      </c>
      <c r="B137" t="s">
        <v>106</v>
      </c>
      <c r="C137" s="1">
        <v>45442</v>
      </c>
      <c r="D137" s="1">
        <v>45623</v>
      </c>
      <c r="E137">
        <v>5</v>
      </c>
      <c r="F137">
        <v>7.99</v>
      </c>
      <c r="G137">
        <f t="shared" si="2"/>
        <v>39.950000000000003</v>
      </c>
      <c r="H137">
        <v>14</v>
      </c>
      <c r="I137" t="s">
        <v>35</v>
      </c>
      <c r="J137">
        <v>5</v>
      </c>
      <c r="K137">
        <v>5</v>
      </c>
      <c r="L137" t="b">
        <v>1</v>
      </c>
      <c r="M137">
        <v>95</v>
      </c>
      <c r="N137">
        <v>158</v>
      </c>
      <c r="O137" t="s">
        <v>61</v>
      </c>
      <c r="P137" t="s">
        <v>51</v>
      </c>
      <c r="Q137" t="s">
        <v>29</v>
      </c>
      <c r="R137">
        <v>49</v>
      </c>
      <c r="S137">
        <v>3.9</v>
      </c>
      <c r="T137" t="b">
        <v>0</v>
      </c>
      <c r="U137" t="s">
        <v>30</v>
      </c>
      <c r="V137">
        <v>1849</v>
      </c>
      <c r="W137" t="s">
        <v>67</v>
      </c>
      <c r="X137" t="s">
        <v>54</v>
      </c>
      <c r="Y137" t="s">
        <v>39</v>
      </c>
    </row>
    <row r="138" spans="1:25" x14ac:dyDescent="0.35">
      <c r="A138">
        <v>1408</v>
      </c>
      <c r="B138" t="s">
        <v>174</v>
      </c>
      <c r="C138" s="1">
        <v>44949</v>
      </c>
      <c r="D138" s="1">
        <v>45616</v>
      </c>
      <c r="E138">
        <v>21</v>
      </c>
      <c r="F138">
        <v>11.99</v>
      </c>
      <c r="G138">
        <f t="shared" si="2"/>
        <v>251.79</v>
      </c>
      <c r="H138">
        <v>233</v>
      </c>
      <c r="I138" t="s">
        <v>35</v>
      </c>
      <c r="J138">
        <v>5</v>
      </c>
      <c r="K138">
        <v>6</v>
      </c>
      <c r="L138" t="b">
        <v>1</v>
      </c>
      <c r="M138">
        <v>186</v>
      </c>
      <c r="N138">
        <v>129</v>
      </c>
      <c r="O138" t="s">
        <v>50</v>
      </c>
      <c r="P138" t="s">
        <v>42</v>
      </c>
      <c r="Q138" t="s">
        <v>29</v>
      </c>
      <c r="R138">
        <v>38</v>
      </c>
      <c r="S138">
        <v>4</v>
      </c>
      <c r="T138" t="b">
        <v>1</v>
      </c>
      <c r="U138" t="s">
        <v>30</v>
      </c>
      <c r="V138">
        <v>3953</v>
      </c>
      <c r="W138" t="s">
        <v>59</v>
      </c>
      <c r="X138" t="s">
        <v>32</v>
      </c>
      <c r="Y138" t="s">
        <v>39</v>
      </c>
    </row>
    <row r="139" spans="1:25" x14ac:dyDescent="0.35">
      <c r="A139">
        <v>8396</v>
      </c>
      <c r="B139" t="s">
        <v>49</v>
      </c>
      <c r="C139" s="1">
        <v>45338</v>
      </c>
      <c r="D139" s="1">
        <v>45637</v>
      </c>
      <c r="E139">
        <v>9</v>
      </c>
      <c r="F139">
        <v>7.99</v>
      </c>
      <c r="G139">
        <f t="shared" si="2"/>
        <v>71.91</v>
      </c>
      <c r="H139">
        <v>169</v>
      </c>
      <c r="I139" t="s">
        <v>48</v>
      </c>
      <c r="J139">
        <v>1</v>
      </c>
      <c r="K139">
        <v>5</v>
      </c>
      <c r="L139" t="b">
        <v>0</v>
      </c>
      <c r="M139">
        <v>543</v>
      </c>
      <c r="N139">
        <v>111</v>
      </c>
      <c r="O139" t="s">
        <v>65</v>
      </c>
      <c r="P139" t="s">
        <v>28</v>
      </c>
      <c r="Q139" t="s">
        <v>69</v>
      </c>
      <c r="R139">
        <v>28</v>
      </c>
      <c r="S139">
        <v>3.7</v>
      </c>
      <c r="T139" t="b">
        <v>0</v>
      </c>
      <c r="U139" t="s">
        <v>30</v>
      </c>
      <c r="V139">
        <v>3277</v>
      </c>
      <c r="W139" t="s">
        <v>53</v>
      </c>
      <c r="X139" t="s">
        <v>70</v>
      </c>
      <c r="Y139" t="s">
        <v>39</v>
      </c>
    </row>
    <row r="140" spans="1:25" x14ac:dyDescent="0.35">
      <c r="A140">
        <v>6806</v>
      </c>
      <c r="B140" t="s">
        <v>175</v>
      </c>
      <c r="C140" s="1">
        <v>45278</v>
      </c>
      <c r="D140" s="1">
        <v>45619</v>
      </c>
      <c r="E140">
        <v>11</v>
      </c>
      <c r="F140">
        <v>7.99</v>
      </c>
      <c r="G140">
        <f t="shared" si="2"/>
        <v>87.89</v>
      </c>
      <c r="H140">
        <v>358</v>
      </c>
      <c r="I140" t="s">
        <v>26</v>
      </c>
      <c r="J140">
        <v>2</v>
      </c>
      <c r="K140">
        <v>3</v>
      </c>
      <c r="L140" t="b">
        <v>1</v>
      </c>
      <c r="M140">
        <v>858</v>
      </c>
      <c r="N140">
        <v>65</v>
      </c>
      <c r="O140" t="s">
        <v>65</v>
      </c>
      <c r="P140" t="s">
        <v>42</v>
      </c>
      <c r="Q140" t="s">
        <v>43</v>
      </c>
      <c r="R140">
        <v>5</v>
      </c>
      <c r="S140">
        <v>4.5999999999999996</v>
      </c>
      <c r="T140" t="b">
        <v>1</v>
      </c>
      <c r="U140" t="s">
        <v>30</v>
      </c>
      <c r="V140">
        <v>1572</v>
      </c>
      <c r="W140" t="s">
        <v>59</v>
      </c>
      <c r="X140" t="s">
        <v>62</v>
      </c>
      <c r="Y140" t="s">
        <v>77</v>
      </c>
    </row>
    <row r="141" spans="1:25" x14ac:dyDescent="0.35">
      <c r="A141">
        <v>3496</v>
      </c>
      <c r="B141" t="s">
        <v>158</v>
      </c>
      <c r="C141" s="1">
        <v>45254</v>
      </c>
      <c r="D141" s="1">
        <v>45637</v>
      </c>
      <c r="E141">
        <v>12</v>
      </c>
      <c r="F141">
        <v>11.99</v>
      </c>
      <c r="G141">
        <f t="shared" si="2"/>
        <v>143.88</v>
      </c>
      <c r="H141">
        <v>404</v>
      </c>
      <c r="I141" t="s">
        <v>35</v>
      </c>
      <c r="J141">
        <v>4</v>
      </c>
      <c r="K141">
        <v>6</v>
      </c>
      <c r="L141" t="b">
        <v>0</v>
      </c>
      <c r="M141">
        <v>906</v>
      </c>
      <c r="N141">
        <v>43</v>
      </c>
      <c r="O141" t="s">
        <v>50</v>
      </c>
      <c r="P141" t="s">
        <v>28</v>
      </c>
      <c r="Q141" t="s">
        <v>36</v>
      </c>
      <c r="R141">
        <v>59</v>
      </c>
      <c r="S141">
        <v>4.9000000000000004</v>
      </c>
      <c r="T141" t="b">
        <v>1</v>
      </c>
      <c r="U141" t="s">
        <v>30</v>
      </c>
      <c r="V141">
        <v>2676</v>
      </c>
      <c r="W141" t="s">
        <v>67</v>
      </c>
      <c r="X141" t="s">
        <v>38</v>
      </c>
      <c r="Y141" t="s">
        <v>55</v>
      </c>
    </row>
    <row r="142" spans="1:25" x14ac:dyDescent="0.35">
      <c r="A142">
        <v>7840</v>
      </c>
      <c r="B142" t="s">
        <v>176</v>
      </c>
      <c r="C142" s="1">
        <v>45324</v>
      </c>
      <c r="D142" s="1">
        <v>45637</v>
      </c>
      <c r="E142">
        <v>10</v>
      </c>
      <c r="F142">
        <v>15.99</v>
      </c>
      <c r="G142">
        <f t="shared" si="2"/>
        <v>159.9</v>
      </c>
      <c r="H142">
        <v>131</v>
      </c>
      <c r="I142" t="s">
        <v>64</v>
      </c>
      <c r="J142">
        <v>5</v>
      </c>
      <c r="K142">
        <v>3</v>
      </c>
      <c r="L142" t="b">
        <v>1</v>
      </c>
      <c r="M142">
        <v>808</v>
      </c>
      <c r="N142">
        <v>48</v>
      </c>
      <c r="O142" t="s">
        <v>46</v>
      </c>
      <c r="P142" t="s">
        <v>28</v>
      </c>
      <c r="Q142" t="s">
        <v>29</v>
      </c>
      <c r="R142">
        <v>55</v>
      </c>
      <c r="S142">
        <v>3.3</v>
      </c>
      <c r="T142" t="b">
        <v>1</v>
      </c>
      <c r="U142" t="s">
        <v>30</v>
      </c>
      <c r="V142">
        <v>3053</v>
      </c>
      <c r="W142" t="s">
        <v>53</v>
      </c>
      <c r="X142" t="s">
        <v>70</v>
      </c>
      <c r="Y142" t="s">
        <v>77</v>
      </c>
    </row>
    <row r="143" spans="1:25" x14ac:dyDescent="0.35">
      <c r="A143">
        <v>2099</v>
      </c>
      <c r="B143" t="s">
        <v>111</v>
      </c>
      <c r="C143" s="1">
        <v>45493</v>
      </c>
      <c r="D143" s="1">
        <v>45619</v>
      </c>
      <c r="E143">
        <v>4</v>
      </c>
      <c r="F143">
        <v>11.99</v>
      </c>
      <c r="G143">
        <f t="shared" si="2"/>
        <v>47.96</v>
      </c>
      <c r="H143">
        <v>32</v>
      </c>
      <c r="I143" t="s">
        <v>35</v>
      </c>
      <c r="J143">
        <v>1</v>
      </c>
      <c r="K143">
        <v>6</v>
      </c>
      <c r="L143" t="b">
        <v>1</v>
      </c>
      <c r="M143">
        <v>84</v>
      </c>
      <c r="N143">
        <v>73</v>
      </c>
      <c r="O143" t="s">
        <v>65</v>
      </c>
      <c r="P143" t="s">
        <v>66</v>
      </c>
      <c r="Q143" t="s">
        <v>29</v>
      </c>
      <c r="R143">
        <v>59</v>
      </c>
      <c r="S143">
        <v>3.6</v>
      </c>
      <c r="T143" t="b">
        <v>1</v>
      </c>
      <c r="U143" t="s">
        <v>30</v>
      </c>
      <c r="V143">
        <v>2620</v>
      </c>
      <c r="W143" t="s">
        <v>37</v>
      </c>
      <c r="X143" t="s">
        <v>32</v>
      </c>
      <c r="Y143" t="s">
        <v>55</v>
      </c>
    </row>
    <row r="144" spans="1:25" x14ac:dyDescent="0.35">
      <c r="A144">
        <v>6518</v>
      </c>
      <c r="B144" t="s">
        <v>177</v>
      </c>
      <c r="C144" s="1">
        <v>45617</v>
      </c>
      <c r="D144" s="1">
        <v>45633</v>
      </c>
      <c r="E144">
        <v>0</v>
      </c>
      <c r="F144">
        <v>7.99</v>
      </c>
      <c r="G144">
        <f t="shared" si="2"/>
        <v>0</v>
      </c>
      <c r="H144">
        <v>478</v>
      </c>
      <c r="I144" t="s">
        <v>26</v>
      </c>
      <c r="J144">
        <v>5</v>
      </c>
      <c r="K144">
        <v>3</v>
      </c>
      <c r="L144" t="b">
        <v>1</v>
      </c>
      <c r="M144">
        <v>780</v>
      </c>
      <c r="N144">
        <v>78</v>
      </c>
      <c r="O144" t="s">
        <v>46</v>
      </c>
      <c r="P144" t="s">
        <v>28</v>
      </c>
      <c r="Q144" t="s">
        <v>52</v>
      </c>
      <c r="R144">
        <v>66</v>
      </c>
      <c r="S144">
        <v>4</v>
      </c>
      <c r="T144" t="b">
        <v>0</v>
      </c>
      <c r="U144" t="s">
        <v>30</v>
      </c>
      <c r="V144">
        <v>4068</v>
      </c>
      <c r="W144" t="s">
        <v>53</v>
      </c>
      <c r="X144" t="s">
        <v>32</v>
      </c>
      <c r="Y144" t="s">
        <v>55</v>
      </c>
    </row>
    <row r="145" spans="1:25" x14ac:dyDescent="0.35">
      <c r="A145">
        <v>1976</v>
      </c>
      <c r="B145" t="s">
        <v>163</v>
      </c>
      <c r="C145" s="1">
        <v>45585</v>
      </c>
      <c r="D145" s="1">
        <v>45642</v>
      </c>
      <c r="E145">
        <v>1</v>
      </c>
      <c r="F145">
        <v>11.99</v>
      </c>
      <c r="G145">
        <f t="shared" si="2"/>
        <v>11.99</v>
      </c>
      <c r="H145">
        <v>88</v>
      </c>
      <c r="I145" t="s">
        <v>45</v>
      </c>
      <c r="J145">
        <v>3</v>
      </c>
      <c r="K145">
        <v>1</v>
      </c>
      <c r="L145" t="b">
        <v>0</v>
      </c>
      <c r="M145">
        <v>247</v>
      </c>
      <c r="N145">
        <v>30</v>
      </c>
      <c r="O145" t="s">
        <v>46</v>
      </c>
      <c r="P145" t="s">
        <v>42</v>
      </c>
      <c r="Q145" t="s">
        <v>43</v>
      </c>
      <c r="R145">
        <v>46</v>
      </c>
      <c r="S145">
        <v>4.7</v>
      </c>
      <c r="T145" t="b">
        <v>1</v>
      </c>
      <c r="U145" t="s">
        <v>30</v>
      </c>
      <c r="V145">
        <v>172</v>
      </c>
      <c r="W145" t="s">
        <v>67</v>
      </c>
      <c r="X145" t="s">
        <v>38</v>
      </c>
      <c r="Y145" t="s">
        <v>55</v>
      </c>
    </row>
    <row r="146" spans="1:25" x14ac:dyDescent="0.35">
      <c r="A146">
        <v>8777</v>
      </c>
      <c r="B146" t="s">
        <v>178</v>
      </c>
      <c r="C146" s="1">
        <v>45333</v>
      </c>
      <c r="D146" s="1">
        <v>45623</v>
      </c>
      <c r="E146">
        <v>9</v>
      </c>
      <c r="F146">
        <v>11.99</v>
      </c>
      <c r="G146">
        <f t="shared" si="2"/>
        <v>107.91</v>
      </c>
      <c r="H146">
        <v>395</v>
      </c>
      <c r="I146" t="s">
        <v>45</v>
      </c>
      <c r="J146">
        <v>4</v>
      </c>
      <c r="K146">
        <v>4</v>
      </c>
      <c r="L146" t="b">
        <v>0</v>
      </c>
      <c r="M146">
        <v>190</v>
      </c>
      <c r="N146">
        <v>105</v>
      </c>
      <c r="O146" t="s">
        <v>76</v>
      </c>
      <c r="P146" t="s">
        <v>51</v>
      </c>
      <c r="Q146" t="s">
        <v>36</v>
      </c>
      <c r="R146">
        <v>67</v>
      </c>
      <c r="S146">
        <v>4.0999999999999996</v>
      </c>
      <c r="T146" t="b">
        <v>0</v>
      </c>
      <c r="U146" t="s">
        <v>30</v>
      </c>
      <c r="V146">
        <v>1040</v>
      </c>
      <c r="W146" t="s">
        <v>31</v>
      </c>
      <c r="X146" t="s">
        <v>62</v>
      </c>
      <c r="Y146" t="s">
        <v>39</v>
      </c>
    </row>
    <row r="147" spans="1:25" x14ac:dyDescent="0.35">
      <c r="A147">
        <v>1576</v>
      </c>
      <c r="B147" t="s">
        <v>115</v>
      </c>
      <c r="C147" s="1">
        <v>45004</v>
      </c>
      <c r="D147" s="1">
        <v>45616</v>
      </c>
      <c r="E147">
        <v>20</v>
      </c>
      <c r="F147">
        <v>11.99</v>
      </c>
      <c r="G147">
        <f t="shared" si="2"/>
        <v>239.8</v>
      </c>
      <c r="H147">
        <v>385</v>
      </c>
      <c r="I147" t="s">
        <v>35</v>
      </c>
      <c r="J147">
        <v>4</v>
      </c>
      <c r="K147">
        <v>1</v>
      </c>
      <c r="L147" t="b">
        <v>1</v>
      </c>
      <c r="M147">
        <v>390</v>
      </c>
      <c r="N147">
        <v>163</v>
      </c>
      <c r="O147" t="s">
        <v>61</v>
      </c>
      <c r="P147" t="s">
        <v>66</v>
      </c>
      <c r="Q147" t="s">
        <v>69</v>
      </c>
      <c r="R147">
        <v>43</v>
      </c>
      <c r="S147">
        <v>3.3</v>
      </c>
      <c r="T147" t="b">
        <v>0</v>
      </c>
      <c r="U147" t="s">
        <v>30</v>
      </c>
      <c r="V147">
        <v>3574</v>
      </c>
      <c r="W147" t="s">
        <v>53</v>
      </c>
      <c r="X147" t="s">
        <v>38</v>
      </c>
      <c r="Y147" t="s">
        <v>77</v>
      </c>
    </row>
    <row r="148" spans="1:25" x14ac:dyDescent="0.35">
      <c r="A148">
        <v>7979</v>
      </c>
      <c r="B148" t="s">
        <v>179</v>
      </c>
      <c r="C148" s="1">
        <v>45049</v>
      </c>
      <c r="D148" s="1">
        <v>45623</v>
      </c>
      <c r="E148">
        <v>18</v>
      </c>
      <c r="F148">
        <v>11.99</v>
      </c>
      <c r="G148">
        <f t="shared" si="2"/>
        <v>215.82</v>
      </c>
      <c r="H148">
        <v>280</v>
      </c>
      <c r="I148" t="s">
        <v>45</v>
      </c>
      <c r="J148">
        <v>4</v>
      </c>
      <c r="K148">
        <v>5</v>
      </c>
      <c r="L148" t="b">
        <v>1</v>
      </c>
      <c r="M148">
        <v>203</v>
      </c>
      <c r="N148">
        <v>50</v>
      </c>
      <c r="O148" t="s">
        <v>76</v>
      </c>
      <c r="P148" t="s">
        <v>28</v>
      </c>
      <c r="Q148" t="s">
        <v>52</v>
      </c>
      <c r="R148">
        <v>12</v>
      </c>
      <c r="S148">
        <v>3.4</v>
      </c>
      <c r="T148" t="b">
        <v>1</v>
      </c>
      <c r="U148" t="s">
        <v>30</v>
      </c>
      <c r="V148">
        <v>3659</v>
      </c>
      <c r="W148" t="s">
        <v>31</v>
      </c>
      <c r="X148" t="s">
        <v>38</v>
      </c>
      <c r="Y148" t="s">
        <v>55</v>
      </c>
    </row>
    <row r="149" spans="1:25" x14ac:dyDescent="0.35">
      <c r="A149">
        <v>6300</v>
      </c>
      <c r="B149" t="s">
        <v>180</v>
      </c>
      <c r="C149" s="1">
        <v>45189</v>
      </c>
      <c r="D149" s="1">
        <v>45635</v>
      </c>
      <c r="E149">
        <v>14</v>
      </c>
      <c r="F149">
        <v>15.99</v>
      </c>
      <c r="G149">
        <f t="shared" si="2"/>
        <v>223.86</v>
      </c>
      <c r="H149">
        <v>164</v>
      </c>
      <c r="I149" t="s">
        <v>26</v>
      </c>
      <c r="J149">
        <v>3</v>
      </c>
      <c r="K149">
        <v>5</v>
      </c>
      <c r="L149" t="b">
        <v>0</v>
      </c>
      <c r="M149">
        <v>161</v>
      </c>
      <c r="N149">
        <v>77</v>
      </c>
      <c r="O149" t="s">
        <v>61</v>
      </c>
      <c r="P149" t="s">
        <v>66</v>
      </c>
      <c r="Q149" t="s">
        <v>36</v>
      </c>
      <c r="R149">
        <v>97</v>
      </c>
      <c r="S149">
        <v>3.7</v>
      </c>
      <c r="T149" t="b">
        <v>1</v>
      </c>
      <c r="U149" t="s">
        <v>30</v>
      </c>
      <c r="V149">
        <v>1991</v>
      </c>
      <c r="W149" t="s">
        <v>59</v>
      </c>
      <c r="X149" t="s">
        <v>62</v>
      </c>
      <c r="Y149" t="s">
        <v>33</v>
      </c>
    </row>
    <row r="150" spans="1:25" x14ac:dyDescent="0.35">
      <c r="A150">
        <v>1003</v>
      </c>
      <c r="B150" t="s">
        <v>181</v>
      </c>
      <c r="C150" s="1">
        <v>45638</v>
      </c>
      <c r="D150" s="1">
        <v>45618</v>
      </c>
      <c r="E150">
        <v>0</v>
      </c>
      <c r="F150">
        <v>11.99</v>
      </c>
      <c r="G150">
        <f t="shared" si="2"/>
        <v>0</v>
      </c>
      <c r="H150">
        <v>433</v>
      </c>
      <c r="I150" t="s">
        <v>57</v>
      </c>
      <c r="J150">
        <v>5</v>
      </c>
      <c r="K150">
        <v>4</v>
      </c>
      <c r="L150" t="b">
        <v>0</v>
      </c>
      <c r="M150">
        <v>350</v>
      </c>
      <c r="N150">
        <v>2</v>
      </c>
      <c r="O150" t="s">
        <v>65</v>
      </c>
      <c r="P150" t="s">
        <v>66</v>
      </c>
      <c r="Q150" t="s">
        <v>52</v>
      </c>
      <c r="R150">
        <v>41</v>
      </c>
      <c r="S150">
        <v>3.1</v>
      </c>
      <c r="T150" t="b">
        <v>1</v>
      </c>
      <c r="U150" t="s">
        <v>30</v>
      </c>
      <c r="V150">
        <v>2043</v>
      </c>
      <c r="W150" t="s">
        <v>31</v>
      </c>
      <c r="X150" t="s">
        <v>32</v>
      </c>
      <c r="Y150" t="s">
        <v>33</v>
      </c>
    </row>
    <row r="151" spans="1:25" x14ac:dyDescent="0.35">
      <c r="A151">
        <v>8238</v>
      </c>
      <c r="B151" t="s">
        <v>182</v>
      </c>
      <c r="C151" s="1">
        <v>45303</v>
      </c>
      <c r="D151" s="1">
        <v>45624</v>
      </c>
      <c r="E151">
        <v>10</v>
      </c>
      <c r="F151">
        <v>7.99</v>
      </c>
      <c r="G151">
        <f t="shared" si="2"/>
        <v>79.900000000000006</v>
      </c>
      <c r="H151">
        <v>460</v>
      </c>
      <c r="I151" t="s">
        <v>64</v>
      </c>
      <c r="J151">
        <v>3</v>
      </c>
      <c r="K151">
        <v>5</v>
      </c>
      <c r="L151" t="b">
        <v>0</v>
      </c>
      <c r="M151">
        <v>26</v>
      </c>
      <c r="N151">
        <v>2</v>
      </c>
      <c r="O151" t="s">
        <v>76</v>
      </c>
      <c r="P151" t="s">
        <v>28</v>
      </c>
      <c r="Q151" t="s">
        <v>36</v>
      </c>
      <c r="R151">
        <v>39</v>
      </c>
      <c r="S151">
        <v>4.8</v>
      </c>
      <c r="T151" t="b">
        <v>0</v>
      </c>
      <c r="U151" t="s">
        <v>30</v>
      </c>
      <c r="V151">
        <v>882</v>
      </c>
      <c r="W151" t="s">
        <v>31</v>
      </c>
      <c r="X151" t="s">
        <v>62</v>
      </c>
      <c r="Y151" t="s">
        <v>33</v>
      </c>
    </row>
    <row r="152" spans="1:25" x14ac:dyDescent="0.35">
      <c r="A152">
        <v>8261</v>
      </c>
      <c r="B152" t="s">
        <v>110</v>
      </c>
      <c r="C152" s="1">
        <v>44920</v>
      </c>
      <c r="D152" s="1">
        <v>45630</v>
      </c>
      <c r="E152">
        <v>23</v>
      </c>
      <c r="F152">
        <v>7.99</v>
      </c>
      <c r="G152">
        <f t="shared" si="2"/>
        <v>183.77</v>
      </c>
      <c r="H152">
        <v>374</v>
      </c>
      <c r="I152" t="s">
        <v>64</v>
      </c>
      <c r="J152">
        <v>1</v>
      </c>
      <c r="K152">
        <v>3</v>
      </c>
      <c r="L152" t="b">
        <v>1</v>
      </c>
      <c r="M152">
        <v>819</v>
      </c>
      <c r="N152">
        <v>18</v>
      </c>
      <c r="O152" t="s">
        <v>65</v>
      </c>
      <c r="P152" t="s">
        <v>42</v>
      </c>
      <c r="Q152" t="s">
        <v>29</v>
      </c>
      <c r="R152">
        <v>12</v>
      </c>
      <c r="S152">
        <v>3.4</v>
      </c>
      <c r="T152" t="b">
        <v>1</v>
      </c>
      <c r="U152" t="s">
        <v>30</v>
      </c>
      <c r="V152">
        <v>4243</v>
      </c>
      <c r="W152" t="s">
        <v>59</v>
      </c>
      <c r="X152" t="s">
        <v>38</v>
      </c>
      <c r="Y152" t="s">
        <v>55</v>
      </c>
    </row>
    <row r="153" spans="1:25" x14ac:dyDescent="0.35">
      <c r="A153">
        <v>7729</v>
      </c>
      <c r="B153" t="s">
        <v>89</v>
      </c>
      <c r="C153" s="1">
        <v>44977</v>
      </c>
      <c r="D153" s="1">
        <v>45637</v>
      </c>
      <c r="E153">
        <v>21</v>
      </c>
      <c r="F153">
        <v>11.99</v>
      </c>
      <c r="G153">
        <f t="shared" si="2"/>
        <v>251.79</v>
      </c>
      <c r="H153">
        <v>147</v>
      </c>
      <c r="I153" t="s">
        <v>81</v>
      </c>
      <c r="J153">
        <v>5</v>
      </c>
      <c r="K153">
        <v>4</v>
      </c>
      <c r="L153" t="b">
        <v>0</v>
      </c>
      <c r="M153">
        <v>27</v>
      </c>
      <c r="N153">
        <v>175</v>
      </c>
      <c r="O153" t="s">
        <v>65</v>
      </c>
      <c r="P153" t="s">
        <v>28</v>
      </c>
      <c r="Q153" t="s">
        <v>29</v>
      </c>
      <c r="R153">
        <v>78</v>
      </c>
      <c r="S153">
        <v>4</v>
      </c>
      <c r="T153" t="b">
        <v>1</v>
      </c>
      <c r="U153" t="s">
        <v>30</v>
      </c>
      <c r="V153">
        <v>2218</v>
      </c>
      <c r="W153" t="s">
        <v>37</v>
      </c>
      <c r="X153" t="s">
        <v>62</v>
      </c>
      <c r="Y153" t="s">
        <v>77</v>
      </c>
    </row>
    <row r="154" spans="1:25" x14ac:dyDescent="0.35">
      <c r="A154">
        <v>8616</v>
      </c>
      <c r="B154" t="s">
        <v>148</v>
      </c>
      <c r="C154" s="1">
        <v>45627</v>
      </c>
      <c r="D154" s="1">
        <v>45630</v>
      </c>
      <c r="E154">
        <v>0</v>
      </c>
      <c r="F154">
        <v>11.99</v>
      </c>
      <c r="G154">
        <f t="shared" si="2"/>
        <v>0</v>
      </c>
      <c r="H154">
        <v>129</v>
      </c>
      <c r="I154" t="s">
        <v>57</v>
      </c>
      <c r="J154">
        <v>4</v>
      </c>
      <c r="K154">
        <v>6</v>
      </c>
      <c r="L154" t="b">
        <v>0</v>
      </c>
      <c r="M154">
        <v>543</v>
      </c>
      <c r="N154">
        <v>126</v>
      </c>
      <c r="O154" t="s">
        <v>46</v>
      </c>
      <c r="P154" t="s">
        <v>42</v>
      </c>
      <c r="Q154" t="s">
        <v>43</v>
      </c>
      <c r="R154">
        <v>95</v>
      </c>
      <c r="S154">
        <v>3.4</v>
      </c>
      <c r="T154" t="b">
        <v>1</v>
      </c>
      <c r="U154" t="s">
        <v>30</v>
      </c>
      <c r="V154">
        <v>97</v>
      </c>
      <c r="W154" t="s">
        <v>31</v>
      </c>
      <c r="X154" t="s">
        <v>32</v>
      </c>
      <c r="Y154" t="s">
        <v>33</v>
      </c>
    </row>
    <row r="155" spans="1:25" x14ac:dyDescent="0.35">
      <c r="A155">
        <v>9734</v>
      </c>
      <c r="B155" t="s">
        <v>88</v>
      </c>
      <c r="C155" s="1">
        <v>45620</v>
      </c>
      <c r="D155" s="1">
        <v>45640</v>
      </c>
      <c r="E155">
        <v>0</v>
      </c>
      <c r="F155">
        <v>15.99</v>
      </c>
      <c r="G155">
        <f t="shared" si="2"/>
        <v>0</v>
      </c>
      <c r="H155">
        <v>217</v>
      </c>
      <c r="I155" t="s">
        <v>26</v>
      </c>
      <c r="J155">
        <v>2</v>
      </c>
      <c r="K155">
        <v>2</v>
      </c>
      <c r="L155" t="b">
        <v>1</v>
      </c>
      <c r="M155">
        <v>872</v>
      </c>
      <c r="N155">
        <v>8</v>
      </c>
      <c r="O155" t="s">
        <v>41</v>
      </c>
      <c r="P155" t="s">
        <v>66</v>
      </c>
      <c r="Q155" t="s">
        <v>69</v>
      </c>
      <c r="R155">
        <v>51</v>
      </c>
      <c r="S155">
        <v>3.6</v>
      </c>
      <c r="T155" t="b">
        <v>1</v>
      </c>
      <c r="U155" t="s">
        <v>30</v>
      </c>
      <c r="V155">
        <v>4928</v>
      </c>
      <c r="W155" t="s">
        <v>59</v>
      </c>
      <c r="X155" t="s">
        <v>32</v>
      </c>
      <c r="Y155" t="s">
        <v>33</v>
      </c>
    </row>
    <row r="156" spans="1:25" x14ac:dyDescent="0.35">
      <c r="A156">
        <v>2086</v>
      </c>
      <c r="B156" t="s">
        <v>183</v>
      </c>
      <c r="C156" s="1">
        <v>45058</v>
      </c>
      <c r="D156" s="1">
        <v>45615</v>
      </c>
      <c r="E156">
        <v>18</v>
      </c>
      <c r="F156">
        <v>7.99</v>
      </c>
      <c r="G156">
        <f t="shared" si="2"/>
        <v>143.82</v>
      </c>
      <c r="H156">
        <v>426</v>
      </c>
      <c r="I156" t="s">
        <v>35</v>
      </c>
      <c r="J156">
        <v>4</v>
      </c>
      <c r="K156">
        <v>1</v>
      </c>
      <c r="L156" t="b">
        <v>0</v>
      </c>
      <c r="M156">
        <v>606</v>
      </c>
      <c r="N156">
        <v>135</v>
      </c>
      <c r="O156" t="s">
        <v>27</v>
      </c>
      <c r="P156" t="s">
        <v>28</v>
      </c>
      <c r="Q156" t="s">
        <v>36</v>
      </c>
      <c r="R156">
        <v>50</v>
      </c>
      <c r="S156">
        <v>3.8</v>
      </c>
      <c r="T156" t="b">
        <v>1</v>
      </c>
      <c r="U156" t="s">
        <v>30</v>
      </c>
      <c r="V156">
        <v>1982</v>
      </c>
      <c r="W156" t="s">
        <v>37</v>
      </c>
      <c r="X156" t="s">
        <v>70</v>
      </c>
      <c r="Y156" t="s">
        <v>33</v>
      </c>
    </row>
    <row r="157" spans="1:25" x14ac:dyDescent="0.35">
      <c r="A157">
        <v>8721</v>
      </c>
      <c r="B157" t="s">
        <v>184</v>
      </c>
      <c r="C157" s="1">
        <v>44980</v>
      </c>
      <c r="D157" s="1">
        <v>45627</v>
      </c>
      <c r="E157">
        <v>21</v>
      </c>
      <c r="F157">
        <v>15.99</v>
      </c>
      <c r="G157">
        <f t="shared" si="2"/>
        <v>335.79</v>
      </c>
      <c r="H157">
        <v>81</v>
      </c>
      <c r="I157" t="s">
        <v>35</v>
      </c>
      <c r="J157">
        <v>3</v>
      </c>
      <c r="K157">
        <v>5</v>
      </c>
      <c r="L157" t="b">
        <v>0</v>
      </c>
      <c r="M157">
        <v>394</v>
      </c>
      <c r="N157">
        <v>168</v>
      </c>
      <c r="O157" t="s">
        <v>41</v>
      </c>
      <c r="P157" t="s">
        <v>66</v>
      </c>
      <c r="Q157" t="s">
        <v>43</v>
      </c>
      <c r="R157">
        <v>21</v>
      </c>
      <c r="S157">
        <v>4.7</v>
      </c>
      <c r="T157" t="b">
        <v>1</v>
      </c>
      <c r="U157" t="s">
        <v>30</v>
      </c>
      <c r="V157">
        <v>510</v>
      </c>
      <c r="W157" t="s">
        <v>53</v>
      </c>
      <c r="X157" t="s">
        <v>54</v>
      </c>
      <c r="Y157" t="s">
        <v>33</v>
      </c>
    </row>
    <row r="158" spans="1:25" x14ac:dyDescent="0.35">
      <c r="A158">
        <v>1075</v>
      </c>
      <c r="B158" t="s">
        <v>185</v>
      </c>
      <c r="C158" s="1">
        <v>45051</v>
      </c>
      <c r="D158" s="1">
        <v>45624</v>
      </c>
      <c r="E158">
        <v>18</v>
      </c>
      <c r="F158">
        <v>7.99</v>
      </c>
      <c r="G158">
        <f t="shared" si="2"/>
        <v>143.82</v>
      </c>
      <c r="H158">
        <v>296</v>
      </c>
      <c r="I158" t="s">
        <v>81</v>
      </c>
      <c r="J158">
        <v>3</v>
      </c>
      <c r="K158">
        <v>2</v>
      </c>
      <c r="L158" t="b">
        <v>1</v>
      </c>
      <c r="M158">
        <v>411</v>
      </c>
      <c r="N158">
        <v>96</v>
      </c>
      <c r="O158" t="s">
        <v>27</v>
      </c>
      <c r="P158" t="s">
        <v>66</v>
      </c>
      <c r="Q158" t="s">
        <v>58</v>
      </c>
      <c r="R158">
        <v>1</v>
      </c>
      <c r="S158">
        <v>3.1</v>
      </c>
      <c r="T158" t="b">
        <v>0</v>
      </c>
      <c r="U158" t="s">
        <v>30</v>
      </c>
      <c r="V158">
        <v>2508</v>
      </c>
      <c r="W158" t="s">
        <v>67</v>
      </c>
      <c r="X158" t="s">
        <v>54</v>
      </c>
      <c r="Y158" t="s">
        <v>39</v>
      </c>
    </row>
    <row r="159" spans="1:25" x14ac:dyDescent="0.35">
      <c r="A159">
        <v>2690</v>
      </c>
      <c r="B159" t="s">
        <v>122</v>
      </c>
      <c r="C159" s="1">
        <v>45174</v>
      </c>
      <c r="D159" s="1">
        <v>45625</v>
      </c>
      <c r="E159">
        <v>14</v>
      </c>
      <c r="F159">
        <v>15.99</v>
      </c>
      <c r="G159">
        <f t="shared" si="2"/>
        <v>223.86</v>
      </c>
      <c r="H159">
        <v>466</v>
      </c>
      <c r="I159" t="s">
        <v>45</v>
      </c>
      <c r="J159">
        <v>3</v>
      </c>
      <c r="K159">
        <v>2</v>
      </c>
      <c r="L159" t="b">
        <v>0</v>
      </c>
      <c r="M159">
        <v>977</v>
      </c>
      <c r="N159">
        <v>94</v>
      </c>
      <c r="O159" t="s">
        <v>76</v>
      </c>
      <c r="P159" t="s">
        <v>66</v>
      </c>
      <c r="Q159" t="s">
        <v>43</v>
      </c>
      <c r="R159">
        <v>67</v>
      </c>
      <c r="S159">
        <v>3.6</v>
      </c>
      <c r="T159" t="b">
        <v>1</v>
      </c>
      <c r="U159" t="s">
        <v>30</v>
      </c>
      <c r="V159">
        <v>4004</v>
      </c>
      <c r="W159" t="s">
        <v>31</v>
      </c>
      <c r="X159" t="s">
        <v>32</v>
      </c>
      <c r="Y159" t="s">
        <v>77</v>
      </c>
    </row>
    <row r="160" spans="1:25" x14ac:dyDescent="0.35">
      <c r="A160">
        <v>7654</v>
      </c>
      <c r="B160" t="s">
        <v>90</v>
      </c>
      <c r="C160" s="1">
        <v>45279</v>
      </c>
      <c r="D160" s="1">
        <v>45623</v>
      </c>
      <c r="E160">
        <v>11</v>
      </c>
      <c r="F160">
        <v>11.99</v>
      </c>
      <c r="G160">
        <f t="shared" si="2"/>
        <v>131.89000000000001</v>
      </c>
      <c r="H160">
        <v>424</v>
      </c>
      <c r="I160" t="s">
        <v>57</v>
      </c>
      <c r="J160">
        <v>5</v>
      </c>
      <c r="K160">
        <v>2</v>
      </c>
      <c r="L160" t="b">
        <v>0</v>
      </c>
      <c r="M160">
        <v>406</v>
      </c>
      <c r="N160">
        <v>150</v>
      </c>
      <c r="O160" t="s">
        <v>41</v>
      </c>
      <c r="P160" t="s">
        <v>42</v>
      </c>
      <c r="Q160" t="s">
        <v>52</v>
      </c>
      <c r="R160">
        <v>50</v>
      </c>
      <c r="S160">
        <v>3.5</v>
      </c>
      <c r="T160" t="b">
        <v>0</v>
      </c>
      <c r="U160" t="s">
        <v>30</v>
      </c>
      <c r="V160">
        <v>494</v>
      </c>
      <c r="W160" t="s">
        <v>53</v>
      </c>
      <c r="X160" t="s">
        <v>38</v>
      </c>
      <c r="Y160" t="s">
        <v>33</v>
      </c>
    </row>
    <row r="161" spans="1:25" x14ac:dyDescent="0.35">
      <c r="A161">
        <v>7577</v>
      </c>
      <c r="B161" t="s">
        <v>186</v>
      </c>
      <c r="C161" s="1">
        <v>45582</v>
      </c>
      <c r="D161" s="1">
        <v>45629</v>
      </c>
      <c r="E161">
        <v>1</v>
      </c>
      <c r="F161">
        <v>15.99</v>
      </c>
      <c r="G161">
        <f t="shared" si="2"/>
        <v>15.99</v>
      </c>
      <c r="H161">
        <v>233</v>
      </c>
      <c r="I161" t="s">
        <v>45</v>
      </c>
      <c r="J161">
        <v>2</v>
      </c>
      <c r="K161">
        <v>5</v>
      </c>
      <c r="L161" t="b">
        <v>1</v>
      </c>
      <c r="M161">
        <v>781</v>
      </c>
      <c r="N161">
        <v>23</v>
      </c>
      <c r="O161" t="s">
        <v>76</v>
      </c>
      <c r="P161" t="s">
        <v>51</v>
      </c>
      <c r="Q161" t="s">
        <v>29</v>
      </c>
      <c r="R161">
        <v>89</v>
      </c>
      <c r="S161">
        <v>3.3</v>
      </c>
      <c r="T161" t="b">
        <v>0</v>
      </c>
      <c r="U161" t="s">
        <v>30</v>
      </c>
      <c r="V161">
        <v>460</v>
      </c>
      <c r="W161" t="s">
        <v>67</v>
      </c>
      <c r="X161" t="s">
        <v>62</v>
      </c>
      <c r="Y161" t="s">
        <v>55</v>
      </c>
    </row>
    <row r="162" spans="1:25" x14ac:dyDescent="0.35">
      <c r="A162">
        <v>9814</v>
      </c>
      <c r="B162" t="s">
        <v>187</v>
      </c>
      <c r="C162" s="1">
        <v>45515</v>
      </c>
      <c r="D162" s="1">
        <v>45623</v>
      </c>
      <c r="E162">
        <v>3</v>
      </c>
      <c r="F162">
        <v>11.99</v>
      </c>
      <c r="G162">
        <f t="shared" si="2"/>
        <v>35.97</v>
      </c>
      <c r="H162">
        <v>413</v>
      </c>
      <c r="I162" t="s">
        <v>64</v>
      </c>
      <c r="J162">
        <v>1</v>
      </c>
      <c r="K162">
        <v>6</v>
      </c>
      <c r="L162" t="b">
        <v>1</v>
      </c>
      <c r="M162">
        <v>330</v>
      </c>
      <c r="N162">
        <v>63</v>
      </c>
      <c r="O162" t="s">
        <v>27</v>
      </c>
      <c r="P162" t="s">
        <v>28</v>
      </c>
      <c r="Q162" t="s">
        <v>69</v>
      </c>
      <c r="R162">
        <v>50</v>
      </c>
      <c r="S162">
        <v>4.0999999999999996</v>
      </c>
      <c r="T162" t="b">
        <v>1</v>
      </c>
      <c r="U162" t="s">
        <v>30</v>
      </c>
      <c r="V162">
        <v>1416</v>
      </c>
      <c r="W162" t="s">
        <v>53</v>
      </c>
      <c r="X162" t="s">
        <v>62</v>
      </c>
      <c r="Y162" t="s">
        <v>33</v>
      </c>
    </row>
    <row r="163" spans="1:25" x14ac:dyDescent="0.35">
      <c r="A163">
        <v>5423</v>
      </c>
      <c r="B163" t="s">
        <v>47</v>
      </c>
      <c r="C163" s="1">
        <v>45565</v>
      </c>
      <c r="D163" s="1">
        <v>45615</v>
      </c>
      <c r="E163">
        <v>1</v>
      </c>
      <c r="F163">
        <v>7.99</v>
      </c>
      <c r="G163">
        <f t="shared" si="2"/>
        <v>7.99</v>
      </c>
      <c r="H163">
        <v>278</v>
      </c>
      <c r="I163" t="s">
        <v>26</v>
      </c>
      <c r="J163">
        <v>1</v>
      </c>
      <c r="K163">
        <v>5</v>
      </c>
      <c r="L163" t="b">
        <v>1</v>
      </c>
      <c r="M163">
        <v>163</v>
      </c>
      <c r="N163">
        <v>88</v>
      </c>
      <c r="O163" t="s">
        <v>61</v>
      </c>
      <c r="P163" t="s">
        <v>28</v>
      </c>
      <c r="Q163" t="s">
        <v>43</v>
      </c>
      <c r="R163">
        <v>62</v>
      </c>
      <c r="S163">
        <v>3.2</v>
      </c>
      <c r="T163" t="b">
        <v>0</v>
      </c>
      <c r="U163" t="s">
        <v>30</v>
      </c>
      <c r="V163">
        <v>4798</v>
      </c>
      <c r="W163" t="s">
        <v>31</v>
      </c>
      <c r="X163" t="s">
        <v>62</v>
      </c>
      <c r="Y163" t="s">
        <v>77</v>
      </c>
    </row>
    <row r="164" spans="1:25" x14ac:dyDescent="0.35">
      <c r="A164">
        <v>2660</v>
      </c>
      <c r="B164" t="s">
        <v>188</v>
      </c>
      <c r="C164" s="1">
        <v>44925</v>
      </c>
      <c r="D164" s="1">
        <v>45630</v>
      </c>
      <c r="E164">
        <v>23</v>
      </c>
      <c r="F164">
        <v>11.99</v>
      </c>
      <c r="G164">
        <f t="shared" si="2"/>
        <v>275.77</v>
      </c>
      <c r="H164">
        <v>351</v>
      </c>
      <c r="I164" t="s">
        <v>57</v>
      </c>
      <c r="J164">
        <v>1</v>
      </c>
      <c r="K164">
        <v>1</v>
      </c>
      <c r="L164" t="b">
        <v>1</v>
      </c>
      <c r="M164">
        <v>80</v>
      </c>
      <c r="N164">
        <v>70</v>
      </c>
      <c r="O164" t="s">
        <v>27</v>
      </c>
      <c r="P164" t="s">
        <v>51</v>
      </c>
      <c r="Q164" t="s">
        <v>36</v>
      </c>
      <c r="R164">
        <v>54</v>
      </c>
      <c r="S164">
        <v>4.5</v>
      </c>
      <c r="T164" t="b">
        <v>1</v>
      </c>
      <c r="U164" t="s">
        <v>30</v>
      </c>
      <c r="V164">
        <v>732</v>
      </c>
      <c r="W164" t="s">
        <v>67</v>
      </c>
      <c r="X164" t="s">
        <v>32</v>
      </c>
      <c r="Y164" t="s">
        <v>39</v>
      </c>
    </row>
    <row r="165" spans="1:25" x14ac:dyDescent="0.35">
      <c r="A165">
        <v>4206</v>
      </c>
      <c r="B165" t="s">
        <v>129</v>
      </c>
      <c r="C165" s="1">
        <v>45386</v>
      </c>
      <c r="D165" s="1">
        <v>45632</v>
      </c>
      <c r="E165">
        <v>8</v>
      </c>
      <c r="F165">
        <v>11.99</v>
      </c>
      <c r="G165">
        <f t="shared" si="2"/>
        <v>95.92</v>
      </c>
      <c r="H165">
        <v>354</v>
      </c>
      <c r="I165" t="s">
        <v>81</v>
      </c>
      <c r="J165">
        <v>1</v>
      </c>
      <c r="K165">
        <v>3</v>
      </c>
      <c r="L165" t="b">
        <v>0</v>
      </c>
      <c r="M165">
        <v>885</v>
      </c>
      <c r="N165">
        <v>65</v>
      </c>
      <c r="O165" t="s">
        <v>46</v>
      </c>
      <c r="P165" t="s">
        <v>51</v>
      </c>
      <c r="Q165" t="s">
        <v>58</v>
      </c>
      <c r="R165">
        <v>70</v>
      </c>
      <c r="S165">
        <v>4.7</v>
      </c>
      <c r="T165" t="b">
        <v>0</v>
      </c>
      <c r="U165" t="s">
        <v>30</v>
      </c>
      <c r="V165">
        <v>4008</v>
      </c>
      <c r="W165" t="s">
        <v>53</v>
      </c>
      <c r="X165" t="s">
        <v>54</v>
      </c>
      <c r="Y165" t="s">
        <v>77</v>
      </c>
    </row>
    <row r="166" spans="1:25" x14ac:dyDescent="0.35">
      <c r="A166">
        <v>5269</v>
      </c>
      <c r="B166" t="s">
        <v>47</v>
      </c>
      <c r="C166" s="1">
        <v>44991</v>
      </c>
      <c r="D166" s="1">
        <v>45630</v>
      </c>
      <c r="E166">
        <v>20</v>
      </c>
      <c r="F166">
        <v>11.99</v>
      </c>
      <c r="G166">
        <f t="shared" si="2"/>
        <v>239.8</v>
      </c>
      <c r="H166">
        <v>192</v>
      </c>
      <c r="I166" t="s">
        <v>64</v>
      </c>
      <c r="J166">
        <v>5</v>
      </c>
      <c r="K166">
        <v>4</v>
      </c>
      <c r="L166" t="b">
        <v>0</v>
      </c>
      <c r="M166">
        <v>123</v>
      </c>
      <c r="N166">
        <v>34</v>
      </c>
      <c r="O166" t="s">
        <v>50</v>
      </c>
      <c r="P166" t="s">
        <v>66</v>
      </c>
      <c r="Q166" t="s">
        <v>58</v>
      </c>
      <c r="R166">
        <v>73</v>
      </c>
      <c r="S166">
        <v>3.8</v>
      </c>
      <c r="T166" t="b">
        <v>1</v>
      </c>
      <c r="U166" t="s">
        <v>30</v>
      </c>
      <c r="V166">
        <v>4868</v>
      </c>
      <c r="W166" t="s">
        <v>67</v>
      </c>
      <c r="X166" t="s">
        <v>62</v>
      </c>
      <c r="Y166" t="s">
        <v>55</v>
      </c>
    </row>
    <row r="167" spans="1:25" x14ac:dyDescent="0.35">
      <c r="A167">
        <v>7922</v>
      </c>
      <c r="B167" t="s">
        <v>189</v>
      </c>
      <c r="C167" s="1">
        <v>44976</v>
      </c>
      <c r="D167" s="1">
        <v>45644</v>
      </c>
      <c r="E167">
        <v>21</v>
      </c>
      <c r="F167">
        <v>7.99</v>
      </c>
      <c r="G167">
        <f t="shared" si="2"/>
        <v>167.79</v>
      </c>
      <c r="H167">
        <v>176</v>
      </c>
      <c r="I167" t="s">
        <v>48</v>
      </c>
      <c r="J167">
        <v>4</v>
      </c>
      <c r="K167">
        <v>6</v>
      </c>
      <c r="L167" t="b">
        <v>1</v>
      </c>
      <c r="M167">
        <v>830</v>
      </c>
      <c r="N167">
        <v>74</v>
      </c>
      <c r="O167" t="s">
        <v>46</v>
      </c>
      <c r="P167" t="s">
        <v>28</v>
      </c>
      <c r="Q167" t="s">
        <v>36</v>
      </c>
      <c r="R167">
        <v>66</v>
      </c>
      <c r="S167">
        <v>3.5</v>
      </c>
      <c r="T167" t="b">
        <v>1</v>
      </c>
      <c r="U167" t="s">
        <v>30</v>
      </c>
      <c r="V167">
        <v>2600</v>
      </c>
      <c r="W167" t="s">
        <v>67</v>
      </c>
      <c r="X167" t="s">
        <v>32</v>
      </c>
      <c r="Y167" t="s">
        <v>39</v>
      </c>
    </row>
    <row r="168" spans="1:25" x14ac:dyDescent="0.35">
      <c r="A168">
        <v>7829</v>
      </c>
      <c r="B168" t="s">
        <v>190</v>
      </c>
      <c r="C168" s="1">
        <v>45217</v>
      </c>
      <c r="D168" s="1">
        <v>45644</v>
      </c>
      <c r="E168">
        <v>14</v>
      </c>
      <c r="F168">
        <v>7.99</v>
      </c>
      <c r="G168">
        <f t="shared" si="2"/>
        <v>111.86</v>
      </c>
      <c r="H168">
        <v>482</v>
      </c>
      <c r="I168" t="s">
        <v>64</v>
      </c>
      <c r="J168">
        <v>1</v>
      </c>
      <c r="K168">
        <v>4</v>
      </c>
      <c r="L168" t="b">
        <v>1</v>
      </c>
      <c r="M168">
        <v>770</v>
      </c>
      <c r="N168">
        <v>129</v>
      </c>
      <c r="O168" t="s">
        <v>41</v>
      </c>
      <c r="P168" t="s">
        <v>28</v>
      </c>
      <c r="Q168" t="s">
        <v>43</v>
      </c>
      <c r="R168">
        <v>0</v>
      </c>
      <c r="S168">
        <v>3.7</v>
      </c>
      <c r="T168" t="b">
        <v>1</v>
      </c>
      <c r="U168" t="s">
        <v>30</v>
      </c>
      <c r="V168">
        <v>3247</v>
      </c>
      <c r="W168" t="s">
        <v>59</v>
      </c>
      <c r="X168" t="s">
        <v>38</v>
      </c>
      <c r="Y168" t="s">
        <v>55</v>
      </c>
    </row>
    <row r="169" spans="1:25" x14ac:dyDescent="0.35">
      <c r="A169">
        <v>1715</v>
      </c>
      <c r="B169" t="s">
        <v>167</v>
      </c>
      <c r="C169" s="1">
        <v>45460</v>
      </c>
      <c r="D169" s="1">
        <v>45630</v>
      </c>
      <c r="E169">
        <v>5</v>
      </c>
      <c r="F169">
        <v>7.99</v>
      </c>
      <c r="G169">
        <f t="shared" si="2"/>
        <v>39.950000000000003</v>
      </c>
      <c r="H169">
        <v>87</v>
      </c>
      <c r="I169" t="s">
        <v>35</v>
      </c>
      <c r="J169">
        <v>3</v>
      </c>
      <c r="K169">
        <v>5</v>
      </c>
      <c r="L169" t="b">
        <v>1</v>
      </c>
      <c r="M169">
        <v>753</v>
      </c>
      <c r="N169">
        <v>181</v>
      </c>
      <c r="O169" t="s">
        <v>46</v>
      </c>
      <c r="P169" t="s">
        <v>42</v>
      </c>
      <c r="Q169" t="s">
        <v>29</v>
      </c>
      <c r="R169">
        <v>51</v>
      </c>
      <c r="S169">
        <v>3.1</v>
      </c>
      <c r="T169" t="b">
        <v>1</v>
      </c>
      <c r="U169" t="s">
        <v>30</v>
      </c>
      <c r="V169">
        <v>941</v>
      </c>
      <c r="W169" t="s">
        <v>31</v>
      </c>
      <c r="X169" t="s">
        <v>54</v>
      </c>
      <c r="Y169" t="s">
        <v>77</v>
      </c>
    </row>
    <row r="170" spans="1:25" x14ac:dyDescent="0.35">
      <c r="A170">
        <v>2639</v>
      </c>
      <c r="B170" t="s">
        <v>191</v>
      </c>
      <c r="C170" s="1">
        <v>45461</v>
      </c>
      <c r="D170" s="1">
        <v>45633</v>
      </c>
      <c r="E170">
        <v>5</v>
      </c>
      <c r="F170">
        <v>11.99</v>
      </c>
      <c r="G170">
        <f t="shared" si="2"/>
        <v>59.95</v>
      </c>
      <c r="H170">
        <v>163</v>
      </c>
      <c r="I170" t="s">
        <v>35</v>
      </c>
      <c r="J170">
        <v>5</v>
      </c>
      <c r="K170">
        <v>1</v>
      </c>
      <c r="L170" t="b">
        <v>1</v>
      </c>
      <c r="M170">
        <v>38</v>
      </c>
      <c r="N170">
        <v>53</v>
      </c>
      <c r="O170" t="s">
        <v>61</v>
      </c>
      <c r="P170" t="s">
        <v>42</v>
      </c>
      <c r="Q170" t="s">
        <v>58</v>
      </c>
      <c r="R170">
        <v>37</v>
      </c>
      <c r="S170">
        <v>4.5999999999999996</v>
      </c>
      <c r="T170" t="b">
        <v>0</v>
      </c>
      <c r="U170" t="s">
        <v>30</v>
      </c>
      <c r="V170">
        <v>1934</v>
      </c>
      <c r="W170" t="s">
        <v>31</v>
      </c>
      <c r="X170" t="s">
        <v>32</v>
      </c>
      <c r="Y170" t="s">
        <v>39</v>
      </c>
    </row>
    <row r="171" spans="1:25" x14ac:dyDescent="0.35">
      <c r="A171">
        <v>1801</v>
      </c>
      <c r="B171" t="s">
        <v>120</v>
      </c>
      <c r="C171" s="1">
        <v>45305</v>
      </c>
      <c r="D171" s="1">
        <v>45639</v>
      </c>
      <c r="E171">
        <v>10</v>
      </c>
      <c r="F171">
        <v>11.99</v>
      </c>
      <c r="G171">
        <f t="shared" si="2"/>
        <v>119.9</v>
      </c>
      <c r="H171">
        <v>419</v>
      </c>
      <c r="I171" t="s">
        <v>57</v>
      </c>
      <c r="J171">
        <v>4</v>
      </c>
      <c r="K171">
        <v>5</v>
      </c>
      <c r="L171" t="b">
        <v>0</v>
      </c>
      <c r="M171">
        <v>386</v>
      </c>
      <c r="N171">
        <v>122</v>
      </c>
      <c r="O171" t="s">
        <v>65</v>
      </c>
      <c r="P171" t="s">
        <v>51</v>
      </c>
      <c r="Q171" t="s">
        <v>36</v>
      </c>
      <c r="R171">
        <v>9</v>
      </c>
      <c r="S171">
        <v>4.5999999999999996</v>
      </c>
      <c r="T171" t="b">
        <v>0</v>
      </c>
      <c r="U171" t="s">
        <v>30</v>
      </c>
      <c r="V171">
        <v>4650</v>
      </c>
      <c r="W171" t="s">
        <v>37</v>
      </c>
      <c r="X171" t="s">
        <v>62</v>
      </c>
      <c r="Y171" t="s">
        <v>33</v>
      </c>
    </row>
    <row r="172" spans="1:25" x14ac:dyDescent="0.35">
      <c r="A172">
        <v>9163</v>
      </c>
      <c r="B172" t="s">
        <v>179</v>
      </c>
      <c r="C172" s="1">
        <v>45020</v>
      </c>
      <c r="D172" s="1">
        <v>45623</v>
      </c>
      <c r="E172">
        <v>19</v>
      </c>
      <c r="F172">
        <v>11.99</v>
      </c>
      <c r="G172">
        <f t="shared" si="2"/>
        <v>227.81</v>
      </c>
      <c r="H172">
        <v>203</v>
      </c>
      <c r="I172" t="s">
        <v>45</v>
      </c>
      <c r="J172">
        <v>4</v>
      </c>
      <c r="K172">
        <v>4</v>
      </c>
      <c r="L172" t="b">
        <v>1</v>
      </c>
      <c r="M172">
        <v>874</v>
      </c>
      <c r="N172">
        <v>67</v>
      </c>
      <c r="O172" t="s">
        <v>50</v>
      </c>
      <c r="P172" t="s">
        <v>42</v>
      </c>
      <c r="Q172" t="s">
        <v>69</v>
      </c>
      <c r="R172">
        <v>94</v>
      </c>
      <c r="S172">
        <v>3.9</v>
      </c>
      <c r="T172" t="b">
        <v>1</v>
      </c>
      <c r="U172" t="s">
        <v>30</v>
      </c>
      <c r="V172">
        <v>4450</v>
      </c>
      <c r="W172" t="s">
        <v>31</v>
      </c>
      <c r="X172" t="s">
        <v>32</v>
      </c>
      <c r="Y172" t="s">
        <v>77</v>
      </c>
    </row>
    <row r="173" spans="1:25" x14ac:dyDescent="0.35">
      <c r="A173">
        <v>1284</v>
      </c>
      <c r="B173" t="s">
        <v>111</v>
      </c>
      <c r="C173" s="1">
        <v>45630</v>
      </c>
      <c r="D173" s="1">
        <v>45627</v>
      </c>
      <c r="E173">
        <v>0</v>
      </c>
      <c r="F173">
        <v>7.99</v>
      </c>
      <c r="G173">
        <f t="shared" si="2"/>
        <v>0</v>
      </c>
      <c r="H173">
        <v>405</v>
      </c>
      <c r="I173" t="s">
        <v>64</v>
      </c>
      <c r="J173">
        <v>4</v>
      </c>
      <c r="K173">
        <v>3</v>
      </c>
      <c r="L173" t="b">
        <v>1</v>
      </c>
      <c r="M173">
        <v>695</v>
      </c>
      <c r="N173">
        <v>85</v>
      </c>
      <c r="O173" t="s">
        <v>61</v>
      </c>
      <c r="P173" t="s">
        <v>51</v>
      </c>
      <c r="Q173" t="s">
        <v>69</v>
      </c>
      <c r="R173">
        <v>42</v>
      </c>
      <c r="S173">
        <v>3.7</v>
      </c>
      <c r="T173" t="b">
        <v>0</v>
      </c>
      <c r="U173" t="s">
        <v>30</v>
      </c>
      <c r="V173">
        <v>2395</v>
      </c>
      <c r="W173" t="s">
        <v>59</v>
      </c>
      <c r="X173" t="s">
        <v>38</v>
      </c>
      <c r="Y173" t="s">
        <v>55</v>
      </c>
    </row>
    <row r="174" spans="1:25" x14ac:dyDescent="0.35">
      <c r="A174">
        <v>8774</v>
      </c>
      <c r="B174" t="s">
        <v>192</v>
      </c>
      <c r="C174" s="1">
        <v>45233</v>
      </c>
      <c r="D174" s="1">
        <v>45634</v>
      </c>
      <c r="E174">
        <v>13</v>
      </c>
      <c r="F174">
        <v>15.99</v>
      </c>
      <c r="G174">
        <f t="shared" si="2"/>
        <v>207.87</v>
      </c>
      <c r="H174">
        <v>496</v>
      </c>
      <c r="I174" t="s">
        <v>64</v>
      </c>
      <c r="J174">
        <v>5</v>
      </c>
      <c r="K174">
        <v>6</v>
      </c>
      <c r="L174" t="b">
        <v>0</v>
      </c>
      <c r="M174">
        <v>803</v>
      </c>
      <c r="N174">
        <v>130</v>
      </c>
      <c r="O174" t="s">
        <v>27</v>
      </c>
      <c r="P174" t="s">
        <v>66</v>
      </c>
      <c r="Q174" t="s">
        <v>69</v>
      </c>
      <c r="R174">
        <v>4</v>
      </c>
      <c r="S174">
        <v>4.8</v>
      </c>
      <c r="T174" t="b">
        <v>0</v>
      </c>
      <c r="U174" t="s">
        <v>30</v>
      </c>
      <c r="V174">
        <v>4504</v>
      </c>
      <c r="W174" t="s">
        <v>53</v>
      </c>
      <c r="X174" t="s">
        <v>62</v>
      </c>
      <c r="Y174" t="s">
        <v>55</v>
      </c>
    </row>
    <row r="175" spans="1:25" x14ac:dyDescent="0.35">
      <c r="A175">
        <v>3866</v>
      </c>
      <c r="B175" t="s">
        <v>193</v>
      </c>
      <c r="C175" s="1">
        <v>45323</v>
      </c>
      <c r="D175" s="1">
        <v>45624</v>
      </c>
      <c r="E175">
        <v>9</v>
      </c>
      <c r="F175">
        <v>15.99</v>
      </c>
      <c r="G175">
        <f t="shared" si="2"/>
        <v>143.91</v>
      </c>
      <c r="H175">
        <v>328</v>
      </c>
      <c r="I175" t="s">
        <v>45</v>
      </c>
      <c r="J175">
        <v>2</v>
      </c>
      <c r="K175">
        <v>2</v>
      </c>
      <c r="L175" t="b">
        <v>0</v>
      </c>
      <c r="M175">
        <v>268</v>
      </c>
      <c r="N175">
        <v>50</v>
      </c>
      <c r="O175" t="s">
        <v>65</v>
      </c>
      <c r="P175" t="s">
        <v>42</v>
      </c>
      <c r="Q175" t="s">
        <v>43</v>
      </c>
      <c r="R175">
        <v>3</v>
      </c>
      <c r="S175">
        <v>4.4000000000000004</v>
      </c>
      <c r="T175" t="b">
        <v>1</v>
      </c>
      <c r="U175" t="s">
        <v>30</v>
      </c>
      <c r="V175">
        <v>3015</v>
      </c>
      <c r="W175" t="s">
        <v>59</v>
      </c>
      <c r="X175" t="s">
        <v>54</v>
      </c>
      <c r="Y175" t="s">
        <v>39</v>
      </c>
    </row>
    <row r="176" spans="1:25" x14ac:dyDescent="0.35">
      <c r="A176">
        <v>4477</v>
      </c>
      <c r="B176" t="s">
        <v>178</v>
      </c>
      <c r="C176" s="1">
        <v>45410</v>
      </c>
      <c r="D176" s="1">
        <v>45619</v>
      </c>
      <c r="E176">
        <v>6</v>
      </c>
      <c r="F176">
        <v>7.99</v>
      </c>
      <c r="G176">
        <f t="shared" si="2"/>
        <v>47.94</v>
      </c>
      <c r="H176">
        <v>85</v>
      </c>
      <c r="I176" t="s">
        <v>35</v>
      </c>
      <c r="J176">
        <v>5</v>
      </c>
      <c r="K176">
        <v>1</v>
      </c>
      <c r="L176" t="b">
        <v>0</v>
      </c>
      <c r="M176">
        <v>429</v>
      </c>
      <c r="N176">
        <v>52</v>
      </c>
      <c r="O176" t="s">
        <v>46</v>
      </c>
      <c r="P176" t="s">
        <v>28</v>
      </c>
      <c r="Q176" t="s">
        <v>36</v>
      </c>
      <c r="R176">
        <v>16</v>
      </c>
      <c r="S176">
        <v>3.8</v>
      </c>
      <c r="T176" t="b">
        <v>0</v>
      </c>
      <c r="U176" t="s">
        <v>30</v>
      </c>
      <c r="V176">
        <v>4971</v>
      </c>
      <c r="W176" t="s">
        <v>31</v>
      </c>
      <c r="X176" t="s">
        <v>62</v>
      </c>
      <c r="Y176" t="s">
        <v>39</v>
      </c>
    </row>
    <row r="177" spans="1:25" x14ac:dyDescent="0.35">
      <c r="A177">
        <v>4829</v>
      </c>
      <c r="B177" t="s">
        <v>194</v>
      </c>
      <c r="C177" s="1">
        <v>45556</v>
      </c>
      <c r="D177" s="1">
        <v>45643</v>
      </c>
      <c r="E177">
        <v>2</v>
      </c>
      <c r="F177">
        <v>11.99</v>
      </c>
      <c r="G177">
        <f t="shared" si="2"/>
        <v>23.98</v>
      </c>
      <c r="H177">
        <v>386</v>
      </c>
      <c r="I177" t="s">
        <v>45</v>
      </c>
      <c r="J177">
        <v>3</v>
      </c>
      <c r="K177">
        <v>4</v>
      </c>
      <c r="L177" t="b">
        <v>0</v>
      </c>
      <c r="M177">
        <v>62</v>
      </c>
      <c r="N177">
        <v>50</v>
      </c>
      <c r="O177" t="s">
        <v>65</v>
      </c>
      <c r="P177" t="s">
        <v>51</v>
      </c>
      <c r="Q177" t="s">
        <v>29</v>
      </c>
      <c r="R177">
        <v>44</v>
      </c>
      <c r="S177">
        <v>4.7</v>
      </c>
      <c r="T177" t="b">
        <v>0</v>
      </c>
      <c r="U177" t="s">
        <v>30</v>
      </c>
      <c r="V177">
        <v>2377</v>
      </c>
      <c r="W177" t="s">
        <v>31</v>
      </c>
      <c r="X177" t="s">
        <v>32</v>
      </c>
      <c r="Y177" t="s">
        <v>55</v>
      </c>
    </row>
    <row r="178" spans="1:25" x14ac:dyDescent="0.35">
      <c r="A178">
        <v>1257</v>
      </c>
      <c r="B178" t="s">
        <v>169</v>
      </c>
      <c r="C178" s="1">
        <v>44965</v>
      </c>
      <c r="D178" s="1">
        <v>45634</v>
      </c>
      <c r="E178">
        <v>22</v>
      </c>
      <c r="F178">
        <v>7.99</v>
      </c>
      <c r="G178">
        <f t="shared" si="2"/>
        <v>175.78</v>
      </c>
      <c r="H178">
        <v>245</v>
      </c>
      <c r="I178" t="s">
        <v>26</v>
      </c>
      <c r="J178">
        <v>3</v>
      </c>
      <c r="K178">
        <v>4</v>
      </c>
      <c r="L178" t="b">
        <v>0</v>
      </c>
      <c r="M178">
        <v>831</v>
      </c>
      <c r="N178">
        <v>15</v>
      </c>
      <c r="O178" t="s">
        <v>41</v>
      </c>
      <c r="P178" t="s">
        <v>28</v>
      </c>
      <c r="Q178" t="s">
        <v>36</v>
      </c>
      <c r="R178">
        <v>64</v>
      </c>
      <c r="S178">
        <v>4.9000000000000004</v>
      </c>
      <c r="T178" t="b">
        <v>0</v>
      </c>
      <c r="U178" t="s">
        <v>30</v>
      </c>
      <c r="V178">
        <v>212</v>
      </c>
      <c r="W178" t="s">
        <v>67</v>
      </c>
      <c r="X178" t="s">
        <v>62</v>
      </c>
      <c r="Y178" t="s">
        <v>77</v>
      </c>
    </row>
    <row r="179" spans="1:25" x14ac:dyDescent="0.35">
      <c r="A179">
        <v>1897</v>
      </c>
      <c r="B179" t="s">
        <v>195</v>
      </c>
      <c r="C179" s="1">
        <v>45004</v>
      </c>
      <c r="D179" s="1">
        <v>45642</v>
      </c>
      <c r="E179">
        <v>20</v>
      </c>
      <c r="F179">
        <v>11.99</v>
      </c>
      <c r="G179">
        <f t="shared" si="2"/>
        <v>239.8</v>
      </c>
      <c r="H179">
        <v>97</v>
      </c>
      <c r="I179" t="s">
        <v>57</v>
      </c>
      <c r="J179">
        <v>5</v>
      </c>
      <c r="K179">
        <v>5</v>
      </c>
      <c r="L179" t="b">
        <v>1</v>
      </c>
      <c r="M179">
        <v>737</v>
      </c>
      <c r="N179">
        <v>85</v>
      </c>
      <c r="O179" t="s">
        <v>50</v>
      </c>
      <c r="P179" t="s">
        <v>28</v>
      </c>
      <c r="Q179" t="s">
        <v>69</v>
      </c>
      <c r="R179">
        <v>80</v>
      </c>
      <c r="S179">
        <v>3.6</v>
      </c>
      <c r="T179" t="b">
        <v>1</v>
      </c>
      <c r="U179" t="s">
        <v>30</v>
      </c>
      <c r="V179">
        <v>188</v>
      </c>
      <c r="W179" t="s">
        <v>31</v>
      </c>
      <c r="X179" t="s">
        <v>70</v>
      </c>
      <c r="Y179" t="s">
        <v>77</v>
      </c>
    </row>
    <row r="180" spans="1:25" x14ac:dyDescent="0.35">
      <c r="A180">
        <v>3603</v>
      </c>
      <c r="B180" t="s">
        <v>196</v>
      </c>
      <c r="C180" s="1">
        <v>45020</v>
      </c>
      <c r="D180" s="1">
        <v>45616</v>
      </c>
      <c r="E180">
        <v>19</v>
      </c>
      <c r="F180">
        <v>7.99</v>
      </c>
      <c r="G180">
        <f t="shared" si="2"/>
        <v>151.81</v>
      </c>
      <c r="H180">
        <v>216</v>
      </c>
      <c r="I180" t="s">
        <v>48</v>
      </c>
      <c r="J180">
        <v>4</v>
      </c>
      <c r="K180">
        <v>3</v>
      </c>
      <c r="L180" t="b">
        <v>1</v>
      </c>
      <c r="M180">
        <v>923</v>
      </c>
      <c r="N180">
        <v>143</v>
      </c>
      <c r="O180" t="s">
        <v>27</v>
      </c>
      <c r="P180" t="s">
        <v>51</v>
      </c>
      <c r="Q180" t="s">
        <v>43</v>
      </c>
      <c r="R180">
        <v>20</v>
      </c>
      <c r="S180">
        <v>3.4</v>
      </c>
      <c r="T180" t="b">
        <v>0</v>
      </c>
      <c r="U180" t="s">
        <v>30</v>
      </c>
      <c r="V180">
        <v>4435</v>
      </c>
      <c r="W180" t="s">
        <v>37</v>
      </c>
      <c r="X180" t="s">
        <v>70</v>
      </c>
      <c r="Y180" t="s">
        <v>33</v>
      </c>
    </row>
    <row r="181" spans="1:25" x14ac:dyDescent="0.35">
      <c r="A181">
        <v>9256</v>
      </c>
      <c r="B181" t="s">
        <v>169</v>
      </c>
      <c r="C181" s="1">
        <v>44964</v>
      </c>
      <c r="D181" s="1">
        <v>45618</v>
      </c>
      <c r="E181">
        <v>21</v>
      </c>
      <c r="F181">
        <v>7.99</v>
      </c>
      <c r="G181">
        <f t="shared" si="2"/>
        <v>167.79</v>
      </c>
      <c r="H181">
        <v>331</v>
      </c>
      <c r="I181" t="s">
        <v>81</v>
      </c>
      <c r="J181">
        <v>5</v>
      </c>
      <c r="K181">
        <v>1</v>
      </c>
      <c r="L181" t="b">
        <v>0</v>
      </c>
      <c r="M181">
        <v>85</v>
      </c>
      <c r="N181">
        <v>117</v>
      </c>
      <c r="O181" t="s">
        <v>76</v>
      </c>
      <c r="P181" t="s">
        <v>51</v>
      </c>
      <c r="Q181" t="s">
        <v>69</v>
      </c>
      <c r="R181">
        <v>21</v>
      </c>
      <c r="S181">
        <v>4.8</v>
      </c>
      <c r="T181" t="b">
        <v>1</v>
      </c>
      <c r="U181" t="s">
        <v>30</v>
      </c>
      <c r="V181">
        <v>1454</v>
      </c>
      <c r="W181" t="s">
        <v>53</v>
      </c>
      <c r="X181" t="s">
        <v>38</v>
      </c>
      <c r="Y181" t="s">
        <v>77</v>
      </c>
    </row>
    <row r="182" spans="1:25" x14ac:dyDescent="0.35">
      <c r="A182">
        <v>9469</v>
      </c>
      <c r="B182" t="s">
        <v>82</v>
      </c>
      <c r="C182" s="1">
        <v>45087</v>
      </c>
      <c r="D182" s="1">
        <v>45621</v>
      </c>
      <c r="E182">
        <v>17</v>
      </c>
      <c r="F182">
        <v>11.99</v>
      </c>
      <c r="G182">
        <f t="shared" si="2"/>
        <v>203.83</v>
      </c>
      <c r="H182">
        <v>451</v>
      </c>
      <c r="I182" t="s">
        <v>45</v>
      </c>
      <c r="J182">
        <v>2</v>
      </c>
      <c r="K182">
        <v>3</v>
      </c>
      <c r="L182" t="b">
        <v>0</v>
      </c>
      <c r="M182">
        <v>59</v>
      </c>
      <c r="N182">
        <v>38</v>
      </c>
      <c r="O182" t="s">
        <v>65</v>
      </c>
      <c r="P182" t="s">
        <v>51</v>
      </c>
      <c r="Q182" t="s">
        <v>36</v>
      </c>
      <c r="R182">
        <v>94</v>
      </c>
      <c r="S182">
        <v>3</v>
      </c>
      <c r="T182" t="b">
        <v>1</v>
      </c>
      <c r="U182" t="s">
        <v>30</v>
      </c>
      <c r="V182">
        <v>2841</v>
      </c>
      <c r="W182" t="s">
        <v>59</v>
      </c>
      <c r="X182" t="s">
        <v>62</v>
      </c>
      <c r="Y182" t="s">
        <v>39</v>
      </c>
    </row>
    <row r="183" spans="1:25" x14ac:dyDescent="0.35">
      <c r="A183">
        <v>7136</v>
      </c>
      <c r="B183" t="s">
        <v>104</v>
      </c>
      <c r="C183" s="1">
        <v>45431</v>
      </c>
      <c r="D183" s="1">
        <v>45640</v>
      </c>
      <c r="E183">
        <v>6</v>
      </c>
      <c r="F183">
        <v>7.99</v>
      </c>
      <c r="G183">
        <f t="shared" si="2"/>
        <v>47.94</v>
      </c>
      <c r="H183">
        <v>326</v>
      </c>
      <c r="I183" t="s">
        <v>26</v>
      </c>
      <c r="J183">
        <v>5</v>
      </c>
      <c r="K183">
        <v>1</v>
      </c>
      <c r="L183" t="b">
        <v>0</v>
      </c>
      <c r="M183">
        <v>590</v>
      </c>
      <c r="N183">
        <v>105</v>
      </c>
      <c r="O183" t="s">
        <v>76</v>
      </c>
      <c r="P183" t="s">
        <v>28</v>
      </c>
      <c r="Q183" t="s">
        <v>29</v>
      </c>
      <c r="R183">
        <v>56</v>
      </c>
      <c r="S183">
        <v>3.3</v>
      </c>
      <c r="T183" t="b">
        <v>0</v>
      </c>
      <c r="U183" t="s">
        <v>30</v>
      </c>
      <c r="V183">
        <v>1626</v>
      </c>
      <c r="W183" t="s">
        <v>31</v>
      </c>
      <c r="X183" t="s">
        <v>38</v>
      </c>
      <c r="Y183" t="s">
        <v>77</v>
      </c>
    </row>
    <row r="184" spans="1:25" x14ac:dyDescent="0.35">
      <c r="A184">
        <v>2321</v>
      </c>
      <c r="B184" t="s">
        <v>197</v>
      </c>
      <c r="C184" s="1">
        <v>45342</v>
      </c>
      <c r="D184" s="1">
        <v>45640</v>
      </c>
      <c r="E184">
        <v>9</v>
      </c>
      <c r="F184">
        <v>15.99</v>
      </c>
      <c r="G184">
        <f t="shared" si="2"/>
        <v>143.91</v>
      </c>
      <c r="H184">
        <v>358</v>
      </c>
      <c r="I184" t="s">
        <v>35</v>
      </c>
      <c r="J184">
        <v>3</v>
      </c>
      <c r="K184">
        <v>1</v>
      </c>
      <c r="L184" t="b">
        <v>0</v>
      </c>
      <c r="M184">
        <v>348</v>
      </c>
      <c r="N184">
        <v>49</v>
      </c>
      <c r="O184" t="s">
        <v>76</v>
      </c>
      <c r="P184" t="s">
        <v>42</v>
      </c>
      <c r="Q184" t="s">
        <v>29</v>
      </c>
      <c r="R184">
        <v>14</v>
      </c>
      <c r="S184">
        <v>4.2</v>
      </c>
      <c r="T184" t="b">
        <v>0</v>
      </c>
      <c r="U184" t="s">
        <v>30</v>
      </c>
      <c r="V184">
        <v>111</v>
      </c>
      <c r="W184" t="s">
        <v>37</v>
      </c>
      <c r="X184" t="s">
        <v>32</v>
      </c>
      <c r="Y184" t="s">
        <v>55</v>
      </c>
    </row>
    <row r="185" spans="1:25" x14ac:dyDescent="0.35">
      <c r="A185">
        <v>4243</v>
      </c>
      <c r="B185" t="s">
        <v>178</v>
      </c>
      <c r="C185" s="1">
        <v>44998</v>
      </c>
      <c r="D185" s="1">
        <v>45625</v>
      </c>
      <c r="E185">
        <v>20</v>
      </c>
      <c r="F185">
        <v>15.99</v>
      </c>
      <c r="G185">
        <f t="shared" si="2"/>
        <v>319.8</v>
      </c>
      <c r="H185">
        <v>91</v>
      </c>
      <c r="I185" t="s">
        <v>26</v>
      </c>
      <c r="J185">
        <v>2</v>
      </c>
      <c r="K185">
        <v>1</v>
      </c>
      <c r="L185" t="b">
        <v>1</v>
      </c>
      <c r="M185">
        <v>561</v>
      </c>
      <c r="N185">
        <v>153</v>
      </c>
      <c r="O185" t="s">
        <v>41</v>
      </c>
      <c r="P185" t="s">
        <v>66</v>
      </c>
      <c r="Q185" t="s">
        <v>58</v>
      </c>
      <c r="R185">
        <v>7</v>
      </c>
      <c r="S185">
        <v>4.0999999999999996</v>
      </c>
      <c r="T185" t="b">
        <v>0</v>
      </c>
      <c r="U185" t="s">
        <v>30</v>
      </c>
      <c r="V185">
        <v>450</v>
      </c>
      <c r="W185" t="s">
        <v>67</v>
      </c>
      <c r="X185" t="s">
        <v>70</v>
      </c>
      <c r="Y185" t="s">
        <v>55</v>
      </c>
    </row>
    <row r="186" spans="1:25" x14ac:dyDescent="0.35">
      <c r="A186">
        <v>8015</v>
      </c>
      <c r="B186" t="s">
        <v>198</v>
      </c>
      <c r="C186" s="1">
        <v>45227</v>
      </c>
      <c r="D186" s="1">
        <v>45644</v>
      </c>
      <c r="E186">
        <v>13</v>
      </c>
      <c r="F186">
        <v>7.99</v>
      </c>
      <c r="G186">
        <f t="shared" si="2"/>
        <v>103.87</v>
      </c>
      <c r="H186">
        <v>478</v>
      </c>
      <c r="I186" t="s">
        <v>26</v>
      </c>
      <c r="J186">
        <v>2</v>
      </c>
      <c r="K186">
        <v>2</v>
      </c>
      <c r="L186" t="b">
        <v>1</v>
      </c>
      <c r="M186">
        <v>214</v>
      </c>
      <c r="N186">
        <v>191</v>
      </c>
      <c r="O186" t="s">
        <v>46</v>
      </c>
      <c r="P186" t="s">
        <v>42</v>
      </c>
      <c r="Q186" t="s">
        <v>52</v>
      </c>
      <c r="R186">
        <v>44</v>
      </c>
      <c r="S186">
        <v>3.6</v>
      </c>
      <c r="T186" t="b">
        <v>0</v>
      </c>
      <c r="U186" t="s">
        <v>30</v>
      </c>
      <c r="V186">
        <v>3325</v>
      </c>
      <c r="W186" t="s">
        <v>37</v>
      </c>
      <c r="X186" t="s">
        <v>32</v>
      </c>
      <c r="Y186" t="s">
        <v>77</v>
      </c>
    </row>
    <row r="187" spans="1:25" x14ac:dyDescent="0.35">
      <c r="A187">
        <v>3440</v>
      </c>
      <c r="B187" t="s">
        <v>82</v>
      </c>
      <c r="C187" s="1">
        <v>44982</v>
      </c>
      <c r="D187" s="1">
        <v>45618</v>
      </c>
      <c r="E187">
        <v>20</v>
      </c>
      <c r="F187">
        <v>7.99</v>
      </c>
      <c r="G187">
        <f t="shared" si="2"/>
        <v>159.80000000000001</v>
      </c>
      <c r="H187">
        <v>16</v>
      </c>
      <c r="I187" t="s">
        <v>48</v>
      </c>
      <c r="J187">
        <v>3</v>
      </c>
      <c r="K187">
        <v>4</v>
      </c>
      <c r="L187" t="b">
        <v>0</v>
      </c>
      <c r="M187">
        <v>964</v>
      </c>
      <c r="N187">
        <v>111</v>
      </c>
      <c r="O187" t="s">
        <v>76</v>
      </c>
      <c r="P187" t="s">
        <v>28</v>
      </c>
      <c r="Q187" t="s">
        <v>43</v>
      </c>
      <c r="R187">
        <v>52</v>
      </c>
      <c r="S187">
        <v>3.1</v>
      </c>
      <c r="T187" t="b">
        <v>1</v>
      </c>
      <c r="U187" t="s">
        <v>30</v>
      </c>
      <c r="V187">
        <v>3059</v>
      </c>
      <c r="W187" t="s">
        <v>67</v>
      </c>
      <c r="X187" t="s">
        <v>54</v>
      </c>
      <c r="Y187" t="s">
        <v>55</v>
      </c>
    </row>
    <row r="188" spans="1:25" x14ac:dyDescent="0.35">
      <c r="A188">
        <v>9914</v>
      </c>
      <c r="B188" t="s">
        <v>134</v>
      </c>
      <c r="C188" s="1">
        <v>45216</v>
      </c>
      <c r="D188" s="1">
        <v>45634</v>
      </c>
      <c r="E188">
        <v>13</v>
      </c>
      <c r="F188">
        <v>11.99</v>
      </c>
      <c r="G188">
        <f t="shared" si="2"/>
        <v>155.87</v>
      </c>
      <c r="H188">
        <v>44</v>
      </c>
      <c r="I188" t="s">
        <v>64</v>
      </c>
      <c r="J188">
        <v>2</v>
      </c>
      <c r="K188">
        <v>1</v>
      </c>
      <c r="L188" t="b">
        <v>1</v>
      </c>
      <c r="M188">
        <v>897</v>
      </c>
      <c r="N188">
        <v>62</v>
      </c>
      <c r="O188" t="s">
        <v>65</v>
      </c>
      <c r="P188" t="s">
        <v>28</v>
      </c>
      <c r="Q188" t="s">
        <v>58</v>
      </c>
      <c r="R188">
        <v>18</v>
      </c>
      <c r="S188">
        <v>4.4000000000000004</v>
      </c>
      <c r="T188" t="b">
        <v>0</v>
      </c>
      <c r="U188" t="s">
        <v>30</v>
      </c>
      <c r="V188">
        <v>1065</v>
      </c>
      <c r="W188" t="s">
        <v>31</v>
      </c>
      <c r="X188" t="s">
        <v>32</v>
      </c>
      <c r="Y188" t="s">
        <v>77</v>
      </c>
    </row>
    <row r="189" spans="1:25" x14ac:dyDescent="0.35">
      <c r="A189">
        <v>5045</v>
      </c>
      <c r="B189" t="s">
        <v>102</v>
      </c>
      <c r="C189" s="1">
        <v>45529</v>
      </c>
      <c r="D189" s="1">
        <v>45617</v>
      </c>
      <c r="E189">
        <v>2</v>
      </c>
      <c r="F189">
        <v>11.99</v>
      </c>
      <c r="G189">
        <f t="shared" si="2"/>
        <v>23.98</v>
      </c>
      <c r="H189">
        <v>100</v>
      </c>
      <c r="I189" t="s">
        <v>64</v>
      </c>
      <c r="J189">
        <v>4</v>
      </c>
      <c r="K189">
        <v>1</v>
      </c>
      <c r="L189" t="b">
        <v>1</v>
      </c>
      <c r="M189">
        <v>983</v>
      </c>
      <c r="N189">
        <v>191</v>
      </c>
      <c r="O189" t="s">
        <v>76</v>
      </c>
      <c r="P189" t="s">
        <v>28</v>
      </c>
      <c r="Q189" t="s">
        <v>43</v>
      </c>
      <c r="R189">
        <v>53</v>
      </c>
      <c r="S189">
        <v>4.5</v>
      </c>
      <c r="T189" t="b">
        <v>0</v>
      </c>
      <c r="U189" t="s">
        <v>30</v>
      </c>
      <c r="V189">
        <v>2575</v>
      </c>
      <c r="W189" t="s">
        <v>67</v>
      </c>
      <c r="X189" t="s">
        <v>54</v>
      </c>
      <c r="Y189" t="s">
        <v>77</v>
      </c>
    </row>
    <row r="190" spans="1:25" x14ac:dyDescent="0.35">
      <c r="A190">
        <v>1379</v>
      </c>
      <c r="B190" t="s">
        <v>156</v>
      </c>
      <c r="C190" s="1">
        <v>45035</v>
      </c>
      <c r="D190" s="1">
        <v>45631</v>
      </c>
      <c r="E190">
        <v>19</v>
      </c>
      <c r="F190">
        <v>11.99</v>
      </c>
      <c r="G190">
        <f t="shared" si="2"/>
        <v>227.81</v>
      </c>
      <c r="H190">
        <v>44</v>
      </c>
      <c r="I190" t="s">
        <v>35</v>
      </c>
      <c r="J190">
        <v>5</v>
      </c>
      <c r="K190">
        <v>4</v>
      </c>
      <c r="L190" t="b">
        <v>1</v>
      </c>
      <c r="M190">
        <v>432</v>
      </c>
      <c r="N190">
        <v>73</v>
      </c>
      <c r="O190" t="s">
        <v>46</v>
      </c>
      <c r="P190" t="s">
        <v>28</v>
      </c>
      <c r="Q190" t="s">
        <v>58</v>
      </c>
      <c r="R190">
        <v>88</v>
      </c>
      <c r="S190">
        <v>4.5999999999999996</v>
      </c>
      <c r="T190" t="b">
        <v>0</v>
      </c>
      <c r="U190" t="s">
        <v>30</v>
      </c>
      <c r="V190">
        <v>1690</v>
      </c>
      <c r="W190" t="s">
        <v>59</v>
      </c>
      <c r="X190" t="s">
        <v>32</v>
      </c>
      <c r="Y190" t="s">
        <v>39</v>
      </c>
    </row>
    <row r="191" spans="1:25" x14ac:dyDescent="0.35">
      <c r="A191">
        <v>6099</v>
      </c>
      <c r="B191" t="s">
        <v>199</v>
      </c>
      <c r="C191" s="1">
        <v>45345</v>
      </c>
      <c r="D191" s="1">
        <v>45623</v>
      </c>
      <c r="E191">
        <v>9</v>
      </c>
      <c r="F191">
        <v>11.99</v>
      </c>
      <c r="G191">
        <f t="shared" si="2"/>
        <v>107.91</v>
      </c>
      <c r="H191">
        <v>37</v>
      </c>
      <c r="I191" t="s">
        <v>64</v>
      </c>
      <c r="J191">
        <v>3</v>
      </c>
      <c r="K191">
        <v>1</v>
      </c>
      <c r="L191" t="b">
        <v>1</v>
      </c>
      <c r="M191">
        <v>881</v>
      </c>
      <c r="N191">
        <v>189</v>
      </c>
      <c r="O191" t="s">
        <v>41</v>
      </c>
      <c r="P191" t="s">
        <v>42</v>
      </c>
      <c r="Q191" t="s">
        <v>69</v>
      </c>
      <c r="R191">
        <v>32</v>
      </c>
      <c r="S191">
        <v>3.9</v>
      </c>
      <c r="T191" t="b">
        <v>0</v>
      </c>
      <c r="U191" t="s">
        <v>30</v>
      </c>
      <c r="V191">
        <v>1382</v>
      </c>
      <c r="W191" t="s">
        <v>31</v>
      </c>
      <c r="X191" t="s">
        <v>32</v>
      </c>
      <c r="Y191" t="s">
        <v>55</v>
      </c>
    </row>
    <row r="192" spans="1:25" x14ac:dyDescent="0.35">
      <c r="A192">
        <v>4696</v>
      </c>
      <c r="B192" t="s">
        <v>200</v>
      </c>
      <c r="C192" s="1">
        <v>45095</v>
      </c>
      <c r="D192" s="1">
        <v>45630</v>
      </c>
      <c r="E192">
        <v>17</v>
      </c>
      <c r="F192">
        <v>15.99</v>
      </c>
      <c r="G192">
        <f t="shared" si="2"/>
        <v>271.83</v>
      </c>
      <c r="H192">
        <v>48</v>
      </c>
      <c r="I192" t="s">
        <v>26</v>
      </c>
      <c r="J192">
        <v>5</v>
      </c>
      <c r="K192">
        <v>2</v>
      </c>
      <c r="L192" t="b">
        <v>0</v>
      </c>
      <c r="M192">
        <v>331</v>
      </c>
      <c r="N192">
        <v>93</v>
      </c>
      <c r="O192" t="s">
        <v>27</v>
      </c>
      <c r="P192" t="s">
        <v>66</v>
      </c>
      <c r="Q192" t="s">
        <v>69</v>
      </c>
      <c r="R192">
        <v>66</v>
      </c>
      <c r="S192">
        <v>3.7</v>
      </c>
      <c r="T192" t="b">
        <v>0</v>
      </c>
      <c r="U192" t="s">
        <v>30</v>
      </c>
      <c r="V192">
        <v>1050</v>
      </c>
      <c r="W192" t="s">
        <v>59</v>
      </c>
      <c r="X192" t="s">
        <v>38</v>
      </c>
      <c r="Y192" t="s">
        <v>33</v>
      </c>
    </row>
    <row r="193" spans="1:25" x14ac:dyDescent="0.35">
      <c r="A193">
        <v>4808</v>
      </c>
      <c r="B193" t="s">
        <v>183</v>
      </c>
      <c r="C193" s="1">
        <v>45377</v>
      </c>
      <c r="D193" s="1">
        <v>45623</v>
      </c>
      <c r="E193">
        <v>8</v>
      </c>
      <c r="F193">
        <v>7.99</v>
      </c>
      <c r="G193">
        <f t="shared" si="2"/>
        <v>63.92</v>
      </c>
      <c r="H193">
        <v>371</v>
      </c>
      <c r="I193" t="s">
        <v>81</v>
      </c>
      <c r="J193">
        <v>1</v>
      </c>
      <c r="K193">
        <v>1</v>
      </c>
      <c r="L193" t="b">
        <v>1</v>
      </c>
      <c r="M193">
        <v>819</v>
      </c>
      <c r="N193">
        <v>71</v>
      </c>
      <c r="O193" t="s">
        <v>41</v>
      </c>
      <c r="P193" t="s">
        <v>28</v>
      </c>
      <c r="Q193" t="s">
        <v>52</v>
      </c>
      <c r="R193">
        <v>36</v>
      </c>
      <c r="S193">
        <v>4.0999999999999996</v>
      </c>
      <c r="T193" t="b">
        <v>1</v>
      </c>
      <c r="U193" t="s">
        <v>30</v>
      </c>
      <c r="V193">
        <v>2328</v>
      </c>
      <c r="W193" t="s">
        <v>37</v>
      </c>
      <c r="X193" t="s">
        <v>62</v>
      </c>
      <c r="Y193" t="s">
        <v>33</v>
      </c>
    </row>
    <row r="194" spans="1:25" x14ac:dyDescent="0.35">
      <c r="A194">
        <v>3633</v>
      </c>
      <c r="B194" t="s">
        <v>201</v>
      </c>
      <c r="C194" s="1">
        <v>45644</v>
      </c>
      <c r="D194" s="1">
        <v>45636</v>
      </c>
      <c r="E194">
        <v>0</v>
      </c>
      <c r="F194">
        <v>7.99</v>
      </c>
      <c r="G194">
        <f t="shared" si="2"/>
        <v>0</v>
      </c>
      <c r="H194">
        <v>176</v>
      </c>
      <c r="I194" t="s">
        <v>26</v>
      </c>
      <c r="J194">
        <v>5</v>
      </c>
      <c r="K194">
        <v>1</v>
      </c>
      <c r="L194" t="b">
        <v>1</v>
      </c>
      <c r="M194">
        <v>936</v>
      </c>
      <c r="N194">
        <v>11</v>
      </c>
      <c r="O194" t="s">
        <v>76</v>
      </c>
      <c r="P194" t="s">
        <v>66</v>
      </c>
      <c r="Q194" t="s">
        <v>58</v>
      </c>
      <c r="R194">
        <v>42</v>
      </c>
      <c r="S194">
        <v>3.2</v>
      </c>
      <c r="T194" t="b">
        <v>0</v>
      </c>
      <c r="U194" t="s">
        <v>30</v>
      </c>
      <c r="V194">
        <v>4414</v>
      </c>
      <c r="W194" t="s">
        <v>31</v>
      </c>
      <c r="X194" t="s">
        <v>32</v>
      </c>
      <c r="Y194" t="s">
        <v>33</v>
      </c>
    </row>
    <row r="195" spans="1:25" x14ac:dyDescent="0.35">
      <c r="A195">
        <v>4979</v>
      </c>
      <c r="B195" t="s">
        <v>168</v>
      </c>
      <c r="C195" s="1">
        <v>45612</v>
      </c>
      <c r="D195" s="1">
        <v>45620</v>
      </c>
      <c r="E195">
        <v>0</v>
      </c>
      <c r="F195">
        <v>15.99</v>
      </c>
      <c r="G195">
        <f t="shared" ref="G195:G258" si="3">F195*E195</f>
        <v>0</v>
      </c>
      <c r="H195">
        <v>312</v>
      </c>
      <c r="I195" t="s">
        <v>35</v>
      </c>
      <c r="J195">
        <v>4</v>
      </c>
      <c r="K195">
        <v>4</v>
      </c>
      <c r="L195" t="b">
        <v>0</v>
      </c>
      <c r="M195">
        <v>321</v>
      </c>
      <c r="N195">
        <v>19</v>
      </c>
      <c r="O195" t="s">
        <v>61</v>
      </c>
      <c r="P195" t="s">
        <v>28</v>
      </c>
      <c r="Q195" t="s">
        <v>52</v>
      </c>
      <c r="R195">
        <v>18</v>
      </c>
      <c r="S195">
        <v>4.3</v>
      </c>
      <c r="T195" t="b">
        <v>1</v>
      </c>
      <c r="U195" t="s">
        <v>30</v>
      </c>
      <c r="V195">
        <v>3980</v>
      </c>
      <c r="W195" t="s">
        <v>59</v>
      </c>
      <c r="X195" t="s">
        <v>38</v>
      </c>
      <c r="Y195" t="s">
        <v>39</v>
      </c>
    </row>
    <row r="196" spans="1:25" x14ac:dyDescent="0.35">
      <c r="A196">
        <v>2214</v>
      </c>
      <c r="B196" t="s">
        <v>202</v>
      </c>
      <c r="C196" s="1">
        <v>45586</v>
      </c>
      <c r="D196" s="1">
        <v>45620</v>
      </c>
      <c r="E196">
        <v>1</v>
      </c>
      <c r="F196">
        <v>7.99</v>
      </c>
      <c r="G196">
        <f t="shared" si="3"/>
        <v>7.99</v>
      </c>
      <c r="H196">
        <v>375</v>
      </c>
      <c r="I196" t="s">
        <v>81</v>
      </c>
      <c r="J196">
        <v>1</v>
      </c>
      <c r="K196">
        <v>1</v>
      </c>
      <c r="L196" t="b">
        <v>1</v>
      </c>
      <c r="M196">
        <v>244</v>
      </c>
      <c r="N196">
        <v>106</v>
      </c>
      <c r="O196" t="s">
        <v>50</v>
      </c>
      <c r="P196" t="s">
        <v>28</v>
      </c>
      <c r="Q196" t="s">
        <v>69</v>
      </c>
      <c r="R196">
        <v>16</v>
      </c>
      <c r="S196">
        <v>3.9</v>
      </c>
      <c r="T196" t="b">
        <v>1</v>
      </c>
      <c r="U196" t="s">
        <v>30</v>
      </c>
      <c r="V196">
        <v>3596</v>
      </c>
      <c r="W196" t="s">
        <v>31</v>
      </c>
      <c r="X196" t="s">
        <v>38</v>
      </c>
      <c r="Y196" t="s">
        <v>33</v>
      </c>
    </row>
    <row r="197" spans="1:25" x14ac:dyDescent="0.35">
      <c r="A197">
        <v>6606</v>
      </c>
      <c r="B197" t="s">
        <v>199</v>
      </c>
      <c r="C197" s="1">
        <v>45317</v>
      </c>
      <c r="D197" s="1">
        <v>45625</v>
      </c>
      <c r="E197">
        <v>10</v>
      </c>
      <c r="F197">
        <v>15.99</v>
      </c>
      <c r="G197">
        <f t="shared" si="3"/>
        <v>159.9</v>
      </c>
      <c r="H197">
        <v>134</v>
      </c>
      <c r="I197" t="s">
        <v>45</v>
      </c>
      <c r="J197">
        <v>3</v>
      </c>
      <c r="K197">
        <v>5</v>
      </c>
      <c r="L197" t="b">
        <v>1</v>
      </c>
      <c r="M197">
        <v>826</v>
      </c>
      <c r="N197">
        <v>160</v>
      </c>
      <c r="O197" t="s">
        <v>76</v>
      </c>
      <c r="P197" t="s">
        <v>66</v>
      </c>
      <c r="Q197" t="s">
        <v>58</v>
      </c>
      <c r="R197">
        <v>96</v>
      </c>
      <c r="S197">
        <v>3.6</v>
      </c>
      <c r="T197" t="b">
        <v>1</v>
      </c>
      <c r="U197" t="s">
        <v>30</v>
      </c>
      <c r="V197">
        <v>1150</v>
      </c>
      <c r="W197" t="s">
        <v>31</v>
      </c>
      <c r="X197" t="s">
        <v>38</v>
      </c>
      <c r="Y197" t="s">
        <v>33</v>
      </c>
    </row>
    <row r="198" spans="1:25" x14ac:dyDescent="0.35">
      <c r="A198">
        <v>4246</v>
      </c>
      <c r="B198" t="s">
        <v>170</v>
      </c>
      <c r="C198" s="1">
        <v>45193</v>
      </c>
      <c r="D198" s="1">
        <v>45641</v>
      </c>
      <c r="E198">
        <v>14</v>
      </c>
      <c r="F198">
        <v>7.99</v>
      </c>
      <c r="G198">
        <f t="shared" si="3"/>
        <v>111.86</v>
      </c>
      <c r="H198">
        <v>91</v>
      </c>
      <c r="I198" t="s">
        <v>35</v>
      </c>
      <c r="J198">
        <v>5</v>
      </c>
      <c r="K198">
        <v>1</v>
      </c>
      <c r="L198" t="b">
        <v>0</v>
      </c>
      <c r="M198">
        <v>159</v>
      </c>
      <c r="N198">
        <v>14</v>
      </c>
      <c r="O198" t="s">
        <v>46</v>
      </c>
      <c r="P198" t="s">
        <v>28</v>
      </c>
      <c r="Q198" t="s">
        <v>52</v>
      </c>
      <c r="R198">
        <v>85</v>
      </c>
      <c r="S198">
        <v>4.4000000000000004</v>
      </c>
      <c r="T198" t="b">
        <v>0</v>
      </c>
      <c r="U198" t="s">
        <v>30</v>
      </c>
      <c r="V198">
        <v>1858</v>
      </c>
      <c r="W198" t="s">
        <v>53</v>
      </c>
      <c r="X198" t="s">
        <v>32</v>
      </c>
      <c r="Y198" t="s">
        <v>33</v>
      </c>
    </row>
    <row r="199" spans="1:25" x14ac:dyDescent="0.35">
      <c r="A199">
        <v>2836</v>
      </c>
      <c r="B199" t="s">
        <v>152</v>
      </c>
      <c r="C199" s="1">
        <v>45329</v>
      </c>
      <c r="D199" s="1">
        <v>45643</v>
      </c>
      <c r="E199">
        <v>10</v>
      </c>
      <c r="F199">
        <v>7.99</v>
      </c>
      <c r="G199">
        <f t="shared" si="3"/>
        <v>79.900000000000006</v>
      </c>
      <c r="H199">
        <v>359</v>
      </c>
      <c r="I199" t="s">
        <v>57</v>
      </c>
      <c r="J199">
        <v>2</v>
      </c>
      <c r="K199">
        <v>6</v>
      </c>
      <c r="L199" t="b">
        <v>0</v>
      </c>
      <c r="M199">
        <v>305</v>
      </c>
      <c r="N199">
        <v>81</v>
      </c>
      <c r="O199" t="s">
        <v>61</v>
      </c>
      <c r="P199" t="s">
        <v>66</v>
      </c>
      <c r="Q199" t="s">
        <v>36</v>
      </c>
      <c r="R199">
        <v>28</v>
      </c>
      <c r="S199">
        <v>3.3</v>
      </c>
      <c r="T199" t="b">
        <v>0</v>
      </c>
      <c r="U199" t="s">
        <v>30</v>
      </c>
      <c r="V199">
        <v>1926</v>
      </c>
      <c r="W199" t="s">
        <v>37</v>
      </c>
      <c r="X199" t="s">
        <v>70</v>
      </c>
      <c r="Y199" t="s">
        <v>55</v>
      </c>
    </row>
    <row r="200" spans="1:25" x14ac:dyDescent="0.35">
      <c r="A200">
        <v>6963</v>
      </c>
      <c r="B200" t="s">
        <v>203</v>
      </c>
      <c r="C200" s="1">
        <v>45113</v>
      </c>
      <c r="D200" s="1">
        <v>45625</v>
      </c>
      <c r="E200">
        <v>16</v>
      </c>
      <c r="F200">
        <v>15.99</v>
      </c>
      <c r="G200">
        <f t="shared" si="3"/>
        <v>255.84</v>
      </c>
      <c r="H200">
        <v>172</v>
      </c>
      <c r="I200" t="s">
        <v>64</v>
      </c>
      <c r="J200">
        <v>2</v>
      </c>
      <c r="K200">
        <v>6</v>
      </c>
      <c r="L200" t="b">
        <v>0</v>
      </c>
      <c r="M200">
        <v>841</v>
      </c>
      <c r="N200">
        <v>83</v>
      </c>
      <c r="O200" t="s">
        <v>46</v>
      </c>
      <c r="P200" t="s">
        <v>28</v>
      </c>
      <c r="Q200" t="s">
        <v>69</v>
      </c>
      <c r="R200">
        <v>44</v>
      </c>
      <c r="S200">
        <v>5</v>
      </c>
      <c r="T200" t="b">
        <v>1</v>
      </c>
      <c r="U200" t="s">
        <v>30</v>
      </c>
      <c r="V200">
        <v>2933</v>
      </c>
      <c r="W200" t="s">
        <v>67</v>
      </c>
      <c r="X200" t="s">
        <v>38</v>
      </c>
      <c r="Y200" t="s">
        <v>39</v>
      </c>
    </row>
    <row r="201" spans="1:25" x14ac:dyDescent="0.35">
      <c r="A201">
        <v>2243</v>
      </c>
      <c r="B201" t="s">
        <v>204</v>
      </c>
      <c r="C201" s="1">
        <v>45490</v>
      </c>
      <c r="D201" s="1">
        <v>45628</v>
      </c>
      <c r="E201">
        <v>4</v>
      </c>
      <c r="F201">
        <v>11.99</v>
      </c>
      <c r="G201">
        <f t="shared" si="3"/>
        <v>47.96</v>
      </c>
      <c r="H201">
        <v>490</v>
      </c>
      <c r="I201" t="s">
        <v>64</v>
      </c>
      <c r="J201">
        <v>3</v>
      </c>
      <c r="K201">
        <v>3</v>
      </c>
      <c r="L201" t="b">
        <v>1</v>
      </c>
      <c r="M201">
        <v>123</v>
      </c>
      <c r="N201">
        <v>183</v>
      </c>
      <c r="O201" t="s">
        <v>76</v>
      </c>
      <c r="P201" t="s">
        <v>66</v>
      </c>
      <c r="Q201" t="s">
        <v>36</v>
      </c>
      <c r="R201">
        <v>45</v>
      </c>
      <c r="S201">
        <v>4.4000000000000004</v>
      </c>
      <c r="T201" t="b">
        <v>0</v>
      </c>
      <c r="U201" t="s">
        <v>30</v>
      </c>
      <c r="V201">
        <v>2397</v>
      </c>
      <c r="W201" t="s">
        <v>37</v>
      </c>
      <c r="X201" t="s">
        <v>54</v>
      </c>
      <c r="Y201" t="s">
        <v>39</v>
      </c>
    </row>
    <row r="202" spans="1:25" x14ac:dyDescent="0.35">
      <c r="A202">
        <v>5081</v>
      </c>
      <c r="B202" t="s">
        <v>205</v>
      </c>
      <c r="C202" s="1">
        <v>45592</v>
      </c>
      <c r="D202" s="1">
        <v>45616</v>
      </c>
      <c r="E202">
        <v>0</v>
      </c>
      <c r="F202">
        <v>11.99</v>
      </c>
      <c r="G202">
        <f t="shared" si="3"/>
        <v>0</v>
      </c>
      <c r="H202">
        <v>16</v>
      </c>
      <c r="I202" t="s">
        <v>81</v>
      </c>
      <c r="J202">
        <v>1</v>
      </c>
      <c r="K202">
        <v>5</v>
      </c>
      <c r="L202" t="b">
        <v>1</v>
      </c>
      <c r="M202">
        <v>803</v>
      </c>
      <c r="N202">
        <v>196</v>
      </c>
      <c r="O202" t="s">
        <v>61</v>
      </c>
      <c r="P202" t="s">
        <v>66</v>
      </c>
      <c r="Q202" t="s">
        <v>29</v>
      </c>
      <c r="R202">
        <v>90</v>
      </c>
      <c r="S202">
        <v>4.3</v>
      </c>
      <c r="T202" t="b">
        <v>1</v>
      </c>
      <c r="U202" t="s">
        <v>30</v>
      </c>
      <c r="V202">
        <v>1946</v>
      </c>
      <c r="W202" t="s">
        <v>53</v>
      </c>
      <c r="X202" t="s">
        <v>62</v>
      </c>
      <c r="Y202" t="s">
        <v>33</v>
      </c>
    </row>
    <row r="203" spans="1:25" x14ac:dyDescent="0.35">
      <c r="A203">
        <v>4171</v>
      </c>
      <c r="B203" t="s">
        <v>148</v>
      </c>
      <c r="C203" s="1">
        <v>45477</v>
      </c>
      <c r="D203" s="1">
        <v>45640</v>
      </c>
      <c r="E203">
        <v>5</v>
      </c>
      <c r="F203">
        <v>11.99</v>
      </c>
      <c r="G203">
        <f t="shared" si="3"/>
        <v>59.95</v>
      </c>
      <c r="H203">
        <v>291</v>
      </c>
      <c r="I203" t="s">
        <v>45</v>
      </c>
      <c r="J203">
        <v>2</v>
      </c>
      <c r="K203">
        <v>1</v>
      </c>
      <c r="L203" t="b">
        <v>1</v>
      </c>
      <c r="M203">
        <v>380</v>
      </c>
      <c r="N203">
        <v>106</v>
      </c>
      <c r="O203" t="s">
        <v>41</v>
      </c>
      <c r="P203" t="s">
        <v>28</v>
      </c>
      <c r="Q203" t="s">
        <v>52</v>
      </c>
      <c r="R203">
        <v>22</v>
      </c>
      <c r="S203">
        <v>4.0999999999999996</v>
      </c>
      <c r="T203" t="b">
        <v>0</v>
      </c>
      <c r="U203" t="s">
        <v>30</v>
      </c>
      <c r="V203">
        <v>2576</v>
      </c>
      <c r="W203" t="s">
        <v>53</v>
      </c>
      <c r="X203" t="s">
        <v>62</v>
      </c>
      <c r="Y203" t="s">
        <v>39</v>
      </c>
    </row>
    <row r="204" spans="1:25" x14ac:dyDescent="0.35">
      <c r="A204">
        <v>7399</v>
      </c>
      <c r="B204" t="s">
        <v>136</v>
      </c>
      <c r="C204" s="1">
        <v>45517</v>
      </c>
      <c r="D204" s="1">
        <v>45635</v>
      </c>
      <c r="E204">
        <v>3</v>
      </c>
      <c r="F204">
        <v>11.99</v>
      </c>
      <c r="G204">
        <f t="shared" si="3"/>
        <v>35.97</v>
      </c>
      <c r="H204">
        <v>119</v>
      </c>
      <c r="I204" t="s">
        <v>81</v>
      </c>
      <c r="J204">
        <v>2</v>
      </c>
      <c r="K204">
        <v>5</v>
      </c>
      <c r="L204" t="b">
        <v>1</v>
      </c>
      <c r="M204">
        <v>344</v>
      </c>
      <c r="N204">
        <v>93</v>
      </c>
      <c r="O204" t="s">
        <v>65</v>
      </c>
      <c r="P204" t="s">
        <v>42</v>
      </c>
      <c r="Q204" t="s">
        <v>29</v>
      </c>
      <c r="R204">
        <v>0</v>
      </c>
      <c r="S204">
        <v>4.2</v>
      </c>
      <c r="T204" t="b">
        <v>0</v>
      </c>
      <c r="U204" t="s">
        <v>30</v>
      </c>
      <c r="V204">
        <v>2259</v>
      </c>
      <c r="W204" t="s">
        <v>67</v>
      </c>
      <c r="X204" t="s">
        <v>62</v>
      </c>
      <c r="Y204" t="s">
        <v>33</v>
      </c>
    </row>
    <row r="205" spans="1:25" x14ac:dyDescent="0.35">
      <c r="A205">
        <v>1110</v>
      </c>
      <c r="B205" t="s">
        <v>161</v>
      </c>
      <c r="C205" s="1">
        <v>45417</v>
      </c>
      <c r="D205" s="1">
        <v>45630</v>
      </c>
      <c r="E205">
        <v>6</v>
      </c>
      <c r="F205">
        <v>11.99</v>
      </c>
      <c r="G205">
        <f t="shared" si="3"/>
        <v>71.94</v>
      </c>
      <c r="H205">
        <v>35</v>
      </c>
      <c r="I205" t="s">
        <v>26</v>
      </c>
      <c r="J205">
        <v>2</v>
      </c>
      <c r="K205">
        <v>3</v>
      </c>
      <c r="L205" t="b">
        <v>1</v>
      </c>
      <c r="M205">
        <v>908</v>
      </c>
      <c r="N205">
        <v>128</v>
      </c>
      <c r="O205" t="s">
        <v>27</v>
      </c>
      <c r="P205" t="s">
        <v>28</v>
      </c>
      <c r="Q205" t="s">
        <v>52</v>
      </c>
      <c r="R205">
        <v>86</v>
      </c>
      <c r="S205">
        <v>3.2</v>
      </c>
      <c r="T205" t="b">
        <v>1</v>
      </c>
      <c r="U205" t="s">
        <v>30</v>
      </c>
      <c r="V205">
        <v>1068</v>
      </c>
      <c r="W205" t="s">
        <v>67</v>
      </c>
      <c r="X205" t="s">
        <v>32</v>
      </c>
      <c r="Y205" t="s">
        <v>39</v>
      </c>
    </row>
    <row r="206" spans="1:25" x14ac:dyDescent="0.35">
      <c r="A206">
        <v>5630</v>
      </c>
      <c r="B206" t="s">
        <v>206</v>
      </c>
      <c r="C206" s="1">
        <v>45264</v>
      </c>
      <c r="D206" s="1">
        <v>45620</v>
      </c>
      <c r="E206">
        <v>11</v>
      </c>
      <c r="F206">
        <v>7.99</v>
      </c>
      <c r="G206">
        <f t="shared" si="3"/>
        <v>87.89</v>
      </c>
      <c r="H206">
        <v>88</v>
      </c>
      <c r="I206" t="s">
        <v>35</v>
      </c>
      <c r="J206">
        <v>4</v>
      </c>
      <c r="K206">
        <v>6</v>
      </c>
      <c r="L206" t="b">
        <v>1</v>
      </c>
      <c r="M206">
        <v>782</v>
      </c>
      <c r="N206">
        <v>180</v>
      </c>
      <c r="O206" t="s">
        <v>27</v>
      </c>
      <c r="P206" t="s">
        <v>42</v>
      </c>
      <c r="Q206" t="s">
        <v>69</v>
      </c>
      <c r="R206">
        <v>86</v>
      </c>
      <c r="S206">
        <v>5</v>
      </c>
      <c r="T206" t="b">
        <v>1</v>
      </c>
      <c r="U206" t="s">
        <v>30</v>
      </c>
      <c r="V206">
        <v>2928</v>
      </c>
      <c r="W206" t="s">
        <v>53</v>
      </c>
      <c r="X206" t="s">
        <v>62</v>
      </c>
      <c r="Y206" t="s">
        <v>33</v>
      </c>
    </row>
    <row r="207" spans="1:25" x14ac:dyDescent="0.35">
      <c r="A207">
        <v>9430</v>
      </c>
      <c r="B207" t="s">
        <v>207</v>
      </c>
      <c r="C207" s="1">
        <v>45233</v>
      </c>
      <c r="D207" s="1">
        <v>45617</v>
      </c>
      <c r="E207">
        <v>12</v>
      </c>
      <c r="F207">
        <v>7.99</v>
      </c>
      <c r="G207">
        <f t="shared" si="3"/>
        <v>95.88</v>
      </c>
      <c r="H207">
        <v>312</v>
      </c>
      <c r="I207" t="s">
        <v>45</v>
      </c>
      <c r="J207">
        <v>4</v>
      </c>
      <c r="K207">
        <v>1</v>
      </c>
      <c r="L207" t="b">
        <v>0</v>
      </c>
      <c r="M207">
        <v>769</v>
      </c>
      <c r="N207">
        <v>140</v>
      </c>
      <c r="O207" t="s">
        <v>46</v>
      </c>
      <c r="P207" t="s">
        <v>42</v>
      </c>
      <c r="Q207" t="s">
        <v>43</v>
      </c>
      <c r="R207">
        <v>94</v>
      </c>
      <c r="S207">
        <v>4.8</v>
      </c>
      <c r="T207" t="b">
        <v>1</v>
      </c>
      <c r="U207" t="s">
        <v>30</v>
      </c>
      <c r="V207">
        <v>3674</v>
      </c>
      <c r="W207" t="s">
        <v>53</v>
      </c>
      <c r="X207" t="s">
        <v>62</v>
      </c>
      <c r="Y207" t="s">
        <v>39</v>
      </c>
    </row>
    <row r="208" spans="1:25" x14ac:dyDescent="0.35">
      <c r="A208">
        <v>7436</v>
      </c>
      <c r="B208" t="s">
        <v>208</v>
      </c>
      <c r="C208" s="1">
        <v>45344</v>
      </c>
      <c r="D208" s="1">
        <v>45643</v>
      </c>
      <c r="E208">
        <v>9</v>
      </c>
      <c r="F208">
        <v>15.99</v>
      </c>
      <c r="G208">
        <f t="shared" si="3"/>
        <v>143.91</v>
      </c>
      <c r="H208">
        <v>238</v>
      </c>
      <c r="I208" t="s">
        <v>45</v>
      </c>
      <c r="J208">
        <v>4</v>
      </c>
      <c r="K208">
        <v>1</v>
      </c>
      <c r="L208" t="b">
        <v>1</v>
      </c>
      <c r="M208">
        <v>233</v>
      </c>
      <c r="N208">
        <v>102</v>
      </c>
      <c r="O208" t="s">
        <v>41</v>
      </c>
      <c r="P208" t="s">
        <v>42</v>
      </c>
      <c r="Q208" t="s">
        <v>29</v>
      </c>
      <c r="R208">
        <v>78</v>
      </c>
      <c r="S208">
        <v>3.1</v>
      </c>
      <c r="T208" t="b">
        <v>0</v>
      </c>
      <c r="U208" t="s">
        <v>30</v>
      </c>
      <c r="V208">
        <v>130</v>
      </c>
      <c r="W208" t="s">
        <v>53</v>
      </c>
      <c r="X208" t="s">
        <v>70</v>
      </c>
      <c r="Y208" t="s">
        <v>33</v>
      </c>
    </row>
    <row r="209" spans="1:25" x14ac:dyDescent="0.35">
      <c r="A209">
        <v>2147</v>
      </c>
      <c r="B209" t="s">
        <v>209</v>
      </c>
      <c r="C209" s="1">
        <v>45303</v>
      </c>
      <c r="D209" s="1">
        <v>45637</v>
      </c>
      <c r="E209">
        <v>10</v>
      </c>
      <c r="F209">
        <v>11.99</v>
      </c>
      <c r="G209">
        <f t="shared" si="3"/>
        <v>119.9</v>
      </c>
      <c r="H209">
        <v>132</v>
      </c>
      <c r="I209" t="s">
        <v>26</v>
      </c>
      <c r="J209">
        <v>4</v>
      </c>
      <c r="K209">
        <v>6</v>
      </c>
      <c r="L209" t="b">
        <v>1</v>
      </c>
      <c r="M209">
        <v>170</v>
      </c>
      <c r="N209">
        <v>164</v>
      </c>
      <c r="O209" t="s">
        <v>76</v>
      </c>
      <c r="P209" t="s">
        <v>42</v>
      </c>
      <c r="Q209" t="s">
        <v>58</v>
      </c>
      <c r="R209">
        <v>71</v>
      </c>
      <c r="S209">
        <v>3.3</v>
      </c>
      <c r="T209" t="b">
        <v>1</v>
      </c>
      <c r="U209" t="s">
        <v>30</v>
      </c>
      <c r="V209">
        <v>4873</v>
      </c>
      <c r="W209" t="s">
        <v>59</v>
      </c>
      <c r="X209" t="s">
        <v>62</v>
      </c>
      <c r="Y209" t="s">
        <v>55</v>
      </c>
    </row>
    <row r="210" spans="1:25" x14ac:dyDescent="0.35">
      <c r="A210">
        <v>3264</v>
      </c>
      <c r="B210" t="s">
        <v>89</v>
      </c>
      <c r="C210" s="1">
        <v>45060</v>
      </c>
      <c r="D210" s="1">
        <v>45635</v>
      </c>
      <c r="E210">
        <v>18</v>
      </c>
      <c r="F210">
        <v>11.99</v>
      </c>
      <c r="G210">
        <f t="shared" si="3"/>
        <v>215.82</v>
      </c>
      <c r="H210">
        <v>456</v>
      </c>
      <c r="I210" t="s">
        <v>64</v>
      </c>
      <c r="J210">
        <v>1</v>
      </c>
      <c r="K210">
        <v>6</v>
      </c>
      <c r="L210" t="b">
        <v>1</v>
      </c>
      <c r="M210">
        <v>945</v>
      </c>
      <c r="N210">
        <v>114</v>
      </c>
      <c r="O210" t="s">
        <v>46</v>
      </c>
      <c r="P210" t="s">
        <v>51</v>
      </c>
      <c r="Q210" t="s">
        <v>36</v>
      </c>
      <c r="R210">
        <v>44</v>
      </c>
      <c r="S210">
        <v>3</v>
      </c>
      <c r="T210" t="b">
        <v>0</v>
      </c>
      <c r="U210" t="s">
        <v>30</v>
      </c>
      <c r="V210">
        <v>96</v>
      </c>
      <c r="W210" t="s">
        <v>31</v>
      </c>
      <c r="X210" t="s">
        <v>70</v>
      </c>
      <c r="Y210" t="s">
        <v>33</v>
      </c>
    </row>
    <row r="211" spans="1:25" x14ac:dyDescent="0.35">
      <c r="A211">
        <v>1214</v>
      </c>
      <c r="B211" t="s">
        <v>210</v>
      </c>
      <c r="C211" s="1">
        <v>45085</v>
      </c>
      <c r="D211" s="1">
        <v>45637</v>
      </c>
      <c r="E211">
        <v>18</v>
      </c>
      <c r="F211">
        <v>11.99</v>
      </c>
      <c r="G211">
        <f t="shared" si="3"/>
        <v>215.82</v>
      </c>
      <c r="H211">
        <v>281</v>
      </c>
      <c r="I211" t="s">
        <v>26</v>
      </c>
      <c r="J211">
        <v>5</v>
      </c>
      <c r="K211">
        <v>6</v>
      </c>
      <c r="L211" t="b">
        <v>1</v>
      </c>
      <c r="M211">
        <v>945</v>
      </c>
      <c r="N211">
        <v>108</v>
      </c>
      <c r="O211" t="s">
        <v>65</v>
      </c>
      <c r="P211" t="s">
        <v>28</v>
      </c>
      <c r="Q211" t="s">
        <v>58</v>
      </c>
      <c r="R211">
        <v>98</v>
      </c>
      <c r="S211">
        <v>3.8</v>
      </c>
      <c r="T211" t="b">
        <v>1</v>
      </c>
      <c r="U211" t="s">
        <v>30</v>
      </c>
      <c r="V211">
        <v>110</v>
      </c>
      <c r="W211" t="s">
        <v>59</v>
      </c>
      <c r="X211" t="s">
        <v>54</v>
      </c>
      <c r="Y211" t="s">
        <v>77</v>
      </c>
    </row>
    <row r="212" spans="1:25" x14ac:dyDescent="0.35">
      <c r="A212">
        <v>6050</v>
      </c>
      <c r="B212" t="s">
        <v>211</v>
      </c>
      <c r="C212" s="1">
        <v>45512</v>
      </c>
      <c r="D212" s="1">
        <v>45619</v>
      </c>
      <c r="E212">
        <v>3</v>
      </c>
      <c r="F212">
        <v>11.99</v>
      </c>
      <c r="G212">
        <f t="shared" si="3"/>
        <v>35.97</v>
      </c>
      <c r="H212">
        <v>281</v>
      </c>
      <c r="I212" t="s">
        <v>57</v>
      </c>
      <c r="J212">
        <v>5</v>
      </c>
      <c r="K212">
        <v>3</v>
      </c>
      <c r="L212" t="b">
        <v>0</v>
      </c>
      <c r="M212">
        <v>217</v>
      </c>
      <c r="N212">
        <v>162</v>
      </c>
      <c r="O212" t="s">
        <v>27</v>
      </c>
      <c r="P212" t="s">
        <v>42</v>
      </c>
      <c r="Q212" t="s">
        <v>43</v>
      </c>
      <c r="R212">
        <v>0</v>
      </c>
      <c r="S212">
        <v>3.4</v>
      </c>
      <c r="T212" t="b">
        <v>0</v>
      </c>
      <c r="U212" t="s">
        <v>30</v>
      </c>
      <c r="V212">
        <v>225</v>
      </c>
      <c r="W212" t="s">
        <v>31</v>
      </c>
      <c r="X212" t="s">
        <v>62</v>
      </c>
      <c r="Y212" t="s">
        <v>33</v>
      </c>
    </row>
    <row r="213" spans="1:25" x14ac:dyDescent="0.35">
      <c r="A213">
        <v>7395</v>
      </c>
      <c r="B213" t="s">
        <v>96</v>
      </c>
      <c r="C213" s="1">
        <v>45256</v>
      </c>
      <c r="D213" s="1">
        <v>45631</v>
      </c>
      <c r="E213">
        <v>12</v>
      </c>
      <c r="F213">
        <v>11.99</v>
      </c>
      <c r="G213">
        <f t="shared" si="3"/>
        <v>143.88</v>
      </c>
      <c r="H213">
        <v>73</v>
      </c>
      <c r="I213" t="s">
        <v>26</v>
      </c>
      <c r="J213">
        <v>1</v>
      </c>
      <c r="K213">
        <v>1</v>
      </c>
      <c r="L213" t="b">
        <v>1</v>
      </c>
      <c r="M213">
        <v>664</v>
      </c>
      <c r="N213">
        <v>123</v>
      </c>
      <c r="O213" t="s">
        <v>61</v>
      </c>
      <c r="P213" t="s">
        <v>42</v>
      </c>
      <c r="Q213" t="s">
        <v>36</v>
      </c>
      <c r="R213">
        <v>70</v>
      </c>
      <c r="S213">
        <v>4.4000000000000004</v>
      </c>
      <c r="T213" t="b">
        <v>1</v>
      </c>
      <c r="U213" t="s">
        <v>30</v>
      </c>
      <c r="V213">
        <v>4083</v>
      </c>
      <c r="W213" t="s">
        <v>53</v>
      </c>
      <c r="X213" t="s">
        <v>38</v>
      </c>
      <c r="Y213" t="s">
        <v>33</v>
      </c>
    </row>
    <row r="214" spans="1:25" x14ac:dyDescent="0.35">
      <c r="A214">
        <v>3904</v>
      </c>
      <c r="B214" t="s">
        <v>148</v>
      </c>
      <c r="C214" s="1">
        <v>45461</v>
      </c>
      <c r="D214" s="1">
        <v>45635</v>
      </c>
      <c r="E214">
        <v>5</v>
      </c>
      <c r="F214">
        <v>11.99</v>
      </c>
      <c r="G214">
        <f t="shared" si="3"/>
        <v>59.95</v>
      </c>
      <c r="H214">
        <v>365</v>
      </c>
      <c r="I214" t="s">
        <v>57</v>
      </c>
      <c r="J214">
        <v>3</v>
      </c>
      <c r="K214">
        <v>1</v>
      </c>
      <c r="L214" t="b">
        <v>1</v>
      </c>
      <c r="M214">
        <v>679</v>
      </c>
      <c r="N214">
        <v>1</v>
      </c>
      <c r="O214" t="s">
        <v>76</v>
      </c>
      <c r="P214" t="s">
        <v>42</v>
      </c>
      <c r="Q214" t="s">
        <v>69</v>
      </c>
      <c r="R214">
        <v>100</v>
      </c>
      <c r="S214">
        <v>4.7</v>
      </c>
      <c r="T214" t="b">
        <v>0</v>
      </c>
      <c r="U214" t="s">
        <v>30</v>
      </c>
      <c r="V214">
        <v>2714</v>
      </c>
      <c r="W214" t="s">
        <v>67</v>
      </c>
      <c r="X214" t="s">
        <v>32</v>
      </c>
      <c r="Y214" t="s">
        <v>39</v>
      </c>
    </row>
    <row r="215" spans="1:25" x14ac:dyDescent="0.35">
      <c r="A215">
        <v>6545</v>
      </c>
      <c r="B215" t="s">
        <v>106</v>
      </c>
      <c r="C215" s="1">
        <v>45456</v>
      </c>
      <c r="D215" s="1">
        <v>45634</v>
      </c>
      <c r="E215">
        <v>5</v>
      </c>
      <c r="F215">
        <v>7.99</v>
      </c>
      <c r="G215">
        <f t="shared" si="3"/>
        <v>39.950000000000003</v>
      </c>
      <c r="H215">
        <v>61</v>
      </c>
      <c r="I215" t="s">
        <v>35</v>
      </c>
      <c r="J215">
        <v>1</v>
      </c>
      <c r="K215">
        <v>5</v>
      </c>
      <c r="L215" t="b">
        <v>1</v>
      </c>
      <c r="M215">
        <v>242</v>
      </c>
      <c r="N215">
        <v>200</v>
      </c>
      <c r="O215" t="s">
        <v>65</v>
      </c>
      <c r="P215" t="s">
        <v>66</v>
      </c>
      <c r="Q215" t="s">
        <v>43</v>
      </c>
      <c r="R215">
        <v>53</v>
      </c>
      <c r="S215">
        <v>4.8</v>
      </c>
      <c r="T215" t="b">
        <v>1</v>
      </c>
      <c r="U215" t="s">
        <v>30</v>
      </c>
      <c r="V215">
        <v>674</v>
      </c>
      <c r="W215" t="s">
        <v>59</v>
      </c>
      <c r="X215" t="s">
        <v>32</v>
      </c>
      <c r="Y215" t="s">
        <v>33</v>
      </c>
    </row>
    <row r="216" spans="1:25" x14ac:dyDescent="0.35">
      <c r="A216">
        <v>3131</v>
      </c>
      <c r="B216" t="s">
        <v>110</v>
      </c>
      <c r="C216" s="1">
        <v>45088</v>
      </c>
      <c r="D216" s="1">
        <v>45617</v>
      </c>
      <c r="E216">
        <v>17</v>
      </c>
      <c r="F216">
        <v>15.99</v>
      </c>
      <c r="G216">
        <f t="shared" si="3"/>
        <v>271.83</v>
      </c>
      <c r="H216">
        <v>399</v>
      </c>
      <c r="I216" t="s">
        <v>45</v>
      </c>
      <c r="J216">
        <v>3</v>
      </c>
      <c r="K216">
        <v>5</v>
      </c>
      <c r="L216" t="b">
        <v>0</v>
      </c>
      <c r="M216">
        <v>541</v>
      </c>
      <c r="N216">
        <v>158</v>
      </c>
      <c r="O216" t="s">
        <v>46</v>
      </c>
      <c r="P216" t="s">
        <v>42</v>
      </c>
      <c r="Q216" t="s">
        <v>69</v>
      </c>
      <c r="R216">
        <v>4</v>
      </c>
      <c r="S216">
        <v>4.9000000000000004</v>
      </c>
      <c r="T216" t="b">
        <v>1</v>
      </c>
      <c r="U216" t="s">
        <v>30</v>
      </c>
      <c r="V216">
        <v>948</v>
      </c>
      <c r="W216" t="s">
        <v>59</v>
      </c>
      <c r="X216" t="s">
        <v>70</v>
      </c>
      <c r="Y216" t="s">
        <v>55</v>
      </c>
    </row>
    <row r="217" spans="1:25" x14ac:dyDescent="0.35">
      <c r="A217">
        <v>8589</v>
      </c>
      <c r="B217" t="s">
        <v>139</v>
      </c>
      <c r="C217" s="1">
        <v>44945</v>
      </c>
      <c r="D217" s="1">
        <v>45616</v>
      </c>
      <c r="E217">
        <v>22</v>
      </c>
      <c r="F217">
        <v>11.99</v>
      </c>
      <c r="G217">
        <f t="shared" si="3"/>
        <v>263.78000000000003</v>
      </c>
      <c r="H217">
        <v>102</v>
      </c>
      <c r="I217" t="s">
        <v>81</v>
      </c>
      <c r="J217">
        <v>2</v>
      </c>
      <c r="K217">
        <v>1</v>
      </c>
      <c r="L217" t="b">
        <v>1</v>
      </c>
      <c r="M217">
        <v>108</v>
      </c>
      <c r="N217">
        <v>105</v>
      </c>
      <c r="O217" t="s">
        <v>76</v>
      </c>
      <c r="P217" t="s">
        <v>28</v>
      </c>
      <c r="Q217" t="s">
        <v>58</v>
      </c>
      <c r="R217">
        <v>76</v>
      </c>
      <c r="S217">
        <v>4.7</v>
      </c>
      <c r="T217" t="b">
        <v>0</v>
      </c>
      <c r="U217" t="s">
        <v>30</v>
      </c>
      <c r="V217">
        <v>933</v>
      </c>
      <c r="W217" t="s">
        <v>37</v>
      </c>
      <c r="X217" t="s">
        <v>32</v>
      </c>
      <c r="Y217" t="s">
        <v>77</v>
      </c>
    </row>
    <row r="218" spans="1:25" x14ac:dyDescent="0.35">
      <c r="A218">
        <v>2908</v>
      </c>
      <c r="B218" t="s">
        <v>162</v>
      </c>
      <c r="C218" s="1">
        <v>45561</v>
      </c>
      <c r="D218" s="1">
        <v>45618</v>
      </c>
      <c r="E218">
        <v>1</v>
      </c>
      <c r="F218">
        <v>11.99</v>
      </c>
      <c r="G218">
        <f t="shared" si="3"/>
        <v>11.99</v>
      </c>
      <c r="H218">
        <v>88</v>
      </c>
      <c r="I218" t="s">
        <v>45</v>
      </c>
      <c r="J218">
        <v>4</v>
      </c>
      <c r="K218">
        <v>2</v>
      </c>
      <c r="L218" t="b">
        <v>1</v>
      </c>
      <c r="M218">
        <v>343</v>
      </c>
      <c r="N218">
        <v>163</v>
      </c>
      <c r="O218" t="s">
        <v>76</v>
      </c>
      <c r="P218" t="s">
        <v>66</v>
      </c>
      <c r="Q218" t="s">
        <v>36</v>
      </c>
      <c r="R218">
        <v>89</v>
      </c>
      <c r="S218">
        <v>5</v>
      </c>
      <c r="T218" t="b">
        <v>1</v>
      </c>
      <c r="U218" t="s">
        <v>30</v>
      </c>
      <c r="V218">
        <v>2914</v>
      </c>
      <c r="W218" t="s">
        <v>53</v>
      </c>
      <c r="X218" t="s">
        <v>70</v>
      </c>
      <c r="Y218" t="s">
        <v>39</v>
      </c>
    </row>
    <row r="219" spans="1:25" x14ac:dyDescent="0.35">
      <c r="A219">
        <v>5209</v>
      </c>
      <c r="B219" t="s">
        <v>155</v>
      </c>
      <c r="C219" s="1">
        <v>45056</v>
      </c>
      <c r="D219" s="1">
        <v>45615</v>
      </c>
      <c r="E219">
        <v>18</v>
      </c>
      <c r="F219">
        <v>11.99</v>
      </c>
      <c r="G219">
        <f t="shared" si="3"/>
        <v>215.82</v>
      </c>
      <c r="H219">
        <v>92</v>
      </c>
      <c r="I219" t="s">
        <v>81</v>
      </c>
      <c r="J219">
        <v>5</v>
      </c>
      <c r="K219">
        <v>3</v>
      </c>
      <c r="L219" t="b">
        <v>1</v>
      </c>
      <c r="M219">
        <v>477</v>
      </c>
      <c r="N219">
        <v>38</v>
      </c>
      <c r="O219" t="s">
        <v>76</v>
      </c>
      <c r="P219" t="s">
        <v>51</v>
      </c>
      <c r="Q219" t="s">
        <v>58</v>
      </c>
      <c r="R219">
        <v>71</v>
      </c>
      <c r="S219">
        <v>3.9</v>
      </c>
      <c r="T219" t="b">
        <v>1</v>
      </c>
      <c r="U219" t="s">
        <v>30</v>
      </c>
      <c r="V219">
        <v>3928</v>
      </c>
      <c r="W219" t="s">
        <v>31</v>
      </c>
      <c r="X219" t="s">
        <v>62</v>
      </c>
      <c r="Y219" t="s">
        <v>39</v>
      </c>
    </row>
    <row r="220" spans="1:25" x14ac:dyDescent="0.35">
      <c r="A220">
        <v>2319</v>
      </c>
      <c r="B220" t="s">
        <v>108</v>
      </c>
      <c r="C220" s="1">
        <v>45078</v>
      </c>
      <c r="D220" s="1">
        <v>45616</v>
      </c>
      <c r="E220">
        <v>17</v>
      </c>
      <c r="F220">
        <v>15.99</v>
      </c>
      <c r="G220">
        <f t="shared" si="3"/>
        <v>271.83</v>
      </c>
      <c r="H220">
        <v>295</v>
      </c>
      <c r="I220" t="s">
        <v>35</v>
      </c>
      <c r="J220">
        <v>5</v>
      </c>
      <c r="K220">
        <v>4</v>
      </c>
      <c r="L220" t="b">
        <v>0</v>
      </c>
      <c r="M220">
        <v>767</v>
      </c>
      <c r="N220">
        <v>190</v>
      </c>
      <c r="O220" t="s">
        <v>76</v>
      </c>
      <c r="P220" t="s">
        <v>51</v>
      </c>
      <c r="Q220" t="s">
        <v>52</v>
      </c>
      <c r="R220">
        <v>7</v>
      </c>
      <c r="S220">
        <v>4.0999999999999996</v>
      </c>
      <c r="T220" t="b">
        <v>0</v>
      </c>
      <c r="U220" t="s">
        <v>30</v>
      </c>
      <c r="V220">
        <v>2559</v>
      </c>
      <c r="W220" t="s">
        <v>31</v>
      </c>
      <c r="X220" t="s">
        <v>32</v>
      </c>
      <c r="Y220" t="s">
        <v>39</v>
      </c>
    </row>
    <row r="221" spans="1:25" x14ac:dyDescent="0.35">
      <c r="A221">
        <v>9026</v>
      </c>
      <c r="B221" t="s">
        <v>134</v>
      </c>
      <c r="C221" s="1">
        <v>45415</v>
      </c>
      <c r="D221" s="1">
        <v>45618</v>
      </c>
      <c r="E221">
        <v>6</v>
      </c>
      <c r="F221">
        <v>11.99</v>
      </c>
      <c r="G221">
        <f t="shared" si="3"/>
        <v>71.94</v>
      </c>
      <c r="H221">
        <v>139</v>
      </c>
      <c r="I221" t="s">
        <v>64</v>
      </c>
      <c r="J221">
        <v>1</v>
      </c>
      <c r="K221">
        <v>5</v>
      </c>
      <c r="L221" t="b">
        <v>1</v>
      </c>
      <c r="M221">
        <v>12</v>
      </c>
      <c r="N221">
        <v>9</v>
      </c>
      <c r="O221" t="s">
        <v>46</v>
      </c>
      <c r="P221" t="s">
        <v>51</v>
      </c>
      <c r="Q221" t="s">
        <v>52</v>
      </c>
      <c r="R221">
        <v>21</v>
      </c>
      <c r="S221">
        <v>4.8</v>
      </c>
      <c r="T221" t="b">
        <v>1</v>
      </c>
      <c r="U221" t="s">
        <v>30</v>
      </c>
      <c r="V221">
        <v>2571</v>
      </c>
      <c r="W221" t="s">
        <v>67</v>
      </c>
      <c r="X221" t="s">
        <v>32</v>
      </c>
      <c r="Y221" t="s">
        <v>39</v>
      </c>
    </row>
    <row r="222" spans="1:25" x14ac:dyDescent="0.35">
      <c r="A222">
        <v>2723</v>
      </c>
      <c r="B222" t="s">
        <v>212</v>
      </c>
      <c r="C222" s="1">
        <v>45170</v>
      </c>
      <c r="D222" s="1">
        <v>45620</v>
      </c>
      <c r="E222">
        <v>14</v>
      </c>
      <c r="F222">
        <v>15.99</v>
      </c>
      <c r="G222">
        <f t="shared" si="3"/>
        <v>223.86</v>
      </c>
      <c r="H222">
        <v>416</v>
      </c>
      <c r="I222" t="s">
        <v>26</v>
      </c>
      <c r="J222">
        <v>1</v>
      </c>
      <c r="K222">
        <v>2</v>
      </c>
      <c r="L222" t="b">
        <v>1</v>
      </c>
      <c r="M222">
        <v>920</v>
      </c>
      <c r="N222">
        <v>79</v>
      </c>
      <c r="O222" t="s">
        <v>50</v>
      </c>
      <c r="P222" t="s">
        <v>42</v>
      </c>
      <c r="Q222" t="s">
        <v>69</v>
      </c>
      <c r="R222">
        <v>20</v>
      </c>
      <c r="S222">
        <v>4.4000000000000004</v>
      </c>
      <c r="T222" t="b">
        <v>0</v>
      </c>
      <c r="U222" t="s">
        <v>30</v>
      </c>
      <c r="V222">
        <v>3834</v>
      </c>
      <c r="W222" t="s">
        <v>31</v>
      </c>
      <c r="X222" t="s">
        <v>70</v>
      </c>
      <c r="Y222" t="s">
        <v>39</v>
      </c>
    </row>
    <row r="223" spans="1:25" x14ac:dyDescent="0.35">
      <c r="A223">
        <v>5487</v>
      </c>
      <c r="B223" t="s">
        <v>107</v>
      </c>
      <c r="C223" s="1">
        <v>45376</v>
      </c>
      <c r="D223" s="1">
        <v>45642</v>
      </c>
      <c r="E223">
        <v>8</v>
      </c>
      <c r="F223">
        <v>7.99</v>
      </c>
      <c r="G223">
        <f t="shared" si="3"/>
        <v>63.92</v>
      </c>
      <c r="H223">
        <v>173</v>
      </c>
      <c r="I223" t="s">
        <v>64</v>
      </c>
      <c r="J223">
        <v>2</v>
      </c>
      <c r="K223">
        <v>2</v>
      </c>
      <c r="L223" t="b">
        <v>0</v>
      </c>
      <c r="M223">
        <v>819</v>
      </c>
      <c r="N223">
        <v>174</v>
      </c>
      <c r="O223" t="s">
        <v>27</v>
      </c>
      <c r="P223" t="s">
        <v>28</v>
      </c>
      <c r="Q223" t="s">
        <v>29</v>
      </c>
      <c r="R223">
        <v>34</v>
      </c>
      <c r="S223">
        <v>4.0999999999999996</v>
      </c>
      <c r="T223" t="b">
        <v>0</v>
      </c>
      <c r="U223" t="s">
        <v>30</v>
      </c>
      <c r="V223">
        <v>4714</v>
      </c>
      <c r="W223" t="s">
        <v>59</v>
      </c>
      <c r="X223" t="s">
        <v>38</v>
      </c>
      <c r="Y223" t="s">
        <v>39</v>
      </c>
    </row>
    <row r="224" spans="1:25" x14ac:dyDescent="0.35">
      <c r="A224">
        <v>4656</v>
      </c>
      <c r="B224" t="s">
        <v>139</v>
      </c>
      <c r="C224" s="1">
        <v>45068</v>
      </c>
      <c r="D224" s="1">
        <v>45625</v>
      </c>
      <c r="E224">
        <v>18</v>
      </c>
      <c r="F224">
        <v>7.99</v>
      </c>
      <c r="G224">
        <f t="shared" si="3"/>
        <v>143.82</v>
      </c>
      <c r="H224">
        <v>75</v>
      </c>
      <c r="I224" t="s">
        <v>26</v>
      </c>
      <c r="J224">
        <v>3</v>
      </c>
      <c r="K224">
        <v>5</v>
      </c>
      <c r="L224" t="b">
        <v>0</v>
      </c>
      <c r="M224">
        <v>607</v>
      </c>
      <c r="N224">
        <v>94</v>
      </c>
      <c r="O224" t="s">
        <v>41</v>
      </c>
      <c r="P224" t="s">
        <v>66</v>
      </c>
      <c r="Q224" t="s">
        <v>36</v>
      </c>
      <c r="R224">
        <v>57</v>
      </c>
      <c r="S224">
        <v>3.8</v>
      </c>
      <c r="T224" t="b">
        <v>1</v>
      </c>
      <c r="U224" t="s">
        <v>30</v>
      </c>
      <c r="V224">
        <v>4800</v>
      </c>
      <c r="W224" t="s">
        <v>53</v>
      </c>
      <c r="X224" t="s">
        <v>38</v>
      </c>
      <c r="Y224" t="s">
        <v>77</v>
      </c>
    </row>
    <row r="225" spans="1:25" x14ac:dyDescent="0.35">
      <c r="A225">
        <v>5718</v>
      </c>
      <c r="B225" t="s">
        <v>213</v>
      </c>
      <c r="C225" s="1">
        <v>45457</v>
      </c>
      <c r="D225" s="1">
        <v>45624</v>
      </c>
      <c r="E225">
        <v>5</v>
      </c>
      <c r="F225">
        <v>15.99</v>
      </c>
      <c r="G225">
        <f t="shared" si="3"/>
        <v>79.95</v>
      </c>
      <c r="H225">
        <v>173</v>
      </c>
      <c r="I225" t="s">
        <v>45</v>
      </c>
      <c r="J225">
        <v>1</v>
      </c>
      <c r="K225">
        <v>6</v>
      </c>
      <c r="L225" t="b">
        <v>1</v>
      </c>
      <c r="M225">
        <v>346</v>
      </c>
      <c r="N225">
        <v>76</v>
      </c>
      <c r="O225" t="s">
        <v>41</v>
      </c>
      <c r="P225" t="s">
        <v>28</v>
      </c>
      <c r="Q225" t="s">
        <v>52</v>
      </c>
      <c r="R225">
        <v>28</v>
      </c>
      <c r="S225">
        <v>3.3</v>
      </c>
      <c r="T225" t="b">
        <v>0</v>
      </c>
      <c r="U225" t="s">
        <v>30</v>
      </c>
      <c r="V225">
        <v>1610</v>
      </c>
      <c r="W225" t="s">
        <v>31</v>
      </c>
      <c r="X225" t="s">
        <v>62</v>
      </c>
      <c r="Y225" t="s">
        <v>77</v>
      </c>
    </row>
    <row r="226" spans="1:25" x14ac:dyDescent="0.35">
      <c r="A226">
        <v>1215</v>
      </c>
      <c r="B226" t="s">
        <v>214</v>
      </c>
      <c r="C226" s="1">
        <v>45155</v>
      </c>
      <c r="D226" s="1">
        <v>45623</v>
      </c>
      <c r="E226">
        <v>15</v>
      </c>
      <c r="F226">
        <v>7.99</v>
      </c>
      <c r="G226">
        <f t="shared" si="3"/>
        <v>119.85000000000001</v>
      </c>
      <c r="H226">
        <v>421</v>
      </c>
      <c r="I226" t="s">
        <v>48</v>
      </c>
      <c r="J226">
        <v>3</v>
      </c>
      <c r="K226">
        <v>1</v>
      </c>
      <c r="L226" t="b">
        <v>1</v>
      </c>
      <c r="M226">
        <v>668</v>
      </c>
      <c r="N226">
        <v>17</v>
      </c>
      <c r="O226" t="s">
        <v>41</v>
      </c>
      <c r="P226" t="s">
        <v>51</v>
      </c>
      <c r="Q226" t="s">
        <v>52</v>
      </c>
      <c r="R226">
        <v>7</v>
      </c>
      <c r="S226">
        <v>4</v>
      </c>
      <c r="T226" t="b">
        <v>1</v>
      </c>
      <c r="U226" t="s">
        <v>30</v>
      </c>
      <c r="V226">
        <v>2780</v>
      </c>
      <c r="W226" t="s">
        <v>67</v>
      </c>
      <c r="X226" t="s">
        <v>38</v>
      </c>
      <c r="Y226" t="s">
        <v>39</v>
      </c>
    </row>
    <row r="227" spans="1:25" x14ac:dyDescent="0.35">
      <c r="A227">
        <v>3427</v>
      </c>
      <c r="B227" t="s">
        <v>215</v>
      </c>
      <c r="C227" s="1">
        <v>45270</v>
      </c>
      <c r="D227" s="1">
        <v>45633</v>
      </c>
      <c r="E227">
        <v>11</v>
      </c>
      <c r="F227">
        <v>15.99</v>
      </c>
      <c r="G227">
        <f t="shared" si="3"/>
        <v>175.89000000000001</v>
      </c>
      <c r="H227">
        <v>29</v>
      </c>
      <c r="I227" t="s">
        <v>45</v>
      </c>
      <c r="J227">
        <v>5</v>
      </c>
      <c r="K227">
        <v>2</v>
      </c>
      <c r="L227" t="b">
        <v>1</v>
      </c>
      <c r="M227">
        <v>317</v>
      </c>
      <c r="N227">
        <v>116</v>
      </c>
      <c r="O227" t="s">
        <v>27</v>
      </c>
      <c r="P227" t="s">
        <v>51</v>
      </c>
      <c r="Q227" t="s">
        <v>36</v>
      </c>
      <c r="R227">
        <v>78</v>
      </c>
      <c r="S227">
        <v>3.8</v>
      </c>
      <c r="T227" t="b">
        <v>1</v>
      </c>
      <c r="U227" t="s">
        <v>30</v>
      </c>
      <c r="V227">
        <v>639</v>
      </c>
      <c r="W227" t="s">
        <v>67</v>
      </c>
      <c r="X227" t="s">
        <v>38</v>
      </c>
      <c r="Y227" t="s">
        <v>55</v>
      </c>
    </row>
    <row r="228" spans="1:25" x14ac:dyDescent="0.35">
      <c r="A228">
        <v>2428</v>
      </c>
      <c r="B228" t="s">
        <v>216</v>
      </c>
      <c r="C228" s="1">
        <v>45349</v>
      </c>
      <c r="D228" s="1">
        <v>45617</v>
      </c>
      <c r="E228">
        <v>8</v>
      </c>
      <c r="F228">
        <v>7.99</v>
      </c>
      <c r="G228">
        <f t="shared" si="3"/>
        <v>63.92</v>
      </c>
      <c r="H228">
        <v>180</v>
      </c>
      <c r="I228" t="s">
        <v>64</v>
      </c>
      <c r="J228">
        <v>2</v>
      </c>
      <c r="K228">
        <v>4</v>
      </c>
      <c r="L228" t="b">
        <v>1</v>
      </c>
      <c r="M228">
        <v>297</v>
      </c>
      <c r="N228">
        <v>19</v>
      </c>
      <c r="O228" t="s">
        <v>76</v>
      </c>
      <c r="P228" t="s">
        <v>51</v>
      </c>
      <c r="Q228" t="s">
        <v>29</v>
      </c>
      <c r="R228">
        <v>84</v>
      </c>
      <c r="S228">
        <v>4.9000000000000004</v>
      </c>
      <c r="T228" t="b">
        <v>0</v>
      </c>
      <c r="U228" t="s">
        <v>30</v>
      </c>
      <c r="V228">
        <v>1960</v>
      </c>
      <c r="W228" t="s">
        <v>31</v>
      </c>
      <c r="X228" t="s">
        <v>54</v>
      </c>
      <c r="Y228" t="s">
        <v>77</v>
      </c>
    </row>
    <row r="229" spans="1:25" x14ac:dyDescent="0.35">
      <c r="A229">
        <v>1947</v>
      </c>
      <c r="B229" t="s">
        <v>217</v>
      </c>
      <c r="C229" s="1">
        <v>45536</v>
      </c>
      <c r="D229" s="1">
        <v>45620</v>
      </c>
      <c r="E229">
        <v>2</v>
      </c>
      <c r="F229">
        <v>11.99</v>
      </c>
      <c r="G229">
        <f t="shared" si="3"/>
        <v>23.98</v>
      </c>
      <c r="H229">
        <v>469</v>
      </c>
      <c r="I229" t="s">
        <v>26</v>
      </c>
      <c r="J229">
        <v>4</v>
      </c>
      <c r="K229">
        <v>6</v>
      </c>
      <c r="L229" t="b">
        <v>1</v>
      </c>
      <c r="M229">
        <v>866</v>
      </c>
      <c r="N229">
        <v>120</v>
      </c>
      <c r="O229" t="s">
        <v>41</v>
      </c>
      <c r="P229" t="s">
        <v>51</v>
      </c>
      <c r="Q229" t="s">
        <v>58</v>
      </c>
      <c r="R229">
        <v>92</v>
      </c>
      <c r="S229">
        <v>3.6</v>
      </c>
      <c r="T229" t="b">
        <v>1</v>
      </c>
      <c r="U229" t="s">
        <v>30</v>
      </c>
      <c r="V229">
        <v>1764</v>
      </c>
      <c r="W229" t="s">
        <v>53</v>
      </c>
      <c r="X229" t="s">
        <v>54</v>
      </c>
      <c r="Y229" t="s">
        <v>33</v>
      </c>
    </row>
    <row r="230" spans="1:25" x14ac:dyDescent="0.35">
      <c r="A230">
        <v>5036</v>
      </c>
      <c r="B230" t="s">
        <v>189</v>
      </c>
      <c r="C230" s="1">
        <v>45520</v>
      </c>
      <c r="D230" s="1">
        <v>45625</v>
      </c>
      <c r="E230">
        <v>3</v>
      </c>
      <c r="F230">
        <v>15.99</v>
      </c>
      <c r="G230">
        <f t="shared" si="3"/>
        <v>47.97</v>
      </c>
      <c r="H230">
        <v>381</v>
      </c>
      <c r="I230" t="s">
        <v>57</v>
      </c>
      <c r="J230">
        <v>5</v>
      </c>
      <c r="K230">
        <v>1</v>
      </c>
      <c r="L230" t="b">
        <v>1</v>
      </c>
      <c r="M230">
        <v>286</v>
      </c>
      <c r="N230">
        <v>121</v>
      </c>
      <c r="O230" t="s">
        <v>41</v>
      </c>
      <c r="P230" t="s">
        <v>66</v>
      </c>
      <c r="Q230" t="s">
        <v>69</v>
      </c>
      <c r="R230">
        <v>57</v>
      </c>
      <c r="S230">
        <v>4.0999999999999996</v>
      </c>
      <c r="T230" t="b">
        <v>1</v>
      </c>
      <c r="U230" t="s">
        <v>30</v>
      </c>
      <c r="V230">
        <v>967</v>
      </c>
      <c r="W230" t="s">
        <v>31</v>
      </c>
      <c r="X230" t="s">
        <v>54</v>
      </c>
      <c r="Y230" t="s">
        <v>77</v>
      </c>
    </row>
    <row r="231" spans="1:25" x14ac:dyDescent="0.35">
      <c r="A231">
        <v>5857</v>
      </c>
      <c r="B231" t="s">
        <v>74</v>
      </c>
      <c r="C231" s="1">
        <v>45631</v>
      </c>
      <c r="D231" s="1">
        <v>45641</v>
      </c>
      <c r="E231">
        <v>0</v>
      </c>
      <c r="F231">
        <v>15.99</v>
      </c>
      <c r="G231">
        <f t="shared" si="3"/>
        <v>0</v>
      </c>
      <c r="H231">
        <v>263</v>
      </c>
      <c r="I231" t="s">
        <v>57</v>
      </c>
      <c r="J231">
        <v>5</v>
      </c>
      <c r="K231">
        <v>5</v>
      </c>
      <c r="L231" t="b">
        <v>0</v>
      </c>
      <c r="M231">
        <v>95</v>
      </c>
      <c r="N231">
        <v>149</v>
      </c>
      <c r="O231" t="s">
        <v>65</v>
      </c>
      <c r="P231" t="s">
        <v>51</v>
      </c>
      <c r="Q231" t="s">
        <v>69</v>
      </c>
      <c r="R231">
        <v>17</v>
      </c>
      <c r="S231">
        <v>4</v>
      </c>
      <c r="T231" t="b">
        <v>1</v>
      </c>
      <c r="U231" t="s">
        <v>30</v>
      </c>
      <c r="V231">
        <v>2086</v>
      </c>
      <c r="W231" t="s">
        <v>53</v>
      </c>
      <c r="X231" t="s">
        <v>70</v>
      </c>
      <c r="Y231" t="s">
        <v>77</v>
      </c>
    </row>
    <row r="232" spans="1:25" x14ac:dyDescent="0.35">
      <c r="A232">
        <v>8770</v>
      </c>
      <c r="B232" t="s">
        <v>84</v>
      </c>
      <c r="C232" s="1">
        <v>45150</v>
      </c>
      <c r="D232" s="1">
        <v>45617</v>
      </c>
      <c r="E232">
        <v>15</v>
      </c>
      <c r="F232">
        <v>7.99</v>
      </c>
      <c r="G232">
        <f t="shared" si="3"/>
        <v>119.85000000000001</v>
      </c>
      <c r="H232">
        <v>48</v>
      </c>
      <c r="I232" t="s">
        <v>35</v>
      </c>
      <c r="J232">
        <v>4</v>
      </c>
      <c r="K232">
        <v>2</v>
      </c>
      <c r="L232" t="b">
        <v>0</v>
      </c>
      <c r="M232">
        <v>938</v>
      </c>
      <c r="N232">
        <v>92</v>
      </c>
      <c r="O232" t="s">
        <v>41</v>
      </c>
      <c r="P232" t="s">
        <v>66</v>
      </c>
      <c r="Q232" t="s">
        <v>69</v>
      </c>
      <c r="R232">
        <v>99</v>
      </c>
      <c r="S232">
        <v>4.2</v>
      </c>
      <c r="T232" t="b">
        <v>1</v>
      </c>
      <c r="U232" t="s">
        <v>30</v>
      </c>
      <c r="V232">
        <v>3288</v>
      </c>
      <c r="W232" t="s">
        <v>53</v>
      </c>
      <c r="X232" t="s">
        <v>70</v>
      </c>
      <c r="Y232" t="s">
        <v>33</v>
      </c>
    </row>
    <row r="233" spans="1:25" x14ac:dyDescent="0.35">
      <c r="A233">
        <v>4118</v>
      </c>
      <c r="B233" t="s">
        <v>218</v>
      </c>
      <c r="C233" s="1">
        <v>45062</v>
      </c>
      <c r="D233" s="1">
        <v>45615</v>
      </c>
      <c r="E233">
        <v>18</v>
      </c>
      <c r="F233">
        <v>11.99</v>
      </c>
      <c r="G233">
        <f t="shared" si="3"/>
        <v>215.82</v>
      </c>
      <c r="H233">
        <v>447</v>
      </c>
      <c r="I233" t="s">
        <v>48</v>
      </c>
      <c r="J233">
        <v>3</v>
      </c>
      <c r="K233">
        <v>4</v>
      </c>
      <c r="L233" t="b">
        <v>0</v>
      </c>
      <c r="M233">
        <v>264</v>
      </c>
      <c r="N233">
        <v>55</v>
      </c>
      <c r="O233" t="s">
        <v>61</v>
      </c>
      <c r="P233" t="s">
        <v>28</v>
      </c>
      <c r="Q233" t="s">
        <v>43</v>
      </c>
      <c r="R233">
        <v>58</v>
      </c>
      <c r="S233">
        <v>3.6</v>
      </c>
      <c r="T233" t="b">
        <v>0</v>
      </c>
      <c r="U233" t="s">
        <v>30</v>
      </c>
      <c r="V233">
        <v>1486</v>
      </c>
      <c r="W233" t="s">
        <v>31</v>
      </c>
      <c r="X233" t="s">
        <v>70</v>
      </c>
      <c r="Y233" t="s">
        <v>77</v>
      </c>
    </row>
    <row r="234" spans="1:25" x14ac:dyDescent="0.35">
      <c r="A234">
        <v>7162</v>
      </c>
      <c r="B234" t="s">
        <v>219</v>
      </c>
      <c r="C234" s="1">
        <v>45525</v>
      </c>
      <c r="D234" s="1">
        <v>45640</v>
      </c>
      <c r="E234">
        <v>3</v>
      </c>
      <c r="F234">
        <v>15.99</v>
      </c>
      <c r="G234">
        <f t="shared" si="3"/>
        <v>47.97</v>
      </c>
      <c r="H234">
        <v>415</v>
      </c>
      <c r="I234" t="s">
        <v>45</v>
      </c>
      <c r="J234">
        <v>1</v>
      </c>
      <c r="K234">
        <v>3</v>
      </c>
      <c r="L234" t="b">
        <v>1</v>
      </c>
      <c r="M234">
        <v>44</v>
      </c>
      <c r="N234">
        <v>10</v>
      </c>
      <c r="O234" t="s">
        <v>76</v>
      </c>
      <c r="P234" t="s">
        <v>42</v>
      </c>
      <c r="Q234" t="s">
        <v>69</v>
      </c>
      <c r="R234">
        <v>91</v>
      </c>
      <c r="S234">
        <v>3.3</v>
      </c>
      <c r="T234" t="b">
        <v>0</v>
      </c>
      <c r="U234" t="s">
        <v>30</v>
      </c>
      <c r="V234">
        <v>223</v>
      </c>
      <c r="W234" t="s">
        <v>53</v>
      </c>
      <c r="X234" t="s">
        <v>70</v>
      </c>
      <c r="Y234" t="s">
        <v>77</v>
      </c>
    </row>
    <row r="235" spans="1:25" x14ac:dyDescent="0.35">
      <c r="A235">
        <v>9278</v>
      </c>
      <c r="B235" t="s">
        <v>197</v>
      </c>
      <c r="C235" s="1">
        <v>45554</v>
      </c>
      <c r="D235" s="1">
        <v>45640</v>
      </c>
      <c r="E235">
        <v>2</v>
      </c>
      <c r="F235">
        <v>7.99</v>
      </c>
      <c r="G235">
        <f t="shared" si="3"/>
        <v>15.98</v>
      </c>
      <c r="H235">
        <v>429</v>
      </c>
      <c r="I235" t="s">
        <v>35</v>
      </c>
      <c r="J235">
        <v>5</v>
      </c>
      <c r="K235">
        <v>4</v>
      </c>
      <c r="L235" t="b">
        <v>0</v>
      </c>
      <c r="M235">
        <v>944</v>
      </c>
      <c r="N235">
        <v>165</v>
      </c>
      <c r="O235" t="s">
        <v>76</v>
      </c>
      <c r="P235" t="s">
        <v>28</v>
      </c>
      <c r="Q235" t="s">
        <v>69</v>
      </c>
      <c r="R235">
        <v>12</v>
      </c>
      <c r="S235">
        <v>4.7</v>
      </c>
      <c r="T235" t="b">
        <v>1</v>
      </c>
      <c r="U235" t="s">
        <v>30</v>
      </c>
      <c r="V235">
        <v>2394</v>
      </c>
      <c r="W235" t="s">
        <v>67</v>
      </c>
      <c r="X235" t="s">
        <v>62</v>
      </c>
      <c r="Y235" t="s">
        <v>55</v>
      </c>
    </row>
    <row r="236" spans="1:25" x14ac:dyDescent="0.35">
      <c r="A236">
        <v>5406</v>
      </c>
      <c r="B236" t="s">
        <v>220</v>
      </c>
      <c r="C236" s="1">
        <v>45577</v>
      </c>
      <c r="D236" s="1">
        <v>45633</v>
      </c>
      <c r="E236">
        <v>1</v>
      </c>
      <c r="F236">
        <v>7.99</v>
      </c>
      <c r="G236">
        <f t="shared" si="3"/>
        <v>7.99</v>
      </c>
      <c r="H236">
        <v>26</v>
      </c>
      <c r="I236" t="s">
        <v>35</v>
      </c>
      <c r="J236">
        <v>5</v>
      </c>
      <c r="K236">
        <v>5</v>
      </c>
      <c r="L236" t="b">
        <v>0</v>
      </c>
      <c r="M236">
        <v>542</v>
      </c>
      <c r="N236">
        <v>152</v>
      </c>
      <c r="O236" t="s">
        <v>41</v>
      </c>
      <c r="P236" t="s">
        <v>51</v>
      </c>
      <c r="Q236" t="s">
        <v>43</v>
      </c>
      <c r="R236">
        <v>6</v>
      </c>
      <c r="S236">
        <v>3.1</v>
      </c>
      <c r="T236" t="b">
        <v>0</v>
      </c>
      <c r="U236" t="s">
        <v>30</v>
      </c>
      <c r="V236">
        <v>4329</v>
      </c>
      <c r="W236" t="s">
        <v>31</v>
      </c>
      <c r="X236" t="s">
        <v>54</v>
      </c>
      <c r="Y236" t="s">
        <v>55</v>
      </c>
    </row>
    <row r="237" spans="1:25" x14ac:dyDescent="0.35">
      <c r="A237">
        <v>4641</v>
      </c>
      <c r="B237" t="s">
        <v>199</v>
      </c>
      <c r="C237" s="1">
        <v>45547</v>
      </c>
      <c r="D237" s="1">
        <v>45634</v>
      </c>
      <c r="E237">
        <v>2</v>
      </c>
      <c r="F237">
        <v>15.99</v>
      </c>
      <c r="G237">
        <f t="shared" si="3"/>
        <v>31.98</v>
      </c>
      <c r="H237">
        <v>101</v>
      </c>
      <c r="I237" t="s">
        <v>81</v>
      </c>
      <c r="J237">
        <v>4</v>
      </c>
      <c r="K237">
        <v>6</v>
      </c>
      <c r="L237" t="b">
        <v>1</v>
      </c>
      <c r="M237">
        <v>350</v>
      </c>
      <c r="N237">
        <v>17</v>
      </c>
      <c r="O237" t="s">
        <v>61</v>
      </c>
      <c r="P237" t="s">
        <v>28</v>
      </c>
      <c r="Q237" t="s">
        <v>43</v>
      </c>
      <c r="R237">
        <v>11</v>
      </c>
      <c r="S237">
        <v>3.4</v>
      </c>
      <c r="T237" t="b">
        <v>1</v>
      </c>
      <c r="U237" t="s">
        <v>30</v>
      </c>
      <c r="V237">
        <v>2193</v>
      </c>
      <c r="W237" t="s">
        <v>67</v>
      </c>
      <c r="X237" t="s">
        <v>32</v>
      </c>
      <c r="Y237" t="s">
        <v>77</v>
      </c>
    </row>
    <row r="238" spans="1:25" x14ac:dyDescent="0.35">
      <c r="A238">
        <v>3969</v>
      </c>
      <c r="B238" t="s">
        <v>207</v>
      </c>
      <c r="C238" s="1">
        <v>45069</v>
      </c>
      <c r="D238" s="1">
        <v>45638</v>
      </c>
      <c r="E238">
        <v>18</v>
      </c>
      <c r="F238">
        <v>15.99</v>
      </c>
      <c r="G238">
        <f t="shared" si="3"/>
        <v>287.82</v>
      </c>
      <c r="H238">
        <v>461</v>
      </c>
      <c r="I238" t="s">
        <v>45</v>
      </c>
      <c r="J238">
        <v>2</v>
      </c>
      <c r="K238">
        <v>6</v>
      </c>
      <c r="L238" t="b">
        <v>1</v>
      </c>
      <c r="M238">
        <v>31</v>
      </c>
      <c r="N238">
        <v>173</v>
      </c>
      <c r="O238" t="s">
        <v>41</v>
      </c>
      <c r="P238" t="s">
        <v>28</v>
      </c>
      <c r="Q238" t="s">
        <v>52</v>
      </c>
      <c r="R238">
        <v>84</v>
      </c>
      <c r="S238">
        <v>3.5</v>
      </c>
      <c r="T238" t="b">
        <v>1</v>
      </c>
      <c r="U238" t="s">
        <v>30</v>
      </c>
      <c r="V238">
        <v>3730</v>
      </c>
      <c r="W238" t="s">
        <v>67</v>
      </c>
      <c r="X238" t="s">
        <v>38</v>
      </c>
      <c r="Y238" t="s">
        <v>55</v>
      </c>
    </row>
    <row r="239" spans="1:25" x14ac:dyDescent="0.35">
      <c r="A239">
        <v>3078</v>
      </c>
      <c r="B239" t="s">
        <v>221</v>
      </c>
      <c r="C239" s="1">
        <v>45101</v>
      </c>
      <c r="D239" s="1">
        <v>45640</v>
      </c>
      <c r="E239">
        <v>17</v>
      </c>
      <c r="F239">
        <v>7.99</v>
      </c>
      <c r="G239">
        <f t="shared" si="3"/>
        <v>135.83000000000001</v>
      </c>
      <c r="H239">
        <v>246</v>
      </c>
      <c r="I239" t="s">
        <v>26</v>
      </c>
      <c r="J239">
        <v>3</v>
      </c>
      <c r="K239">
        <v>3</v>
      </c>
      <c r="L239" t="b">
        <v>0</v>
      </c>
      <c r="M239">
        <v>358</v>
      </c>
      <c r="N239">
        <v>158</v>
      </c>
      <c r="O239" t="s">
        <v>65</v>
      </c>
      <c r="P239" t="s">
        <v>51</v>
      </c>
      <c r="Q239" t="s">
        <v>29</v>
      </c>
      <c r="R239">
        <v>18</v>
      </c>
      <c r="S239">
        <v>3.8</v>
      </c>
      <c r="T239" t="b">
        <v>0</v>
      </c>
      <c r="U239" t="s">
        <v>30</v>
      </c>
      <c r="V239">
        <v>2234</v>
      </c>
      <c r="W239" t="s">
        <v>53</v>
      </c>
      <c r="X239" t="s">
        <v>54</v>
      </c>
      <c r="Y239" t="s">
        <v>77</v>
      </c>
    </row>
    <row r="240" spans="1:25" x14ac:dyDescent="0.35">
      <c r="A240">
        <v>2808</v>
      </c>
      <c r="B240" t="s">
        <v>122</v>
      </c>
      <c r="C240" s="1">
        <v>45242</v>
      </c>
      <c r="D240" s="1">
        <v>45640</v>
      </c>
      <c r="E240">
        <v>13</v>
      </c>
      <c r="F240">
        <v>15.99</v>
      </c>
      <c r="G240">
        <f t="shared" si="3"/>
        <v>207.87</v>
      </c>
      <c r="H240">
        <v>91</v>
      </c>
      <c r="I240" t="s">
        <v>57</v>
      </c>
      <c r="J240">
        <v>3</v>
      </c>
      <c r="K240">
        <v>6</v>
      </c>
      <c r="L240" t="b">
        <v>0</v>
      </c>
      <c r="M240">
        <v>961</v>
      </c>
      <c r="N240">
        <v>170</v>
      </c>
      <c r="O240" t="s">
        <v>27</v>
      </c>
      <c r="P240" t="s">
        <v>28</v>
      </c>
      <c r="Q240" t="s">
        <v>43</v>
      </c>
      <c r="R240">
        <v>87</v>
      </c>
      <c r="S240">
        <v>4.2</v>
      </c>
      <c r="T240" t="b">
        <v>0</v>
      </c>
      <c r="U240" t="s">
        <v>30</v>
      </c>
      <c r="V240">
        <v>718</v>
      </c>
      <c r="W240" t="s">
        <v>53</v>
      </c>
      <c r="X240" t="s">
        <v>38</v>
      </c>
      <c r="Y240" t="s">
        <v>77</v>
      </c>
    </row>
    <row r="241" spans="1:25" x14ac:dyDescent="0.35">
      <c r="A241">
        <v>7484</v>
      </c>
      <c r="B241" t="s">
        <v>213</v>
      </c>
      <c r="C241" s="1">
        <v>45634</v>
      </c>
      <c r="D241" s="1">
        <v>45617</v>
      </c>
      <c r="E241">
        <v>0</v>
      </c>
      <c r="F241">
        <v>11.99</v>
      </c>
      <c r="G241">
        <f t="shared" si="3"/>
        <v>0</v>
      </c>
      <c r="H241">
        <v>152</v>
      </c>
      <c r="I241" t="s">
        <v>81</v>
      </c>
      <c r="J241">
        <v>5</v>
      </c>
      <c r="K241">
        <v>1</v>
      </c>
      <c r="L241" t="b">
        <v>0</v>
      </c>
      <c r="M241">
        <v>623</v>
      </c>
      <c r="N241">
        <v>180</v>
      </c>
      <c r="O241" t="s">
        <v>41</v>
      </c>
      <c r="P241" t="s">
        <v>66</v>
      </c>
      <c r="Q241" t="s">
        <v>69</v>
      </c>
      <c r="R241">
        <v>89</v>
      </c>
      <c r="S241">
        <v>4.5</v>
      </c>
      <c r="T241" t="b">
        <v>1</v>
      </c>
      <c r="U241" t="s">
        <v>30</v>
      </c>
      <c r="V241">
        <v>1594</v>
      </c>
      <c r="W241" t="s">
        <v>31</v>
      </c>
      <c r="X241" t="s">
        <v>38</v>
      </c>
      <c r="Y241" t="s">
        <v>33</v>
      </c>
    </row>
    <row r="242" spans="1:25" x14ac:dyDescent="0.35">
      <c r="A242">
        <v>2396</v>
      </c>
      <c r="B242" t="s">
        <v>178</v>
      </c>
      <c r="C242" s="1">
        <v>45262</v>
      </c>
      <c r="D242" s="1">
        <v>45621</v>
      </c>
      <c r="E242">
        <v>11</v>
      </c>
      <c r="F242">
        <v>11.99</v>
      </c>
      <c r="G242">
        <f t="shared" si="3"/>
        <v>131.89000000000001</v>
      </c>
      <c r="H242">
        <v>283</v>
      </c>
      <c r="I242" t="s">
        <v>26</v>
      </c>
      <c r="J242">
        <v>3</v>
      </c>
      <c r="K242">
        <v>5</v>
      </c>
      <c r="L242" t="b">
        <v>0</v>
      </c>
      <c r="M242">
        <v>466</v>
      </c>
      <c r="N242">
        <v>139</v>
      </c>
      <c r="O242" t="s">
        <v>46</v>
      </c>
      <c r="P242" t="s">
        <v>28</v>
      </c>
      <c r="Q242" t="s">
        <v>29</v>
      </c>
      <c r="R242">
        <v>62</v>
      </c>
      <c r="S242">
        <v>4</v>
      </c>
      <c r="T242" t="b">
        <v>1</v>
      </c>
      <c r="U242" t="s">
        <v>30</v>
      </c>
      <c r="V242">
        <v>681</v>
      </c>
      <c r="W242" t="s">
        <v>59</v>
      </c>
      <c r="X242" t="s">
        <v>32</v>
      </c>
      <c r="Y242" t="s">
        <v>39</v>
      </c>
    </row>
    <row r="243" spans="1:25" x14ac:dyDescent="0.35">
      <c r="A243">
        <v>2472</v>
      </c>
      <c r="B243" t="s">
        <v>205</v>
      </c>
      <c r="C243" s="1">
        <v>45248</v>
      </c>
      <c r="D243" s="1">
        <v>45621</v>
      </c>
      <c r="E243">
        <v>12</v>
      </c>
      <c r="F243">
        <v>7.99</v>
      </c>
      <c r="G243">
        <f t="shared" si="3"/>
        <v>95.88</v>
      </c>
      <c r="H243">
        <v>61</v>
      </c>
      <c r="I243" t="s">
        <v>64</v>
      </c>
      <c r="J243">
        <v>3</v>
      </c>
      <c r="K243">
        <v>4</v>
      </c>
      <c r="L243" t="b">
        <v>0</v>
      </c>
      <c r="M243">
        <v>860</v>
      </c>
      <c r="N243">
        <v>145</v>
      </c>
      <c r="O243" t="s">
        <v>50</v>
      </c>
      <c r="P243" t="s">
        <v>42</v>
      </c>
      <c r="Q243" t="s">
        <v>52</v>
      </c>
      <c r="R243">
        <v>82</v>
      </c>
      <c r="S243">
        <v>4.7</v>
      </c>
      <c r="T243" t="b">
        <v>1</v>
      </c>
      <c r="U243" t="s">
        <v>30</v>
      </c>
      <c r="V243">
        <v>428</v>
      </c>
      <c r="W243" t="s">
        <v>67</v>
      </c>
      <c r="X243" t="s">
        <v>70</v>
      </c>
      <c r="Y243" t="s">
        <v>33</v>
      </c>
    </row>
    <row r="244" spans="1:25" x14ac:dyDescent="0.35">
      <c r="A244">
        <v>7939</v>
      </c>
      <c r="B244" t="s">
        <v>222</v>
      </c>
      <c r="C244" s="1">
        <v>45177</v>
      </c>
      <c r="D244" s="1">
        <v>45621</v>
      </c>
      <c r="E244">
        <v>14</v>
      </c>
      <c r="F244">
        <v>11.99</v>
      </c>
      <c r="G244">
        <f t="shared" si="3"/>
        <v>167.86</v>
      </c>
      <c r="H244">
        <v>410</v>
      </c>
      <c r="I244" t="s">
        <v>64</v>
      </c>
      <c r="J244">
        <v>5</v>
      </c>
      <c r="K244">
        <v>6</v>
      </c>
      <c r="L244" t="b">
        <v>0</v>
      </c>
      <c r="M244">
        <v>410</v>
      </c>
      <c r="N244">
        <v>125</v>
      </c>
      <c r="O244" t="s">
        <v>76</v>
      </c>
      <c r="P244" t="s">
        <v>28</v>
      </c>
      <c r="Q244" t="s">
        <v>36</v>
      </c>
      <c r="R244">
        <v>68</v>
      </c>
      <c r="S244">
        <v>4.7</v>
      </c>
      <c r="T244" t="b">
        <v>0</v>
      </c>
      <c r="U244" t="s">
        <v>30</v>
      </c>
      <c r="V244">
        <v>2542</v>
      </c>
      <c r="W244" t="s">
        <v>37</v>
      </c>
      <c r="X244" t="s">
        <v>38</v>
      </c>
      <c r="Y244" t="s">
        <v>55</v>
      </c>
    </row>
    <row r="245" spans="1:25" x14ac:dyDescent="0.35">
      <c r="A245">
        <v>8269</v>
      </c>
      <c r="B245" t="s">
        <v>74</v>
      </c>
      <c r="C245" s="1">
        <v>45348</v>
      </c>
      <c r="D245" s="1">
        <v>45643</v>
      </c>
      <c r="E245">
        <v>9</v>
      </c>
      <c r="F245">
        <v>7.99</v>
      </c>
      <c r="G245">
        <f t="shared" si="3"/>
        <v>71.91</v>
      </c>
      <c r="H245">
        <v>88</v>
      </c>
      <c r="I245" t="s">
        <v>26</v>
      </c>
      <c r="J245">
        <v>3</v>
      </c>
      <c r="K245">
        <v>1</v>
      </c>
      <c r="L245" t="b">
        <v>0</v>
      </c>
      <c r="M245">
        <v>69</v>
      </c>
      <c r="N245">
        <v>75</v>
      </c>
      <c r="O245" t="s">
        <v>50</v>
      </c>
      <c r="P245" t="s">
        <v>51</v>
      </c>
      <c r="Q245" t="s">
        <v>36</v>
      </c>
      <c r="R245">
        <v>80</v>
      </c>
      <c r="S245">
        <v>4.0999999999999996</v>
      </c>
      <c r="T245" t="b">
        <v>0</v>
      </c>
      <c r="U245" t="s">
        <v>30</v>
      </c>
      <c r="V245">
        <v>4763</v>
      </c>
      <c r="W245" t="s">
        <v>53</v>
      </c>
      <c r="X245" t="s">
        <v>70</v>
      </c>
      <c r="Y245" t="s">
        <v>39</v>
      </c>
    </row>
    <row r="246" spans="1:25" x14ac:dyDescent="0.35">
      <c r="A246">
        <v>9073</v>
      </c>
      <c r="B246" t="s">
        <v>83</v>
      </c>
      <c r="C246" s="1">
        <v>45118</v>
      </c>
      <c r="D246" s="1">
        <v>45635</v>
      </c>
      <c r="E246">
        <v>16</v>
      </c>
      <c r="F246">
        <v>15.99</v>
      </c>
      <c r="G246">
        <f t="shared" si="3"/>
        <v>255.84</v>
      </c>
      <c r="H246">
        <v>322</v>
      </c>
      <c r="I246" t="s">
        <v>48</v>
      </c>
      <c r="J246">
        <v>3</v>
      </c>
      <c r="K246">
        <v>4</v>
      </c>
      <c r="L246" t="b">
        <v>1</v>
      </c>
      <c r="M246">
        <v>424</v>
      </c>
      <c r="N246">
        <v>74</v>
      </c>
      <c r="O246" t="s">
        <v>61</v>
      </c>
      <c r="P246" t="s">
        <v>51</v>
      </c>
      <c r="Q246" t="s">
        <v>69</v>
      </c>
      <c r="R246">
        <v>3</v>
      </c>
      <c r="S246">
        <v>3</v>
      </c>
      <c r="T246" t="b">
        <v>0</v>
      </c>
      <c r="U246" t="s">
        <v>30</v>
      </c>
      <c r="V246">
        <v>486</v>
      </c>
      <c r="W246" t="s">
        <v>67</v>
      </c>
      <c r="X246" t="s">
        <v>62</v>
      </c>
      <c r="Y246" t="s">
        <v>39</v>
      </c>
    </row>
    <row r="247" spans="1:25" x14ac:dyDescent="0.35">
      <c r="A247">
        <v>9879</v>
      </c>
      <c r="B247" t="s">
        <v>104</v>
      </c>
      <c r="C247" s="1">
        <v>44959</v>
      </c>
      <c r="D247" s="1">
        <v>45630</v>
      </c>
      <c r="E247">
        <v>22</v>
      </c>
      <c r="F247">
        <v>7.99</v>
      </c>
      <c r="G247">
        <f t="shared" si="3"/>
        <v>175.78</v>
      </c>
      <c r="H247">
        <v>217</v>
      </c>
      <c r="I247" t="s">
        <v>57</v>
      </c>
      <c r="J247">
        <v>3</v>
      </c>
      <c r="K247">
        <v>3</v>
      </c>
      <c r="L247" t="b">
        <v>0</v>
      </c>
      <c r="M247">
        <v>377</v>
      </c>
      <c r="N247">
        <v>136</v>
      </c>
      <c r="O247" t="s">
        <v>41</v>
      </c>
      <c r="P247" t="s">
        <v>28</v>
      </c>
      <c r="Q247" t="s">
        <v>43</v>
      </c>
      <c r="R247">
        <v>8</v>
      </c>
      <c r="S247">
        <v>4.2</v>
      </c>
      <c r="T247" t="b">
        <v>1</v>
      </c>
      <c r="U247" t="s">
        <v>30</v>
      </c>
      <c r="V247">
        <v>4327</v>
      </c>
      <c r="W247" t="s">
        <v>67</v>
      </c>
      <c r="X247" t="s">
        <v>38</v>
      </c>
      <c r="Y247" t="s">
        <v>33</v>
      </c>
    </row>
    <row r="248" spans="1:25" x14ac:dyDescent="0.35">
      <c r="A248">
        <v>3822</v>
      </c>
      <c r="B248" t="s">
        <v>223</v>
      </c>
      <c r="C248" s="1">
        <v>45141</v>
      </c>
      <c r="D248" s="1">
        <v>45630</v>
      </c>
      <c r="E248">
        <v>16</v>
      </c>
      <c r="F248">
        <v>15.99</v>
      </c>
      <c r="G248">
        <f t="shared" si="3"/>
        <v>255.84</v>
      </c>
      <c r="H248">
        <v>180</v>
      </c>
      <c r="I248" t="s">
        <v>26</v>
      </c>
      <c r="J248">
        <v>3</v>
      </c>
      <c r="K248">
        <v>4</v>
      </c>
      <c r="L248" t="b">
        <v>0</v>
      </c>
      <c r="M248">
        <v>132</v>
      </c>
      <c r="N248">
        <v>127</v>
      </c>
      <c r="O248" t="s">
        <v>27</v>
      </c>
      <c r="P248" t="s">
        <v>51</v>
      </c>
      <c r="Q248" t="s">
        <v>58</v>
      </c>
      <c r="R248">
        <v>79</v>
      </c>
      <c r="S248">
        <v>4.8</v>
      </c>
      <c r="T248" t="b">
        <v>1</v>
      </c>
      <c r="U248" t="s">
        <v>30</v>
      </c>
      <c r="V248">
        <v>2938</v>
      </c>
      <c r="W248" t="s">
        <v>31</v>
      </c>
      <c r="X248" t="s">
        <v>32</v>
      </c>
      <c r="Y248" t="s">
        <v>77</v>
      </c>
    </row>
    <row r="249" spans="1:25" x14ac:dyDescent="0.35">
      <c r="A249">
        <v>9183</v>
      </c>
      <c r="B249" t="s">
        <v>82</v>
      </c>
      <c r="C249" s="1">
        <v>45042</v>
      </c>
      <c r="D249" s="1">
        <v>45635</v>
      </c>
      <c r="E249">
        <v>19</v>
      </c>
      <c r="F249">
        <v>15.99</v>
      </c>
      <c r="G249">
        <f t="shared" si="3"/>
        <v>303.81</v>
      </c>
      <c r="H249">
        <v>11</v>
      </c>
      <c r="I249" t="s">
        <v>45</v>
      </c>
      <c r="J249">
        <v>1</v>
      </c>
      <c r="K249">
        <v>1</v>
      </c>
      <c r="L249" t="b">
        <v>0</v>
      </c>
      <c r="M249">
        <v>818</v>
      </c>
      <c r="N249">
        <v>45</v>
      </c>
      <c r="O249" t="s">
        <v>65</v>
      </c>
      <c r="P249" t="s">
        <v>28</v>
      </c>
      <c r="Q249" t="s">
        <v>52</v>
      </c>
      <c r="R249">
        <v>97</v>
      </c>
      <c r="S249">
        <v>4.9000000000000004</v>
      </c>
      <c r="T249" t="b">
        <v>0</v>
      </c>
      <c r="U249" t="s">
        <v>30</v>
      </c>
      <c r="V249">
        <v>1429</v>
      </c>
      <c r="W249" t="s">
        <v>37</v>
      </c>
      <c r="X249" t="s">
        <v>54</v>
      </c>
      <c r="Y249" t="s">
        <v>77</v>
      </c>
    </row>
    <row r="250" spans="1:25" x14ac:dyDescent="0.35">
      <c r="A250">
        <v>8674</v>
      </c>
      <c r="B250" t="s">
        <v>224</v>
      </c>
      <c r="C250" s="1">
        <v>44927</v>
      </c>
      <c r="D250" s="1">
        <v>45616</v>
      </c>
      <c r="E250">
        <v>22</v>
      </c>
      <c r="F250">
        <v>15.99</v>
      </c>
      <c r="G250">
        <f t="shared" si="3"/>
        <v>351.78000000000003</v>
      </c>
      <c r="H250">
        <v>455</v>
      </c>
      <c r="I250" t="s">
        <v>64</v>
      </c>
      <c r="J250">
        <v>5</v>
      </c>
      <c r="K250">
        <v>6</v>
      </c>
      <c r="L250" t="b">
        <v>1</v>
      </c>
      <c r="M250">
        <v>813</v>
      </c>
      <c r="N250">
        <v>155</v>
      </c>
      <c r="O250" t="s">
        <v>41</v>
      </c>
      <c r="P250" t="s">
        <v>66</v>
      </c>
      <c r="Q250" t="s">
        <v>69</v>
      </c>
      <c r="R250">
        <v>85</v>
      </c>
      <c r="S250">
        <v>3.6</v>
      </c>
      <c r="T250" t="b">
        <v>1</v>
      </c>
      <c r="U250" t="s">
        <v>30</v>
      </c>
      <c r="V250">
        <v>2897</v>
      </c>
      <c r="W250" t="s">
        <v>53</v>
      </c>
      <c r="X250" t="s">
        <v>38</v>
      </c>
      <c r="Y250" t="s">
        <v>55</v>
      </c>
    </row>
    <row r="251" spans="1:25" x14ac:dyDescent="0.35">
      <c r="A251">
        <v>2481</v>
      </c>
      <c r="B251" t="s">
        <v>225</v>
      </c>
      <c r="C251" s="1">
        <v>45374</v>
      </c>
      <c r="D251" s="1">
        <v>45616</v>
      </c>
      <c r="E251">
        <v>7</v>
      </c>
      <c r="F251">
        <v>7.99</v>
      </c>
      <c r="G251">
        <f t="shared" si="3"/>
        <v>55.93</v>
      </c>
      <c r="H251">
        <v>487</v>
      </c>
      <c r="I251" t="s">
        <v>81</v>
      </c>
      <c r="J251">
        <v>2</v>
      </c>
      <c r="K251">
        <v>6</v>
      </c>
      <c r="L251" t="b">
        <v>0</v>
      </c>
      <c r="M251">
        <v>362</v>
      </c>
      <c r="N251">
        <v>130</v>
      </c>
      <c r="O251" t="s">
        <v>76</v>
      </c>
      <c r="P251" t="s">
        <v>66</v>
      </c>
      <c r="Q251" t="s">
        <v>58</v>
      </c>
      <c r="R251">
        <v>36</v>
      </c>
      <c r="S251">
        <v>3.3</v>
      </c>
      <c r="T251" t="b">
        <v>1</v>
      </c>
      <c r="U251" t="s">
        <v>30</v>
      </c>
      <c r="V251">
        <v>274</v>
      </c>
      <c r="W251" t="s">
        <v>53</v>
      </c>
      <c r="X251" t="s">
        <v>62</v>
      </c>
      <c r="Y251" t="s">
        <v>55</v>
      </c>
    </row>
    <row r="252" spans="1:25" x14ac:dyDescent="0.35">
      <c r="A252">
        <v>8729</v>
      </c>
      <c r="B252" t="s">
        <v>226</v>
      </c>
      <c r="C252" s="1">
        <v>45300</v>
      </c>
      <c r="D252" s="1">
        <v>45639</v>
      </c>
      <c r="E252">
        <v>11</v>
      </c>
      <c r="F252">
        <v>7.99</v>
      </c>
      <c r="G252">
        <f t="shared" si="3"/>
        <v>87.89</v>
      </c>
      <c r="H252">
        <v>459</v>
      </c>
      <c r="I252" t="s">
        <v>48</v>
      </c>
      <c r="J252">
        <v>2</v>
      </c>
      <c r="K252">
        <v>4</v>
      </c>
      <c r="L252" t="b">
        <v>0</v>
      </c>
      <c r="M252">
        <v>573</v>
      </c>
      <c r="N252">
        <v>190</v>
      </c>
      <c r="O252" t="s">
        <v>61</v>
      </c>
      <c r="P252" t="s">
        <v>28</v>
      </c>
      <c r="Q252" t="s">
        <v>52</v>
      </c>
      <c r="R252">
        <v>81</v>
      </c>
      <c r="S252">
        <v>4.3</v>
      </c>
      <c r="T252" t="b">
        <v>0</v>
      </c>
      <c r="U252" t="s">
        <v>30</v>
      </c>
      <c r="V252">
        <v>3910</v>
      </c>
      <c r="W252" t="s">
        <v>59</v>
      </c>
      <c r="X252" t="s">
        <v>62</v>
      </c>
      <c r="Y252" t="s">
        <v>55</v>
      </c>
    </row>
    <row r="253" spans="1:25" x14ac:dyDescent="0.35">
      <c r="A253">
        <v>5534</v>
      </c>
      <c r="B253" t="s">
        <v>227</v>
      </c>
      <c r="C253" s="1">
        <v>44989</v>
      </c>
      <c r="D253" s="1">
        <v>45639</v>
      </c>
      <c r="E253">
        <v>21</v>
      </c>
      <c r="F253">
        <v>7.99</v>
      </c>
      <c r="G253">
        <f t="shared" si="3"/>
        <v>167.79</v>
      </c>
      <c r="H253">
        <v>74</v>
      </c>
      <c r="I253" t="s">
        <v>35</v>
      </c>
      <c r="J253">
        <v>2</v>
      </c>
      <c r="K253">
        <v>1</v>
      </c>
      <c r="L253" t="b">
        <v>0</v>
      </c>
      <c r="M253">
        <v>657</v>
      </c>
      <c r="N253">
        <v>88</v>
      </c>
      <c r="O253" t="s">
        <v>41</v>
      </c>
      <c r="P253" t="s">
        <v>42</v>
      </c>
      <c r="Q253" t="s">
        <v>43</v>
      </c>
      <c r="R253">
        <v>40</v>
      </c>
      <c r="S253">
        <v>3.8</v>
      </c>
      <c r="T253" t="b">
        <v>0</v>
      </c>
      <c r="U253" t="s">
        <v>30</v>
      </c>
      <c r="V253">
        <v>130</v>
      </c>
      <c r="W253" t="s">
        <v>37</v>
      </c>
      <c r="X253" t="s">
        <v>54</v>
      </c>
      <c r="Y253" t="s">
        <v>55</v>
      </c>
    </row>
    <row r="254" spans="1:25" x14ac:dyDescent="0.35">
      <c r="A254">
        <v>9785</v>
      </c>
      <c r="B254" t="s">
        <v>170</v>
      </c>
      <c r="C254" s="1">
        <v>45295</v>
      </c>
      <c r="D254" s="1">
        <v>45644</v>
      </c>
      <c r="E254">
        <v>11</v>
      </c>
      <c r="F254">
        <v>11.99</v>
      </c>
      <c r="G254">
        <f t="shared" si="3"/>
        <v>131.89000000000001</v>
      </c>
      <c r="H254">
        <v>54</v>
      </c>
      <c r="I254" t="s">
        <v>26</v>
      </c>
      <c r="J254">
        <v>5</v>
      </c>
      <c r="K254">
        <v>4</v>
      </c>
      <c r="L254" t="b">
        <v>0</v>
      </c>
      <c r="M254">
        <v>659</v>
      </c>
      <c r="N254">
        <v>2</v>
      </c>
      <c r="O254" t="s">
        <v>65</v>
      </c>
      <c r="P254" t="s">
        <v>28</v>
      </c>
      <c r="Q254" t="s">
        <v>43</v>
      </c>
      <c r="R254">
        <v>82</v>
      </c>
      <c r="S254">
        <v>4.3</v>
      </c>
      <c r="T254" t="b">
        <v>1</v>
      </c>
      <c r="U254" t="s">
        <v>30</v>
      </c>
      <c r="V254">
        <v>2557</v>
      </c>
      <c r="W254" t="s">
        <v>37</v>
      </c>
      <c r="X254" t="s">
        <v>32</v>
      </c>
      <c r="Y254" t="s">
        <v>55</v>
      </c>
    </row>
    <row r="255" spans="1:25" x14ac:dyDescent="0.35">
      <c r="A255">
        <v>9609</v>
      </c>
      <c r="B255" t="s">
        <v>215</v>
      </c>
      <c r="C255" s="1">
        <v>45172</v>
      </c>
      <c r="D255" s="1">
        <v>45623</v>
      </c>
      <c r="E255">
        <v>14</v>
      </c>
      <c r="F255">
        <v>11.99</v>
      </c>
      <c r="G255">
        <f t="shared" si="3"/>
        <v>167.86</v>
      </c>
      <c r="H255">
        <v>292</v>
      </c>
      <c r="I255" t="s">
        <v>81</v>
      </c>
      <c r="J255">
        <v>3</v>
      </c>
      <c r="K255">
        <v>4</v>
      </c>
      <c r="L255" t="b">
        <v>1</v>
      </c>
      <c r="M255">
        <v>653</v>
      </c>
      <c r="N255">
        <v>173</v>
      </c>
      <c r="O255" t="s">
        <v>61</v>
      </c>
      <c r="P255" t="s">
        <v>42</v>
      </c>
      <c r="Q255" t="s">
        <v>29</v>
      </c>
      <c r="R255">
        <v>8</v>
      </c>
      <c r="S255">
        <v>3.5</v>
      </c>
      <c r="T255" t="b">
        <v>0</v>
      </c>
      <c r="U255" t="s">
        <v>30</v>
      </c>
      <c r="V255">
        <v>3823</v>
      </c>
      <c r="W255" t="s">
        <v>37</v>
      </c>
      <c r="X255" t="s">
        <v>62</v>
      </c>
      <c r="Y255" t="s">
        <v>39</v>
      </c>
    </row>
    <row r="256" spans="1:25" x14ac:dyDescent="0.35">
      <c r="A256">
        <v>2829</v>
      </c>
      <c r="B256" t="s">
        <v>228</v>
      </c>
      <c r="C256" s="1">
        <v>45558</v>
      </c>
      <c r="D256" s="1">
        <v>45635</v>
      </c>
      <c r="E256">
        <v>2</v>
      </c>
      <c r="F256">
        <v>15.99</v>
      </c>
      <c r="G256">
        <f t="shared" si="3"/>
        <v>31.98</v>
      </c>
      <c r="H256">
        <v>23</v>
      </c>
      <c r="I256" t="s">
        <v>26</v>
      </c>
      <c r="J256">
        <v>2</v>
      </c>
      <c r="K256">
        <v>2</v>
      </c>
      <c r="L256" t="b">
        <v>0</v>
      </c>
      <c r="M256">
        <v>577</v>
      </c>
      <c r="N256">
        <v>131</v>
      </c>
      <c r="O256" t="s">
        <v>76</v>
      </c>
      <c r="P256" t="s">
        <v>51</v>
      </c>
      <c r="Q256" t="s">
        <v>36</v>
      </c>
      <c r="R256">
        <v>14</v>
      </c>
      <c r="S256">
        <v>3.9</v>
      </c>
      <c r="T256" t="b">
        <v>0</v>
      </c>
      <c r="U256" t="s">
        <v>30</v>
      </c>
      <c r="V256">
        <v>4048</v>
      </c>
      <c r="W256" t="s">
        <v>59</v>
      </c>
      <c r="X256" t="s">
        <v>38</v>
      </c>
      <c r="Y256" t="s">
        <v>77</v>
      </c>
    </row>
    <row r="257" spans="1:25" x14ac:dyDescent="0.35">
      <c r="A257">
        <v>1714</v>
      </c>
      <c r="B257" t="s">
        <v>229</v>
      </c>
      <c r="C257" s="1">
        <v>45167</v>
      </c>
      <c r="D257" s="1">
        <v>45622</v>
      </c>
      <c r="E257">
        <v>14</v>
      </c>
      <c r="F257">
        <v>11.99</v>
      </c>
      <c r="G257">
        <f t="shared" si="3"/>
        <v>167.86</v>
      </c>
      <c r="H257">
        <v>147</v>
      </c>
      <c r="I257" t="s">
        <v>57</v>
      </c>
      <c r="J257">
        <v>3</v>
      </c>
      <c r="K257">
        <v>1</v>
      </c>
      <c r="L257" t="b">
        <v>1</v>
      </c>
      <c r="M257">
        <v>802</v>
      </c>
      <c r="N257">
        <v>177</v>
      </c>
      <c r="O257" t="s">
        <v>76</v>
      </c>
      <c r="P257" t="s">
        <v>51</v>
      </c>
      <c r="Q257" t="s">
        <v>36</v>
      </c>
      <c r="R257">
        <v>21</v>
      </c>
      <c r="S257">
        <v>3.5</v>
      </c>
      <c r="T257" t="b">
        <v>1</v>
      </c>
      <c r="U257" t="s">
        <v>30</v>
      </c>
      <c r="V257">
        <v>3173</v>
      </c>
      <c r="W257" t="s">
        <v>53</v>
      </c>
      <c r="X257" t="s">
        <v>32</v>
      </c>
      <c r="Y257" t="s">
        <v>55</v>
      </c>
    </row>
    <row r="258" spans="1:25" x14ac:dyDescent="0.35">
      <c r="A258">
        <v>4475</v>
      </c>
      <c r="B258" t="s">
        <v>230</v>
      </c>
      <c r="C258" s="1">
        <v>45286</v>
      </c>
      <c r="D258" s="1">
        <v>45638</v>
      </c>
      <c r="E258">
        <v>11</v>
      </c>
      <c r="F258">
        <v>7.99</v>
      </c>
      <c r="G258">
        <f t="shared" si="3"/>
        <v>87.89</v>
      </c>
      <c r="H258">
        <v>221</v>
      </c>
      <c r="I258" t="s">
        <v>26</v>
      </c>
      <c r="J258">
        <v>2</v>
      </c>
      <c r="K258">
        <v>4</v>
      </c>
      <c r="L258" t="b">
        <v>0</v>
      </c>
      <c r="M258">
        <v>702</v>
      </c>
      <c r="N258">
        <v>130</v>
      </c>
      <c r="O258" t="s">
        <v>41</v>
      </c>
      <c r="P258" t="s">
        <v>28</v>
      </c>
      <c r="Q258" t="s">
        <v>69</v>
      </c>
      <c r="R258">
        <v>36</v>
      </c>
      <c r="S258">
        <v>4.3</v>
      </c>
      <c r="T258" t="b">
        <v>0</v>
      </c>
      <c r="U258" t="s">
        <v>30</v>
      </c>
      <c r="V258">
        <v>3289</v>
      </c>
      <c r="W258" t="s">
        <v>59</v>
      </c>
      <c r="X258" t="s">
        <v>38</v>
      </c>
      <c r="Y258" t="s">
        <v>39</v>
      </c>
    </row>
    <row r="259" spans="1:25" x14ac:dyDescent="0.35">
      <c r="A259">
        <v>9820</v>
      </c>
      <c r="B259" t="s">
        <v>110</v>
      </c>
      <c r="C259" s="1">
        <v>45586</v>
      </c>
      <c r="D259" s="1">
        <v>45623</v>
      </c>
      <c r="E259">
        <v>1</v>
      </c>
      <c r="F259">
        <v>7.99</v>
      </c>
      <c r="G259">
        <f t="shared" ref="G259:G322" si="4">F259*E259</f>
        <v>7.99</v>
      </c>
      <c r="H259">
        <v>40</v>
      </c>
      <c r="I259" t="s">
        <v>48</v>
      </c>
      <c r="J259">
        <v>2</v>
      </c>
      <c r="K259">
        <v>1</v>
      </c>
      <c r="L259" t="b">
        <v>1</v>
      </c>
      <c r="M259">
        <v>92</v>
      </c>
      <c r="N259">
        <v>184</v>
      </c>
      <c r="O259" t="s">
        <v>46</v>
      </c>
      <c r="P259" t="s">
        <v>51</v>
      </c>
      <c r="Q259" t="s">
        <v>43</v>
      </c>
      <c r="R259">
        <v>66</v>
      </c>
      <c r="S259">
        <v>4.0999999999999996</v>
      </c>
      <c r="T259" t="b">
        <v>1</v>
      </c>
      <c r="U259" t="s">
        <v>30</v>
      </c>
      <c r="V259">
        <v>4377</v>
      </c>
      <c r="W259" t="s">
        <v>53</v>
      </c>
      <c r="X259" t="s">
        <v>38</v>
      </c>
      <c r="Y259" t="s">
        <v>77</v>
      </c>
    </row>
    <row r="260" spans="1:25" x14ac:dyDescent="0.35">
      <c r="A260">
        <v>3261</v>
      </c>
      <c r="B260" t="s">
        <v>123</v>
      </c>
      <c r="C260" s="1">
        <v>44926</v>
      </c>
      <c r="D260" s="1">
        <v>45639</v>
      </c>
      <c r="E260">
        <v>23</v>
      </c>
      <c r="F260">
        <v>11.99</v>
      </c>
      <c r="G260">
        <f t="shared" si="4"/>
        <v>275.77</v>
      </c>
      <c r="H260">
        <v>365</v>
      </c>
      <c r="I260" t="s">
        <v>45</v>
      </c>
      <c r="J260">
        <v>1</v>
      </c>
      <c r="K260">
        <v>5</v>
      </c>
      <c r="L260" t="b">
        <v>1</v>
      </c>
      <c r="M260">
        <v>582</v>
      </c>
      <c r="N260">
        <v>162</v>
      </c>
      <c r="O260" t="s">
        <v>61</v>
      </c>
      <c r="P260" t="s">
        <v>66</v>
      </c>
      <c r="Q260" t="s">
        <v>29</v>
      </c>
      <c r="R260">
        <v>8</v>
      </c>
      <c r="S260">
        <v>3.3</v>
      </c>
      <c r="T260" t="b">
        <v>0</v>
      </c>
      <c r="U260" t="s">
        <v>30</v>
      </c>
      <c r="V260">
        <v>995</v>
      </c>
      <c r="W260" t="s">
        <v>59</v>
      </c>
      <c r="X260" t="s">
        <v>38</v>
      </c>
      <c r="Y260" t="s">
        <v>39</v>
      </c>
    </row>
    <row r="261" spans="1:25" x14ac:dyDescent="0.35">
      <c r="A261">
        <v>6130</v>
      </c>
      <c r="B261" t="s">
        <v>111</v>
      </c>
      <c r="C261" s="1">
        <v>45407</v>
      </c>
      <c r="D261" s="1">
        <v>45642</v>
      </c>
      <c r="E261">
        <v>7</v>
      </c>
      <c r="F261">
        <v>11.99</v>
      </c>
      <c r="G261">
        <f t="shared" si="4"/>
        <v>83.93</v>
      </c>
      <c r="H261">
        <v>360</v>
      </c>
      <c r="I261" t="s">
        <v>81</v>
      </c>
      <c r="J261">
        <v>1</v>
      </c>
      <c r="K261">
        <v>2</v>
      </c>
      <c r="L261" t="b">
        <v>1</v>
      </c>
      <c r="M261">
        <v>161</v>
      </c>
      <c r="N261">
        <v>93</v>
      </c>
      <c r="O261" t="s">
        <v>50</v>
      </c>
      <c r="P261" t="s">
        <v>42</v>
      </c>
      <c r="Q261" t="s">
        <v>52</v>
      </c>
      <c r="R261">
        <v>30</v>
      </c>
      <c r="S261">
        <v>3.3</v>
      </c>
      <c r="T261" t="b">
        <v>1</v>
      </c>
      <c r="U261" t="s">
        <v>30</v>
      </c>
      <c r="V261">
        <v>2299</v>
      </c>
      <c r="W261" t="s">
        <v>37</v>
      </c>
      <c r="X261" t="s">
        <v>70</v>
      </c>
      <c r="Y261" t="s">
        <v>77</v>
      </c>
    </row>
    <row r="262" spans="1:25" x14ac:dyDescent="0.35">
      <c r="A262">
        <v>9399</v>
      </c>
      <c r="B262" t="s">
        <v>125</v>
      </c>
      <c r="C262" s="1">
        <v>45040</v>
      </c>
      <c r="D262" s="1">
        <v>45624</v>
      </c>
      <c r="E262">
        <v>19</v>
      </c>
      <c r="F262">
        <v>7.99</v>
      </c>
      <c r="G262">
        <f t="shared" si="4"/>
        <v>151.81</v>
      </c>
      <c r="H262">
        <v>127</v>
      </c>
      <c r="I262" t="s">
        <v>26</v>
      </c>
      <c r="J262">
        <v>2</v>
      </c>
      <c r="K262">
        <v>2</v>
      </c>
      <c r="L262" t="b">
        <v>0</v>
      </c>
      <c r="M262">
        <v>842</v>
      </c>
      <c r="N262">
        <v>24</v>
      </c>
      <c r="O262" t="s">
        <v>41</v>
      </c>
      <c r="P262" t="s">
        <v>66</v>
      </c>
      <c r="Q262" t="s">
        <v>52</v>
      </c>
      <c r="R262">
        <v>72</v>
      </c>
      <c r="S262">
        <v>3.2</v>
      </c>
      <c r="T262" t="b">
        <v>1</v>
      </c>
      <c r="U262" t="s">
        <v>30</v>
      </c>
      <c r="V262">
        <v>4644</v>
      </c>
      <c r="W262" t="s">
        <v>31</v>
      </c>
      <c r="X262" t="s">
        <v>38</v>
      </c>
      <c r="Y262" t="s">
        <v>33</v>
      </c>
    </row>
    <row r="263" spans="1:25" x14ac:dyDescent="0.35">
      <c r="A263">
        <v>6047</v>
      </c>
      <c r="B263" t="s">
        <v>186</v>
      </c>
      <c r="C263" s="1">
        <v>45619</v>
      </c>
      <c r="D263" s="1">
        <v>45628</v>
      </c>
      <c r="E263">
        <v>0</v>
      </c>
      <c r="F263">
        <v>15.99</v>
      </c>
      <c r="G263">
        <f t="shared" si="4"/>
        <v>0</v>
      </c>
      <c r="H263">
        <v>30</v>
      </c>
      <c r="I263" t="s">
        <v>57</v>
      </c>
      <c r="J263">
        <v>3</v>
      </c>
      <c r="K263">
        <v>2</v>
      </c>
      <c r="L263" t="b">
        <v>1</v>
      </c>
      <c r="M263">
        <v>609</v>
      </c>
      <c r="N263">
        <v>6</v>
      </c>
      <c r="O263" t="s">
        <v>41</v>
      </c>
      <c r="P263" t="s">
        <v>28</v>
      </c>
      <c r="Q263" t="s">
        <v>43</v>
      </c>
      <c r="R263">
        <v>57</v>
      </c>
      <c r="S263">
        <v>3</v>
      </c>
      <c r="T263" t="b">
        <v>1</v>
      </c>
      <c r="U263" t="s">
        <v>30</v>
      </c>
      <c r="V263">
        <v>746</v>
      </c>
      <c r="W263" t="s">
        <v>67</v>
      </c>
      <c r="X263" t="s">
        <v>70</v>
      </c>
      <c r="Y263" t="s">
        <v>33</v>
      </c>
    </row>
    <row r="264" spans="1:25" x14ac:dyDescent="0.35">
      <c r="A264">
        <v>7789</v>
      </c>
      <c r="B264" t="s">
        <v>90</v>
      </c>
      <c r="C264" s="1">
        <v>45134</v>
      </c>
      <c r="D264" s="1">
        <v>45620</v>
      </c>
      <c r="E264">
        <v>15</v>
      </c>
      <c r="F264">
        <v>7.99</v>
      </c>
      <c r="G264">
        <f t="shared" si="4"/>
        <v>119.85000000000001</v>
      </c>
      <c r="H264">
        <v>222</v>
      </c>
      <c r="I264" t="s">
        <v>35</v>
      </c>
      <c r="J264">
        <v>1</v>
      </c>
      <c r="K264">
        <v>6</v>
      </c>
      <c r="L264" t="b">
        <v>0</v>
      </c>
      <c r="M264">
        <v>391</v>
      </c>
      <c r="N264">
        <v>17</v>
      </c>
      <c r="O264" t="s">
        <v>27</v>
      </c>
      <c r="P264" t="s">
        <v>66</v>
      </c>
      <c r="Q264" t="s">
        <v>29</v>
      </c>
      <c r="R264">
        <v>21</v>
      </c>
      <c r="S264">
        <v>3.4</v>
      </c>
      <c r="T264" t="b">
        <v>1</v>
      </c>
      <c r="U264" t="s">
        <v>30</v>
      </c>
      <c r="V264">
        <v>2835</v>
      </c>
      <c r="W264" t="s">
        <v>67</v>
      </c>
      <c r="X264" t="s">
        <v>62</v>
      </c>
      <c r="Y264" t="s">
        <v>39</v>
      </c>
    </row>
    <row r="265" spans="1:25" x14ac:dyDescent="0.35">
      <c r="A265">
        <v>6111</v>
      </c>
      <c r="B265" t="s">
        <v>121</v>
      </c>
      <c r="C265" s="1">
        <v>45241</v>
      </c>
      <c r="D265" s="1">
        <v>45639</v>
      </c>
      <c r="E265">
        <v>13</v>
      </c>
      <c r="F265">
        <v>11.99</v>
      </c>
      <c r="G265">
        <f t="shared" si="4"/>
        <v>155.87</v>
      </c>
      <c r="H265">
        <v>168</v>
      </c>
      <c r="I265" t="s">
        <v>81</v>
      </c>
      <c r="J265">
        <v>1</v>
      </c>
      <c r="K265">
        <v>2</v>
      </c>
      <c r="L265" t="b">
        <v>0</v>
      </c>
      <c r="M265">
        <v>247</v>
      </c>
      <c r="N265">
        <v>172</v>
      </c>
      <c r="O265" t="s">
        <v>76</v>
      </c>
      <c r="P265" t="s">
        <v>66</v>
      </c>
      <c r="Q265" t="s">
        <v>69</v>
      </c>
      <c r="R265">
        <v>98</v>
      </c>
      <c r="S265">
        <v>3.5</v>
      </c>
      <c r="T265" t="b">
        <v>0</v>
      </c>
      <c r="U265" t="s">
        <v>30</v>
      </c>
      <c r="V265">
        <v>3626</v>
      </c>
      <c r="W265" t="s">
        <v>53</v>
      </c>
      <c r="X265" t="s">
        <v>32</v>
      </c>
      <c r="Y265" t="s">
        <v>39</v>
      </c>
    </row>
    <row r="266" spans="1:25" x14ac:dyDescent="0.35">
      <c r="A266">
        <v>4968</v>
      </c>
      <c r="B266" t="s">
        <v>231</v>
      </c>
      <c r="C266" s="1">
        <v>45393</v>
      </c>
      <c r="D266" s="1">
        <v>45622</v>
      </c>
      <c r="E266">
        <v>7</v>
      </c>
      <c r="F266">
        <v>7.99</v>
      </c>
      <c r="G266">
        <f t="shared" si="4"/>
        <v>55.93</v>
      </c>
      <c r="H266">
        <v>317</v>
      </c>
      <c r="I266" t="s">
        <v>64</v>
      </c>
      <c r="J266">
        <v>5</v>
      </c>
      <c r="K266">
        <v>1</v>
      </c>
      <c r="L266" t="b">
        <v>0</v>
      </c>
      <c r="M266">
        <v>559</v>
      </c>
      <c r="N266">
        <v>113</v>
      </c>
      <c r="O266" t="s">
        <v>50</v>
      </c>
      <c r="P266" t="s">
        <v>51</v>
      </c>
      <c r="Q266" t="s">
        <v>58</v>
      </c>
      <c r="R266">
        <v>92</v>
      </c>
      <c r="S266">
        <v>4.5999999999999996</v>
      </c>
      <c r="T266" t="b">
        <v>0</v>
      </c>
      <c r="U266" t="s">
        <v>30</v>
      </c>
      <c r="V266">
        <v>1000</v>
      </c>
      <c r="W266" t="s">
        <v>59</v>
      </c>
      <c r="X266" t="s">
        <v>70</v>
      </c>
      <c r="Y266" t="s">
        <v>39</v>
      </c>
    </row>
    <row r="267" spans="1:25" x14ac:dyDescent="0.35">
      <c r="A267">
        <v>2739</v>
      </c>
      <c r="B267" t="s">
        <v>232</v>
      </c>
      <c r="C267" s="1">
        <v>45040</v>
      </c>
      <c r="D267" s="1">
        <v>45616</v>
      </c>
      <c r="E267">
        <v>18</v>
      </c>
      <c r="F267">
        <v>15.99</v>
      </c>
      <c r="G267">
        <f t="shared" si="4"/>
        <v>287.82</v>
      </c>
      <c r="H267">
        <v>285</v>
      </c>
      <c r="I267" t="s">
        <v>48</v>
      </c>
      <c r="J267">
        <v>1</v>
      </c>
      <c r="K267">
        <v>3</v>
      </c>
      <c r="L267" t="b">
        <v>0</v>
      </c>
      <c r="M267">
        <v>706</v>
      </c>
      <c r="N267">
        <v>22</v>
      </c>
      <c r="O267" t="s">
        <v>46</v>
      </c>
      <c r="P267" t="s">
        <v>28</v>
      </c>
      <c r="Q267" t="s">
        <v>43</v>
      </c>
      <c r="R267">
        <v>4</v>
      </c>
      <c r="S267">
        <v>3.4</v>
      </c>
      <c r="T267" t="b">
        <v>1</v>
      </c>
      <c r="U267" t="s">
        <v>30</v>
      </c>
      <c r="V267">
        <v>368</v>
      </c>
      <c r="W267" t="s">
        <v>37</v>
      </c>
      <c r="X267" t="s">
        <v>38</v>
      </c>
      <c r="Y267" t="s">
        <v>33</v>
      </c>
    </row>
    <row r="268" spans="1:25" x14ac:dyDescent="0.35">
      <c r="A268">
        <v>6974</v>
      </c>
      <c r="B268" t="s">
        <v>68</v>
      </c>
      <c r="C268" s="1">
        <v>45168</v>
      </c>
      <c r="D268" s="1">
        <v>45624</v>
      </c>
      <c r="E268">
        <v>14</v>
      </c>
      <c r="F268">
        <v>11.99</v>
      </c>
      <c r="G268">
        <f t="shared" si="4"/>
        <v>167.86</v>
      </c>
      <c r="H268">
        <v>420</v>
      </c>
      <c r="I268" t="s">
        <v>64</v>
      </c>
      <c r="J268">
        <v>1</v>
      </c>
      <c r="K268">
        <v>2</v>
      </c>
      <c r="L268" t="b">
        <v>0</v>
      </c>
      <c r="M268">
        <v>1000</v>
      </c>
      <c r="N268">
        <v>159</v>
      </c>
      <c r="O268" t="s">
        <v>50</v>
      </c>
      <c r="P268" t="s">
        <v>66</v>
      </c>
      <c r="Q268" t="s">
        <v>36</v>
      </c>
      <c r="R268">
        <v>22</v>
      </c>
      <c r="S268">
        <v>4.8</v>
      </c>
      <c r="T268" t="b">
        <v>0</v>
      </c>
      <c r="U268" t="s">
        <v>30</v>
      </c>
      <c r="V268">
        <v>2229</v>
      </c>
      <c r="W268" t="s">
        <v>53</v>
      </c>
      <c r="X268" t="s">
        <v>38</v>
      </c>
      <c r="Y268" t="s">
        <v>55</v>
      </c>
    </row>
    <row r="269" spans="1:25" x14ac:dyDescent="0.35">
      <c r="A269">
        <v>1784</v>
      </c>
      <c r="B269" t="s">
        <v>159</v>
      </c>
      <c r="C269" s="1">
        <v>45088</v>
      </c>
      <c r="D269" s="1">
        <v>45642</v>
      </c>
      <c r="E269">
        <v>18</v>
      </c>
      <c r="F269">
        <v>15.99</v>
      </c>
      <c r="G269">
        <f t="shared" si="4"/>
        <v>287.82</v>
      </c>
      <c r="H269">
        <v>100</v>
      </c>
      <c r="I269" t="s">
        <v>35</v>
      </c>
      <c r="J269">
        <v>5</v>
      </c>
      <c r="K269">
        <v>1</v>
      </c>
      <c r="L269" t="b">
        <v>1</v>
      </c>
      <c r="M269">
        <v>586</v>
      </c>
      <c r="N269">
        <v>32</v>
      </c>
      <c r="O269" t="s">
        <v>76</v>
      </c>
      <c r="P269" t="s">
        <v>51</v>
      </c>
      <c r="Q269" t="s">
        <v>29</v>
      </c>
      <c r="R269">
        <v>100</v>
      </c>
      <c r="S269">
        <v>3.6</v>
      </c>
      <c r="T269" t="b">
        <v>1</v>
      </c>
      <c r="U269" t="s">
        <v>30</v>
      </c>
      <c r="V269">
        <v>2643</v>
      </c>
      <c r="W269" t="s">
        <v>37</v>
      </c>
      <c r="X269" t="s">
        <v>38</v>
      </c>
      <c r="Y269" t="s">
        <v>77</v>
      </c>
    </row>
    <row r="270" spans="1:25" x14ac:dyDescent="0.35">
      <c r="A270">
        <v>8077</v>
      </c>
      <c r="B270" t="s">
        <v>95</v>
      </c>
      <c r="C270" s="1">
        <v>45446</v>
      </c>
      <c r="D270" s="1">
        <v>45644</v>
      </c>
      <c r="E270">
        <v>6</v>
      </c>
      <c r="F270">
        <v>11.99</v>
      </c>
      <c r="G270">
        <f t="shared" si="4"/>
        <v>71.94</v>
      </c>
      <c r="H270">
        <v>426</v>
      </c>
      <c r="I270" t="s">
        <v>48</v>
      </c>
      <c r="J270">
        <v>4</v>
      </c>
      <c r="K270">
        <v>6</v>
      </c>
      <c r="L270" t="b">
        <v>0</v>
      </c>
      <c r="M270">
        <v>450</v>
      </c>
      <c r="N270">
        <v>92</v>
      </c>
      <c r="O270" t="s">
        <v>65</v>
      </c>
      <c r="P270" t="s">
        <v>42</v>
      </c>
      <c r="Q270" t="s">
        <v>29</v>
      </c>
      <c r="R270">
        <v>71</v>
      </c>
      <c r="S270">
        <v>4.0999999999999996</v>
      </c>
      <c r="T270" t="b">
        <v>0</v>
      </c>
      <c r="U270" t="s">
        <v>30</v>
      </c>
      <c r="V270">
        <v>2647</v>
      </c>
      <c r="W270" t="s">
        <v>31</v>
      </c>
      <c r="X270" t="s">
        <v>38</v>
      </c>
      <c r="Y270" t="s">
        <v>55</v>
      </c>
    </row>
    <row r="271" spans="1:25" x14ac:dyDescent="0.35">
      <c r="A271">
        <v>2727</v>
      </c>
      <c r="B271" t="s">
        <v>233</v>
      </c>
      <c r="C271" s="1">
        <v>45320</v>
      </c>
      <c r="D271" s="1">
        <v>45634</v>
      </c>
      <c r="E271">
        <v>10</v>
      </c>
      <c r="F271">
        <v>7.99</v>
      </c>
      <c r="G271">
        <f t="shared" si="4"/>
        <v>79.900000000000006</v>
      </c>
      <c r="H271">
        <v>263</v>
      </c>
      <c r="I271" t="s">
        <v>81</v>
      </c>
      <c r="J271">
        <v>1</v>
      </c>
      <c r="K271">
        <v>4</v>
      </c>
      <c r="L271" t="b">
        <v>1</v>
      </c>
      <c r="M271">
        <v>468</v>
      </c>
      <c r="N271">
        <v>95</v>
      </c>
      <c r="O271" t="s">
        <v>50</v>
      </c>
      <c r="P271" t="s">
        <v>42</v>
      </c>
      <c r="Q271" t="s">
        <v>58</v>
      </c>
      <c r="R271">
        <v>87</v>
      </c>
      <c r="S271">
        <v>3.5</v>
      </c>
      <c r="T271" t="b">
        <v>0</v>
      </c>
      <c r="U271" t="s">
        <v>30</v>
      </c>
      <c r="V271">
        <v>4497</v>
      </c>
      <c r="W271" t="s">
        <v>67</v>
      </c>
      <c r="X271" t="s">
        <v>38</v>
      </c>
      <c r="Y271" t="s">
        <v>39</v>
      </c>
    </row>
    <row r="272" spans="1:25" x14ac:dyDescent="0.35">
      <c r="A272">
        <v>7661</v>
      </c>
      <c r="B272" t="s">
        <v>234</v>
      </c>
      <c r="C272" s="1">
        <v>45158</v>
      </c>
      <c r="D272" s="1">
        <v>45640</v>
      </c>
      <c r="E272">
        <v>15</v>
      </c>
      <c r="F272">
        <v>11.99</v>
      </c>
      <c r="G272">
        <f t="shared" si="4"/>
        <v>179.85</v>
      </c>
      <c r="H272">
        <v>162</v>
      </c>
      <c r="I272" t="s">
        <v>26</v>
      </c>
      <c r="J272">
        <v>1</v>
      </c>
      <c r="K272">
        <v>1</v>
      </c>
      <c r="L272" t="b">
        <v>0</v>
      </c>
      <c r="M272">
        <v>370</v>
      </c>
      <c r="N272">
        <v>130</v>
      </c>
      <c r="O272" t="s">
        <v>27</v>
      </c>
      <c r="P272" t="s">
        <v>42</v>
      </c>
      <c r="Q272" t="s">
        <v>29</v>
      </c>
      <c r="R272">
        <v>49</v>
      </c>
      <c r="S272">
        <v>4.0999999999999996</v>
      </c>
      <c r="T272" t="b">
        <v>1</v>
      </c>
      <c r="U272" t="s">
        <v>30</v>
      </c>
      <c r="V272">
        <v>1121</v>
      </c>
      <c r="W272" t="s">
        <v>53</v>
      </c>
      <c r="X272" t="s">
        <v>62</v>
      </c>
      <c r="Y272" t="s">
        <v>77</v>
      </c>
    </row>
    <row r="273" spans="1:25" x14ac:dyDescent="0.35">
      <c r="A273">
        <v>5083</v>
      </c>
      <c r="B273" t="s">
        <v>107</v>
      </c>
      <c r="C273" s="1">
        <v>45620</v>
      </c>
      <c r="D273" s="1">
        <v>45619</v>
      </c>
      <c r="E273">
        <v>0</v>
      </c>
      <c r="F273">
        <v>15.99</v>
      </c>
      <c r="G273">
        <f t="shared" si="4"/>
        <v>0</v>
      </c>
      <c r="H273">
        <v>19</v>
      </c>
      <c r="I273" t="s">
        <v>81</v>
      </c>
      <c r="J273">
        <v>3</v>
      </c>
      <c r="K273">
        <v>2</v>
      </c>
      <c r="L273" t="b">
        <v>1</v>
      </c>
      <c r="M273">
        <v>781</v>
      </c>
      <c r="N273">
        <v>179</v>
      </c>
      <c r="O273" t="s">
        <v>41</v>
      </c>
      <c r="P273" t="s">
        <v>42</v>
      </c>
      <c r="Q273" t="s">
        <v>36</v>
      </c>
      <c r="R273">
        <v>8</v>
      </c>
      <c r="S273">
        <v>4.3</v>
      </c>
      <c r="T273" t="b">
        <v>0</v>
      </c>
      <c r="U273" t="s">
        <v>30</v>
      </c>
      <c r="V273">
        <v>1525</v>
      </c>
      <c r="W273" t="s">
        <v>59</v>
      </c>
      <c r="X273" t="s">
        <v>62</v>
      </c>
      <c r="Y273" t="s">
        <v>39</v>
      </c>
    </row>
    <row r="274" spans="1:25" x14ac:dyDescent="0.35">
      <c r="A274">
        <v>7275</v>
      </c>
      <c r="B274" t="s">
        <v>235</v>
      </c>
      <c r="C274" s="1">
        <v>45540</v>
      </c>
      <c r="D274" s="1">
        <v>45633</v>
      </c>
      <c r="E274">
        <v>3</v>
      </c>
      <c r="F274">
        <v>11.99</v>
      </c>
      <c r="G274">
        <f t="shared" si="4"/>
        <v>35.97</v>
      </c>
      <c r="H274">
        <v>358</v>
      </c>
      <c r="I274" t="s">
        <v>81</v>
      </c>
      <c r="J274">
        <v>5</v>
      </c>
      <c r="K274">
        <v>4</v>
      </c>
      <c r="L274" t="b">
        <v>1</v>
      </c>
      <c r="M274">
        <v>829</v>
      </c>
      <c r="N274">
        <v>62</v>
      </c>
      <c r="O274" t="s">
        <v>65</v>
      </c>
      <c r="P274" t="s">
        <v>28</v>
      </c>
      <c r="Q274" t="s">
        <v>36</v>
      </c>
      <c r="R274">
        <v>65</v>
      </c>
      <c r="S274">
        <v>3.4</v>
      </c>
      <c r="T274" t="b">
        <v>0</v>
      </c>
      <c r="U274" t="s">
        <v>30</v>
      </c>
      <c r="V274">
        <v>3488</v>
      </c>
      <c r="W274" t="s">
        <v>53</v>
      </c>
      <c r="X274" t="s">
        <v>70</v>
      </c>
      <c r="Y274" t="s">
        <v>33</v>
      </c>
    </row>
    <row r="275" spans="1:25" x14ac:dyDescent="0.35">
      <c r="A275">
        <v>7316</v>
      </c>
      <c r="B275" t="s">
        <v>236</v>
      </c>
      <c r="C275" s="1">
        <v>44981</v>
      </c>
      <c r="D275" s="1">
        <v>45641</v>
      </c>
      <c r="E275">
        <v>21</v>
      </c>
      <c r="F275">
        <v>11.99</v>
      </c>
      <c r="G275">
        <f t="shared" si="4"/>
        <v>251.79</v>
      </c>
      <c r="H275">
        <v>183</v>
      </c>
      <c r="I275" t="s">
        <v>35</v>
      </c>
      <c r="J275">
        <v>3</v>
      </c>
      <c r="K275">
        <v>5</v>
      </c>
      <c r="L275" t="b">
        <v>0</v>
      </c>
      <c r="M275">
        <v>944</v>
      </c>
      <c r="N275">
        <v>94</v>
      </c>
      <c r="O275" t="s">
        <v>41</v>
      </c>
      <c r="P275" t="s">
        <v>28</v>
      </c>
      <c r="Q275" t="s">
        <v>58</v>
      </c>
      <c r="R275">
        <v>72</v>
      </c>
      <c r="S275">
        <v>4.7</v>
      </c>
      <c r="T275" t="b">
        <v>0</v>
      </c>
      <c r="U275" t="s">
        <v>30</v>
      </c>
      <c r="V275">
        <v>3009</v>
      </c>
      <c r="W275" t="s">
        <v>53</v>
      </c>
      <c r="X275" t="s">
        <v>62</v>
      </c>
      <c r="Y275" t="s">
        <v>33</v>
      </c>
    </row>
    <row r="276" spans="1:25" x14ac:dyDescent="0.35">
      <c r="A276">
        <v>4497</v>
      </c>
      <c r="B276" t="s">
        <v>237</v>
      </c>
      <c r="C276" s="1">
        <v>44929</v>
      </c>
      <c r="D276" s="1">
        <v>45641</v>
      </c>
      <c r="E276">
        <v>23</v>
      </c>
      <c r="F276">
        <v>15.99</v>
      </c>
      <c r="G276">
        <f t="shared" si="4"/>
        <v>367.77</v>
      </c>
      <c r="H276">
        <v>63</v>
      </c>
      <c r="I276" t="s">
        <v>26</v>
      </c>
      <c r="J276">
        <v>4</v>
      </c>
      <c r="K276">
        <v>4</v>
      </c>
      <c r="L276" t="b">
        <v>0</v>
      </c>
      <c r="M276">
        <v>670</v>
      </c>
      <c r="N276">
        <v>72</v>
      </c>
      <c r="O276" t="s">
        <v>27</v>
      </c>
      <c r="P276" t="s">
        <v>28</v>
      </c>
      <c r="Q276" t="s">
        <v>52</v>
      </c>
      <c r="R276">
        <v>27</v>
      </c>
      <c r="S276">
        <v>4.8</v>
      </c>
      <c r="T276" t="b">
        <v>0</v>
      </c>
      <c r="U276" t="s">
        <v>30</v>
      </c>
      <c r="V276">
        <v>15</v>
      </c>
      <c r="W276" t="s">
        <v>31</v>
      </c>
      <c r="X276" t="s">
        <v>32</v>
      </c>
      <c r="Y276" t="s">
        <v>39</v>
      </c>
    </row>
    <row r="277" spans="1:25" x14ac:dyDescent="0.35">
      <c r="A277">
        <v>8685</v>
      </c>
      <c r="B277" t="s">
        <v>101</v>
      </c>
      <c r="C277" s="1">
        <v>45360</v>
      </c>
      <c r="D277" s="1">
        <v>45616</v>
      </c>
      <c r="E277">
        <v>8</v>
      </c>
      <c r="F277">
        <v>11.99</v>
      </c>
      <c r="G277">
        <f t="shared" si="4"/>
        <v>95.92</v>
      </c>
      <c r="H277">
        <v>446</v>
      </c>
      <c r="I277" t="s">
        <v>48</v>
      </c>
      <c r="J277">
        <v>5</v>
      </c>
      <c r="K277">
        <v>3</v>
      </c>
      <c r="L277" t="b">
        <v>1</v>
      </c>
      <c r="M277">
        <v>831</v>
      </c>
      <c r="N277">
        <v>37</v>
      </c>
      <c r="O277" t="s">
        <v>76</v>
      </c>
      <c r="P277" t="s">
        <v>28</v>
      </c>
      <c r="Q277" t="s">
        <v>58</v>
      </c>
      <c r="R277">
        <v>54</v>
      </c>
      <c r="S277">
        <v>3.3</v>
      </c>
      <c r="T277" t="b">
        <v>1</v>
      </c>
      <c r="U277" t="s">
        <v>30</v>
      </c>
      <c r="V277">
        <v>3007</v>
      </c>
      <c r="W277" t="s">
        <v>53</v>
      </c>
      <c r="X277" t="s">
        <v>62</v>
      </c>
      <c r="Y277" t="s">
        <v>39</v>
      </c>
    </row>
    <row r="278" spans="1:25" x14ac:dyDescent="0.35">
      <c r="A278">
        <v>8583</v>
      </c>
      <c r="B278" t="s">
        <v>89</v>
      </c>
      <c r="C278" s="1">
        <v>45612</v>
      </c>
      <c r="D278" s="1">
        <v>45623</v>
      </c>
      <c r="E278">
        <v>0</v>
      </c>
      <c r="F278">
        <v>15.99</v>
      </c>
      <c r="G278">
        <f t="shared" si="4"/>
        <v>0</v>
      </c>
      <c r="H278">
        <v>352</v>
      </c>
      <c r="I278" t="s">
        <v>45</v>
      </c>
      <c r="J278">
        <v>3</v>
      </c>
      <c r="K278">
        <v>3</v>
      </c>
      <c r="L278" t="b">
        <v>0</v>
      </c>
      <c r="M278">
        <v>154</v>
      </c>
      <c r="N278">
        <v>148</v>
      </c>
      <c r="O278" t="s">
        <v>76</v>
      </c>
      <c r="P278" t="s">
        <v>42</v>
      </c>
      <c r="Q278" t="s">
        <v>58</v>
      </c>
      <c r="R278">
        <v>39</v>
      </c>
      <c r="S278">
        <v>4.7</v>
      </c>
      <c r="T278" t="b">
        <v>1</v>
      </c>
      <c r="U278" t="s">
        <v>30</v>
      </c>
      <c r="V278">
        <v>4588</v>
      </c>
      <c r="W278" t="s">
        <v>59</v>
      </c>
      <c r="X278" t="s">
        <v>32</v>
      </c>
      <c r="Y278" t="s">
        <v>55</v>
      </c>
    </row>
    <row r="279" spans="1:25" x14ac:dyDescent="0.35">
      <c r="A279">
        <v>1062</v>
      </c>
      <c r="B279" t="s">
        <v>123</v>
      </c>
      <c r="C279" s="1">
        <v>45568</v>
      </c>
      <c r="D279" s="1">
        <v>45639</v>
      </c>
      <c r="E279">
        <v>2</v>
      </c>
      <c r="F279">
        <v>7.99</v>
      </c>
      <c r="G279">
        <f t="shared" si="4"/>
        <v>15.98</v>
      </c>
      <c r="H279">
        <v>209</v>
      </c>
      <c r="I279" t="s">
        <v>45</v>
      </c>
      <c r="J279">
        <v>2</v>
      </c>
      <c r="K279">
        <v>6</v>
      </c>
      <c r="L279" t="b">
        <v>0</v>
      </c>
      <c r="M279">
        <v>707</v>
      </c>
      <c r="N279">
        <v>162</v>
      </c>
      <c r="O279" t="s">
        <v>27</v>
      </c>
      <c r="P279" t="s">
        <v>42</v>
      </c>
      <c r="Q279" t="s">
        <v>36</v>
      </c>
      <c r="R279">
        <v>95</v>
      </c>
      <c r="S279">
        <v>3.5</v>
      </c>
      <c r="T279" t="b">
        <v>1</v>
      </c>
      <c r="U279" t="s">
        <v>30</v>
      </c>
      <c r="V279">
        <v>73</v>
      </c>
      <c r="W279" t="s">
        <v>31</v>
      </c>
      <c r="X279" t="s">
        <v>70</v>
      </c>
      <c r="Y279" t="s">
        <v>33</v>
      </c>
    </row>
    <row r="280" spans="1:25" x14ac:dyDescent="0.35">
      <c r="A280">
        <v>2593</v>
      </c>
      <c r="B280" t="s">
        <v>96</v>
      </c>
      <c r="C280" s="1">
        <v>44916</v>
      </c>
      <c r="D280" s="1">
        <v>45637</v>
      </c>
      <c r="E280">
        <v>23</v>
      </c>
      <c r="F280">
        <v>7.99</v>
      </c>
      <c r="G280">
        <f t="shared" si="4"/>
        <v>183.77</v>
      </c>
      <c r="H280">
        <v>311</v>
      </c>
      <c r="I280" t="s">
        <v>57</v>
      </c>
      <c r="J280">
        <v>5</v>
      </c>
      <c r="K280">
        <v>6</v>
      </c>
      <c r="L280" t="b">
        <v>0</v>
      </c>
      <c r="M280">
        <v>587</v>
      </c>
      <c r="N280">
        <v>140</v>
      </c>
      <c r="O280" t="s">
        <v>50</v>
      </c>
      <c r="P280" t="s">
        <v>28</v>
      </c>
      <c r="Q280" t="s">
        <v>43</v>
      </c>
      <c r="R280">
        <v>43</v>
      </c>
      <c r="S280">
        <v>3.6</v>
      </c>
      <c r="T280" t="b">
        <v>1</v>
      </c>
      <c r="U280" t="s">
        <v>30</v>
      </c>
      <c r="V280">
        <v>4635</v>
      </c>
      <c r="W280" t="s">
        <v>31</v>
      </c>
      <c r="X280" t="s">
        <v>54</v>
      </c>
      <c r="Y280" t="s">
        <v>77</v>
      </c>
    </row>
    <row r="281" spans="1:25" x14ac:dyDescent="0.35">
      <c r="A281">
        <v>3951</v>
      </c>
      <c r="B281" t="s">
        <v>238</v>
      </c>
      <c r="C281" s="1">
        <v>45103</v>
      </c>
      <c r="D281" s="1">
        <v>45632</v>
      </c>
      <c r="E281">
        <v>17</v>
      </c>
      <c r="F281">
        <v>11.99</v>
      </c>
      <c r="G281">
        <f t="shared" si="4"/>
        <v>203.83</v>
      </c>
      <c r="H281">
        <v>293</v>
      </c>
      <c r="I281" t="s">
        <v>45</v>
      </c>
      <c r="J281">
        <v>3</v>
      </c>
      <c r="K281">
        <v>6</v>
      </c>
      <c r="L281" t="b">
        <v>1</v>
      </c>
      <c r="M281">
        <v>158</v>
      </c>
      <c r="N281">
        <v>119</v>
      </c>
      <c r="O281" t="s">
        <v>50</v>
      </c>
      <c r="P281" t="s">
        <v>51</v>
      </c>
      <c r="Q281" t="s">
        <v>52</v>
      </c>
      <c r="R281">
        <v>60</v>
      </c>
      <c r="S281">
        <v>3.7</v>
      </c>
      <c r="T281" t="b">
        <v>0</v>
      </c>
      <c r="U281" t="s">
        <v>30</v>
      </c>
      <c r="V281">
        <v>1882</v>
      </c>
      <c r="W281" t="s">
        <v>67</v>
      </c>
      <c r="X281" t="s">
        <v>62</v>
      </c>
      <c r="Y281" t="s">
        <v>33</v>
      </c>
    </row>
    <row r="282" spans="1:25" x14ac:dyDescent="0.35">
      <c r="A282">
        <v>8580</v>
      </c>
      <c r="B282" t="s">
        <v>239</v>
      </c>
      <c r="C282" s="1">
        <v>45445</v>
      </c>
      <c r="D282" s="1">
        <v>45636</v>
      </c>
      <c r="E282">
        <v>6</v>
      </c>
      <c r="F282">
        <v>15.99</v>
      </c>
      <c r="G282">
        <f t="shared" si="4"/>
        <v>95.94</v>
      </c>
      <c r="H282">
        <v>119</v>
      </c>
      <c r="I282" t="s">
        <v>81</v>
      </c>
      <c r="J282">
        <v>4</v>
      </c>
      <c r="K282">
        <v>2</v>
      </c>
      <c r="L282" t="b">
        <v>0</v>
      </c>
      <c r="M282">
        <v>936</v>
      </c>
      <c r="N282">
        <v>188</v>
      </c>
      <c r="O282" t="s">
        <v>27</v>
      </c>
      <c r="P282" t="s">
        <v>66</v>
      </c>
      <c r="Q282" t="s">
        <v>43</v>
      </c>
      <c r="R282">
        <v>59</v>
      </c>
      <c r="S282">
        <v>4.0999999999999996</v>
      </c>
      <c r="T282" t="b">
        <v>1</v>
      </c>
      <c r="U282" t="s">
        <v>30</v>
      </c>
      <c r="V282">
        <v>1690</v>
      </c>
      <c r="W282" t="s">
        <v>37</v>
      </c>
      <c r="X282" t="s">
        <v>38</v>
      </c>
      <c r="Y282" t="s">
        <v>77</v>
      </c>
    </row>
    <row r="283" spans="1:25" x14ac:dyDescent="0.35">
      <c r="A283">
        <v>4372</v>
      </c>
      <c r="B283" t="s">
        <v>111</v>
      </c>
      <c r="C283" s="1">
        <v>44944</v>
      </c>
      <c r="D283" s="1">
        <v>45631</v>
      </c>
      <c r="E283">
        <v>22</v>
      </c>
      <c r="F283">
        <v>15.99</v>
      </c>
      <c r="G283">
        <f t="shared" si="4"/>
        <v>351.78000000000003</v>
      </c>
      <c r="H283">
        <v>329</v>
      </c>
      <c r="I283" t="s">
        <v>45</v>
      </c>
      <c r="J283">
        <v>2</v>
      </c>
      <c r="K283">
        <v>1</v>
      </c>
      <c r="L283" t="b">
        <v>0</v>
      </c>
      <c r="M283">
        <v>670</v>
      </c>
      <c r="N283">
        <v>94</v>
      </c>
      <c r="O283" t="s">
        <v>46</v>
      </c>
      <c r="P283" t="s">
        <v>28</v>
      </c>
      <c r="Q283" t="s">
        <v>29</v>
      </c>
      <c r="R283">
        <v>61</v>
      </c>
      <c r="S283">
        <v>3</v>
      </c>
      <c r="T283" t="b">
        <v>0</v>
      </c>
      <c r="U283" t="s">
        <v>30</v>
      </c>
      <c r="V283">
        <v>2572</v>
      </c>
      <c r="W283" t="s">
        <v>59</v>
      </c>
      <c r="X283" t="s">
        <v>32</v>
      </c>
      <c r="Y283" t="s">
        <v>55</v>
      </c>
    </row>
    <row r="284" spans="1:25" x14ac:dyDescent="0.35">
      <c r="A284">
        <v>4463</v>
      </c>
      <c r="B284" t="s">
        <v>240</v>
      </c>
      <c r="C284" s="1">
        <v>45214</v>
      </c>
      <c r="D284" s="1">
        <v>45620</v>
      </c>
      <c r="E284">
        <v>13</v>
      </c>
      <c r="F284">
        <v>15.99</v>
      </c>
      <c r="G284">
        <f t="shared" si="4"/>
        <v>207.87</v>
      </c>
      <c r="H284">
        <v>141</v>
      </c>
      <c r="I284" t="s">
        <v>57</v>
      </c>
      <c r="J284">
        <v>5</v>
      </c>
      <c r="K284">
        <v>5</v>
      </c>
      <c r="L284" t="b">
        <v>1</v>
      </c>
      <c r="M284">
        <v>636</v>
      </c>
      <c r="N284">
        <v>186</v>
      </c>
      <c r="O284" t="s">
        <v>46</v>
      </c>
      <c r="P284" t="s">
        <v>51</v>
      </c>
      <c r="Q284" t="s">
        <v>43</v>
      </c>
      <c r="R284">
        <v>95</v>
      </c>
      <c r="S284">
        <v>3.6</v>
      </c>
      <c r="T284" t="b">
        <v>0</v>
      </c>
      <c r="U284" t="s">
        <v>30</v>
      </c>
      <c r="V284">
        <v>3865</v>
      </c>
      <c r="W284" t="s">
        <v>59</v>
      </c>
      <c r="X284" t="s">
        <v>54</v>
      </c>
      <c r="Y284" t="s">
        <v>33</v>
      </c>
    </row>
    <row r="285" spans="1:25" x14ac:dyDescent="0.35">
      <c r="A285">
        <v>7498</v>
      </c>
      <c r="B285" t="s">
        <v>241</v>
      </c>
      <c r="C285" s="1">
        <v>44966</v>
      </c>
      <c r="D285" s="1">
        <v>45620</v>
      </c>
      <c r="E285">
        <v>21</v>
      </c>
      <c r="F285">
        <v>11.99</v>
      </c>
      <c r="G285">
        <f t="shared" si="4"/>
        <v>251.79</v>
      </c>
      <c r="H285">
        <v>15</v>
      </c>
      <c r="I285" t="s">
        <v>48</v>
      </c>
      <c r="J285">
        <v>1</v>
      </c>
      <c r="K285">
        <v>3</v>
      </c>
      <c r="L285" t="b">
        <v>1</v>
      </c>
      <c r="M285">
        <v>700</v>
      </c>
      <c r="N285">
        <v>64</v>
      </c>
      <c r="O285" t="s">
        <v>61</v>
      </c>
      <c r="P285" t="s">
        <v>66</v>
      </c>
      <c r="Q285" t="s">
        <v>52</v>
      </c>
      <c r="R285">
        <v>35</v>
      </c>
      <c r="S285">
        <v>4.7</v>
      </c>
      <c r="T285" t="b">
        <v>0</v>
      </c>
      <c r="U285" t="s">
        <v>30</v>
      </c>
      <c r="V285">
        <v>380</v>
      </c>
      <c r="W285" t="s">
        <v>59</v>
      </c>
      <c r="X285" t="s">
        <v>38</v>
      </c>
      <c r="Y285" t="s">
        <v>33</v>
      </c>
    </row>
    <row r="286" spans="1:25" x14ac:dyDescent="0.35">
      <c r="A286">
        <v>9618</v>
      </c>
      <c r="B286" t="s">
        <v>153</v>
      </c>
      <c r="C286" s="1">
        <v>45613</v>
      </c>
      <c r="D286" s="1">
        <v>45626</v>
      </c>
      <c r="E286">
        <v>0</v>
      </c>
      <c r="F286">
        <v>11.99</v>
      </c>
      <c r="G286">
        <f t="shared" si="4"/>
        <v>0</v>
      </c>
      <c r="H286">
        <v>30</v>
      </c>
      <c r="I286" t="s">
        <v>64</v>
      </c>
      <c r="J286">
        <v>5</v>
      </c>
      <c r="K286">
        <v>4</v>
      </c>
      <c r="L286" t="b">
        <v>1</v>
      </c>
      <c r="M286">
        <v>310</v>
      </c>
      <c r="N286">
        <v>162</v>
      </c>
      <c r="O286" t="s">
        <v>61</v>
      </c>
      <c r="P286" t="s">
        <v>42</v>
      </c>
      <c r="Q286" t="s">
        <v>36</v>
      </c>
      <c r="R286">
        <v>30</v>
      </c>
      <c r="S286">
        <v>3.1</v>
      </c>
      <c r="T286" t="b">
        <v>1</v>
      </c>
      <c r="U286" t="s">
        <v>30</v>
      </c>
      <c r="V286">
        <v>3566</v>
      </c>
      <c r="W286" t="s">
        <v>53</v>
      </c>
      <c r="X286" t="s">
        <v>38</v>
      </c>
      <c r="Y286" t="s">
        <v>39</v>
      </c>
    </row>
    <row r="287" spans="1:25" x14ac:dyDescent="0.35">
      <c r="A287">
        <v>1813</v>
      </c>
      <c r="B287" t="s">
        <v>242</v>
      </c>
      <c r="C287" s="1">
        <v>45464</v>
      </c>
      <c r="D287" s="1">
        <v>45625</v>
      </c>
      <c r="E287">
        <v>5</v>
      </c>
      <c r="F287">
        <v>11.99</v>
      </c>
      <c r="G287">
        <f t="shared" si="4"/>
        <v>59.95</v>
      </c>
      <c r="H287">
        <v>145</v>
      </c>
      <c r="I287" t="s">
        <v>57</v>
      </c>
      <c r="J287">
        <v>2</v>
      </c>
      <c r="K287">
        <v>4</v>
      </c>
      <c r="L287" t="b">
        <v>0</v>
      </c>
      <c r="M287">
        <v>237</v>
      </c>
      <c r="N287">
        <v>32</v>
      </c>
      <c r="O287" t="s">
        <v>61</v>
      </c>
      <c r="P287" t="s">
        <v>66</v>
      </c>
      <c r="Q287" t="s">
        <v>69</v>
      </c>
      <c r="R287">
        <v>39</v>
      </c>
      <c r="S287">
        <v>4.8</v>
      </c>
      <c r="T287" t="b">
        <v>0</v>
      </c>
      <c r="U287" t="s">
        <v>30</v>
      </c>
      <c r="V287">
        <v>1835</v>
      </c>
      <c r="W287" t="s">
        <v>37</v>
      </c>
      <c r="X287" t="s">
        <v>62</v>
      </c>
      <c r="Y287" t="s">
        <v>55</v>
      </c>
    </row>
    <row r="288" spans="1:25" x14ac:dyDescent="0.35">
      <c r="A288">
        <v>3009</v>
      </c>
      <c r="B288" t="s">
        <v>243</v>
      </c>
      <c r="C288" s="1">
        <v>45559</v>
      </c>
      <c r="D288" s="1">
        <v>45639</v>
      </c>
      <c r="E288">
        <v>2</v>
      </c>
      <c r="F288">
        <v>15.99</v>
      </c>
      <c r="G288">
        <f t="shared" si="4"/>
        <v>31.98</v>
      </c>
      <c r="H288">
        <v>250</v>
      </c>
      <c r="I288" t="s">
        <v>48</v>
      </c>
      <c r="J288">
        <v>4</v>
      </c>
      <c r="K288">
        <v>3</v>
      </c>
      <c r="L288" t="b">
        <v>0</v>
      </c>
      <c r="M288">
        <v>774</v>
      </c>
      <c r="N288">
        <v>88</v>
      </c>
      <c r="O288" t="s">
        <v>61</v>
      </c>
      <c r="P288" t="s">
        <v>42</v>
      </c>
      <c r="Q288" t="s">
        <v>43</v>
      </c>
      <c r="R288">
        <v>64</v>
      </c>
      <c r="S288">
        <v>3.3</v>
      </c>
      <c r="T288" t="b">
        <v>0</v>
      </c>
      <c r="U288" t="s">
        <v>30</v>
      </c>
      <c r="V288">
        <v>1882</v>
      </c>
      <c r="W288" t="s">
        <v>37</v>
      </c>
      <c r="X288" t="s">
        <v>54</v>
      </c>
      <c r="Y288" t="s">
        <v>55</v>
      </c>
    </row>
    <row r="289" spans="1:25" x14ac:dyDescent="0.35">
      <c r="A289">
        <v>8210</v>
      </c>
      <c r="B289" t="s">
        <v>87</v>
      </c>
      <c r="C289" s="1">
        <v>44931</v>
      </c>
      <c r="D289" s="1">
        <v>45618</v>
      </c>
      <c r="E289">
        <v>22</v>
      </c>
      <c r="F289">
        <v>15.99</v>
      </c>
      <c r="G289">
        <f t="shared" si="4"/>
        <v>351.78000000000003</v>
      </c>
      <c r="H289">
        <v>243</v>
      </c>
      <c r="I289" t="s">
        <v>57</v>
      </c>
      <c r="J289">
        <v>2</v>
      </c>
      <c r="K289">
        <v>6</v>
      </c>
      <c r="L289" t="b">
        <v>1</v>
      </c>
      <c r="M289">
        <v>532</v>
      </c>
      <c r="N289">
        <v>110</v>
      </c>
      <c r="O289" t="s">
        <v>65</v>
      </c>
      <c r="P289" t="s">
        <v>28</v>
      </c>
      <c r="Q289" t="s">
        <v>52</v>
      </c>
      <c r="R289">
        <v>73</v>
      </c>
      <c r="S289">
        <v>4.7</v>
      </c>
      <c r="T289" t="b">
        <v>0</v>
      </c>
      <c r="U289" t="s">
        <v>30</v>
      </c>
      <c r="V289">
        <v>525</v>
      </c>
      <c r="W289" t="s">
        <v>31</v>
      </c>
      <c r="X289" t="s">
        <v>62</v>
      </c>
      <c r="Y289" t="s">
        <v>77</v>
      </c>
    </row>
    <row r="290" spans="1:25" x14ac:dyDescent="0.35">
      <c r="A290">
        <v>8439</v>
      </c>
      <c r="B290" t="s">
        <v>244</v>
      </c>
      <c r="C290" s="1">
        <v>45133</v>
      </c>
      <c r="D290" s="1">
        <v>45617</v>
      </c>
      <c r="E290">
        <v>15</v>
      </c>
      <c r="F290">
        <v>11.99</v>
      </c>
      <c r="G290">
        <f t="shared" si="4"/>
        <v>179.85</v>
      </c>
      <c r="H290">
        <v>392</v>
      </c>
      <c r="I290" t="s">
        <v>57</v>
      </c>
      <c r="J290">
        <v>4</v>
      </c>
      <c r="K290">
        <v>1</v>
      </c>
      <c r="L290" t="b">
        <v>1</v>
      </c>
      <c r="M290">
        <v>813</v>
      </c>
      <c r="N290">
        <v>2</v>
      </c>
      <c r="O290" t="s">
        <v>46</v>
      </c>
      <c r="P290" t="s">
        <v>66</v>
      </c>
      <c r="Q290" t="s">
        <v>58</v>
      </c>
      <c r="R290">
        <v>57</v>
      </c>
      <c r="S290">
        <v>3</v>
      </c>
      <c r="T290" t="b">
        <v>1</v>
      </c>
      <c r="U290" t="s">
        <v>30</v>
      </c>
      <c r="V290">
        <v>1025</v>
      </c>
      <c r="W290" t="s">
        <v>37</v>
      </c>
      <c r="X290" t="s">
        <v>54</v>
      </c>
      <c r="Y290" t="s">
        <v>77</v>
      </c>
    </row>
    <row r="291" spans="1:25" x14ac:dyDescent="0.35">
      <c r="A291">
        <v>8310</v>
      </c>
      <c r="B291" t="s">
        <v>215</v>
      </c>
      <c r="C291" s="1">
        <v>45075</v>
      </c>
      <c r="D291" s="1">
        <v>45637</v>
      </c>
      <c r="E291">
        <v>18</v>
      </c>
      <c r="F291">
        <v>11.99</v>
      </c>
      <c r="G291">
        <f t="shared" si="4"/>
        <v>215.82</v>
      </c>
      <c r="H291">
        <v>389</v>
      </c>
      <c r="I291" t="s">
        <v>35</v>
      </c>
      <c r="J291">
        <v>5</v>
      </c>
      <c r="K291">
        <v>4</v>
      </c>
      <c r="L291" t="b">
        <v>0</v>
      </c>
      <c r="M291">
        <v>727</v>
      </c>
      <c r="N291">
        <v>26</v>
      </c>
      <c r="O291" t="s">
        <v>65</v>
      </c>
      <c r="P291" t="s">
        <v>28</v>
      </c>
      <c r="Q291" t="s">
        <v>58</v>
      </c>
      <c r="R291">
        <v>67</v>
      </c>
      <c r="S291">
        <v>3.4</v>
      </c>
      <c r="T291" t="b">
        <v>0</v>
      </c>
      <c r="U291" t="s">
        <v>30</v>
      </c>
      <c r="V291">
        <v>2508</v>
      </c>
      <c r="W291" t="s">
        <v>31</v>
      </c>
      <c r="X291" t="s">
        <v>62</v>
      </c>
      <c r="Y291" t="s">
        <v>77</v>
      </c>
    </row>
    <row r="292" spans="1:25" x14ac:dyDescent="0.35">
      <c r="A292">
        <v>6369</v>
      </c>
      <c r="B292" t="s">
        <v>104</v>
      </c>
      <c r="C292" s="1">
        <v>45222</v>
      </c>
      <c r="D292" s="1">
        <v>45623</v>
      </c>
      <c r="E292">
        <v>13</v>
      </c>
      <c r="F292">
        <v>7.99</v>
      </c>
      <c r="G292">
        <f t="shared" si="4"/>
        <v>103.87</v>
      </c>
      <c r="H292">
        <v>414</v>
      </c>
      <c r="I292" t="s">
        <v>57</v>
      </c>
      <c r="J292">
        <v>4</v>
      </c>
      <c r="K292">
        <v>6</v>
      </c>
      <c r="L292" t="b">
        <v>1</v>
      </c>
      <c r="M292">
        <v>271</v>
      </c>
      <c r="N292">
        <v>51</v>
      </c>
      <c r="O292" t="s">
        <v>50</v>
      </c>
      <c r="P292" t="s">
        <v>28</v>
      </c>
      <c r="Q292" t="s">
        <v>36</v>
      </c>
      <c r="R292">
        <v>8</v>
      </c>
      <c r="S292">
        <v>4.3</v>
      </c>
      <c r="T292" t="b">
        <v>0</v>
      </c>
      <c r="U292" t="s">
        <v>30</v>
      </c>
      <c r="V292">
        <v>1546</v>
      </c>
      <c r="W292" t="s">
        <v>37</v>
      </c>
      <c r="X292" t="s">
        <v>38</v>
      </c>
      <c r="Y292" t="s">
        <v>39</v>
      </c>
    </row>
    <row r="293" spans="1:25" x14ac:dyDescent="0.35">
      <c r="A293">
        <v>5721</v>
      </c>
      <c r="B293" t="s">
        <v>245</v>
      </c>
      <c r="C293" s="1">
        <v>45088</v>
      </c>
      <c r="D293" s="1">
        <v>45638</v>
      </c>
      <c r="E293">
        <v>18</v>
      </c>
      <c r="F293">
        <v>15.99</v>
      </c>
      <c r="G293">
        <f t="shared" si="4"/>
        <v>287.82</v>
      </c>
      <c r="H293">
        <v>415</v>
      </c>
      <c r="I293" t="s">
        <v>48</v>
      </c>
      <c r="J293">
        <v>2</v>
      </c>
      <c r="K293">
        <v>1</v>
      </c>
      <c r="L293" t="b">
        <v>0</v>
      </c>
      <c r="M293">
        <v>958</v>
      </c>
      <c r="N293">
        <v>192</v>
      </c>
      <c r="O293" t="s">
        <v>27</v>
      </c>
      <c r="P293" t="s">
        <v>51</v>
      </c>
      <c r="Q293" t="s">
        <v>36</v>
      </c>
      <c r="R293">
        <v>22</v>
      </c>
      <c r="S293">
        <v>4.8</v>
      </c>
      <c r="T293" t="b">
        <v>1</v>
      </c>
      <c r="U293" t="s">
        <v>30</v>
      </c>
      <c r="V293">
        <v>1955</v>
      </c>
      <c r="W293" t="s">
        <v>67</v>
      </c>
      <c r="X293" t="s">
        <v>32</v>
      </c>
      <c r="Y293" t="s">
        <v>77</v>
      </c>
    </row>
    <row r="294" spans="1:25" x14ac:dyDescent="0.35">
      <c r="A294">
        <v>4204</v>
      </c>
      <c r="B294" t="s">
        <v>116</v>
      </c>
      <c r="C294" s="1">
        <v>45242</v>
      </c>
      <c r="D294" s="1">
        <v>45640</v>
      </c>
      <c r="E294">
        <v>13</v>
      </c>
      <c r="F294">
        <v>11.99</v>
      </c>
      <c r="G294">
        <f t="shared" si="4"/>
        <v>155.87</v>
      </c>
      <c r="H294">
        <v>494</v>
      </c>
      <c r="I294" t="s">
        <v>57</v>
      </c>
      <c r="J294">
        <v>5</v>
      </c>
      <c r="K294">
        <v>6</v>
      </c>
      <c r="L294" t="b">
        <v>1</v>
      </c>
      <c r="M294">
        <v>202</v>
      </c>
      <c r="N294">
        <v>163</v>
      </c>
      <c r="O294" t="s">
        <v>46</v>
      </c>
      <c r="P294" t="s">
        <v>42</v>
      </c>
      <c r="Q294" t="s">
        <v>52</v>
      </c>
      <c r="R294">
        <v>61</v>
      </c>
      <c r="S294">
        <v>4</v>
      </c>
      <c r="T294" t="b">
        <v>1</v>
      </c>
      <c r="U294" t="s">
        <v>30</v>
      </c>
      <c r="V294">
        <v>4889</v>
      </c>
      <c r="W294" t="s">
        <v>67</v>
      </c>
      <c r="X294" t="s">
        <v>32</v>
      </c>
      <c r="Y294" t="s">
        <v>55</v>
      </c>
    </row>
    <row r="295" spans="1:25" x14ac:dyDescent="0.35">
      <c r="A295">
        <v>5666</v>
      </c>
      <c r="B295" t="s">
        <v>178</v>
      </c>
      <c r="C295" s="1">
        <v>45038</v>
      </c>
      <c r="D295" s="1">
        <v>45616</v>
      </c>
      <c r="E295">
        <v>18</v>
      </c>
      <c r="F295">
        <v>7.99</v>
      </c>
      <c r="G295">
        <f t="shared" si="4"/>
        <v>143.82</v>
      </c>
      <c r="H295">
        <v>109</v>
      </c>
      <c r="I295" t="s">
        <v>35</v>
      </c>
      <c r="J295">
        <v>4</v>
      </c>
      <c r="K295">
        <v>4</v>
      </c>
      <c r="L295" t="b">
        <v>1</v>
      </c>
      <c r="M295">
        <v>899</v>
      </c>
      <c r="N295">
        <v>11</v>
      </c>
      <c r="O295" t="s">
        <v>46</v>
      </c>
      <c r="P295" t="s">
        <v>51</v>
      </c>
      <c r="Q295" t="s">
        <v>36</v>
      </c>
      <c r="R295">
        <v>63</v>
      </c>
      <c r="S295">
        <v>4.3</v>
      </c>
      <c r="T295" t="b">
        <v>0</v>
      </c>
      <c r="U295" t="s">
        <v>30</v>
      </c>
      <c r="V295">
        <v>1185</v>
      </c>
      <c r="W295" t="s">
        <v>59</v>
      </c>
      <c r="X295" t="s">
        <v>54</v>
      </c>
      <c r="Y295" t="s">
        <v>33</v>
      </c>
    </row>
    <row r="296" spans="1:25" x14ac:dyDescent="0.35">
      <c r="A296">
        <v>5943</v>
      </c>
      <c r="B296" t="s">
        <v>246</v>
      </c>
      <c r="C296" s="1">
        <v>45278</v>
      </c>
      <c r="D296" s="1">
        <v>45633</v>
      </c>
      <c r="E296">
        <v>11</v>
      </c>
      <c r="F296">
        <v>7.99</v>
      </c>
      <c r="G296">
        <f t="shared" si="4"/>
        <v>87.89</v>
      </c>
      <c r="H296">
        <v>200</v>
      </c>
      <c r="I296" t="s">
        <v>81</v>
      </c>
      <c r="J296">
        <v>1</v>
      </c>
      <c r="K296">
        <v>2</v>
      </c>
      <c r="L296" t="b">
        <v>0</v>
      </c>
      <c r="M296">
        <v>465</v>
      </c>
      <c r="N296">
        <v>35</v>
      </c>
      <c r="O296" t="s">
        <v>50</v>
      </c>
      <c r="P296" t="s">
        <v>66</v>
      </c>
      <c r="Q296" t="s">
        <v>43</v>
      </c>
      <c r="R296">
        <v>29</v>
      </c>
      <c r="S296">
        <v>4.7</v>
      </c>
      <c r="T296" t="b">
        <v>1</v>
      </c>
      <c r="U296" t="s">
        <v>30</v>
      </c>
      <c r="V296">
        <v>3040</v>
      </c>
      <c r="W296" t="s">
        <v>37</v>
      </c>
      <c r="X296" t="s">
        <v>70</v>
      </c>
      <c r="Y296" t="s">
        <v>39</v>
      </c>
    </row>
    <row r="297" spans="1:25" x14ac:dyDescent="0.35">
      <c r="A297">
        <v>3202</v>
      </c>
      <c r="B297" t="s">
        <v>49</v>
      </c>
      <c r="C297" s="1">
        <v>45345</v>
      </c>
      <c r="D297" s="1">
        <v>45630</v>
      </c>
      <c r="E297">
        <v>9</v>
      </c>
      <c r="F297">
        <v>11.99</v>
      </c>
      <c r="G297">
        <f t="shared" si="4"/>
        <v>107.91</v>
      </c>
      <c r="H297">
        <v>134</v>
      </c>
      <c r="I297" t="s">
        <v>45</v>
      </c>
      <c r="J297">
        <v>4</v>
      </c>
      <c r="K297">
        <v>1</v>
      </c>
      <c r="L297" t="b">
        <v>1</v>
      </c>
      <c r="M297">
        <v>459</v>
      </c>
      <c r="N297">
        <v>105</v>
      </c>
      <c r="O297" t="s">
        <v>46</v>
      </c>
      <c r="P297" t="s">
        <v>66</v>
      </c>
      <c r="Q297" t="s">
        <v>36</v>
      </c>
      <c r="R297">
        <v>3</v>
      </c>
      <c r="S297">
        <v>3.7</v>
      </c>
      <c r="T297" t="b">
        <v>1</v>
      </c>
      <c r="U297" t="s">
        <v>30</v>
      </c>
      <c r="V297">
        <v>4729</v>
      </c>
      <c r="W297" t="s">
        <v>31</v>
      </c>
      <c r="X297" t="s">
        <v>62</v>
      </c>
      <c r="Y297" t="s">
        <v>77</v>
      </c>
    </row>
    <row r="298" spans="1:25" x14ac:dyDescent="0.35">
      <c r="A298">
        <v>4512</v>
      </c>
      <c r="B298" t="s">
        <v>170</v>
      </c>
      <c r="C298" s="1">
        <v>44978</v>
      </c>
      <c r="D298" s="1">
        <v>45626</v>
      </c>
      <c r="E298">
        <v>21</v>
      </c>
      <c r="F298">
        <v>11.99</v>
      </c>
      <c r="G298">
        <f t="shared" si="4"/>
        <v>251.79</v>
      </c>
      <c r="H298">
        <v>250</v>
      </c>
      <c r="I298" t="s">
        <v>48</v>
      </c>
      <c r="J298">
        <v>5</v>
      </c>
      <c r="K298">
        <v>2</v>
      </c>
      <c r="L298" t="b">
        <v>0</v>
      </c>
      <c r="M298">
        <v>611</v>
      </c>
      <c r="N298">
        <v>170</v>
      </c>
      <c r="O298" t="s">
        <v>46</v>
      </c>
      <c r="P298" t="s">
        <v>51</v>
      </c>
      <c r="Q298" t="s">
        <v>58</v>
      </c>
      <c r="R298">
        <v>71</v>
      </c>
      <c r="S298">
        <v>3.9</v>
      </c>
      <c r="T298" t="b">
        <v>0</v>
      </c>
      <c r="U298" t="s">
        <v>30</v>
      </c>
      <c r="V298">
        <v>4193</v>
      </c>
      <c r="W298" t="s">
        <v>31</v>
      </c>
      <c r="X298" t="s">
        <v>38</v>
      </c>
      <c r="Y298" t="s">
        <v>39</v>
      </c>
    </row>
    <row r="299" spans="1:25" x14ac:dyDescent="0.35">
      <c r="A299">
        <v>2075</v>
      </c>
      <c r="B299" t="s">
        <v>217</v>
      </c>
      <c r="C299" s="1">
        <v>45593</v>
      </c>
      <c r="D299" s="1">
        <v>45635</v>
      </c>
      <c r="E299">
        <v>1</v>
      </c>
      <c r="F299">
        <v>7.99</v>
      </c>
      <c r="G299">
        <f t="shared" si="4"/>
        <v>7.99</v>
      </c>
      <c r="H299">
        <v>305</v>
      </c>
      <c r="I299" t="s">
        <v>35</v>
      </c>
      <c r="J299">
        <v>2</v>
      </c>
      <c r="K299">
        <v>3</v>
      </c>
      <c r="L299" t="b">
        <v>1</v>
      </c>
      <c r="M299">
        <v>49</v>
      </c>
      <c r="N299">
        <v>146</v>
      </c>
      <c r="O299" t="s">
        <v>27</v>
      </c>
      <c r="P299" t="s">
        <v>42</v>
      </c>
      <c r="Q299" t="s">
        <v>43</v>
      </c>
      <c r="R299">
        <v>48</v>
      </c>
      <c r="S299">
        <v>4.5999999999999996</v>
      </c>
      <c r="T299" t="b">
        <v>0</v>
      </c>
      <c r="U299" t="s">
        <v>30</v>
      </c>
      <c r="V299">
        <v>4626</v>
      </c>
      <c r="W299" t="s">
        <v>53</v>
      </c>
      <c r="X299" t="s">
        <v>70</v>
      </c>
      <c r="Y299" t="s">
        <v>55</v>
      </c>
    </row>
    <row r="300" spans="1:25" x14ac:dyDescent="0.35">
      <c r="A300">
        <v>4057</v>
      </c>
      <c r="B300" t="s">
        <v>247</v>
      </c>
      <c r="C300" s="1">
        <v>45422</v>
      </c>
      <c r="D300" s="1">
        <v>45624</v>
      </c>
      <c r="E300">
        <v>6</v>
      </c>
      <c r="F300">
        <v>15.99</v>
      </c>
      <c r="G300">
        <f t="shared" si="4"/>
        <v>95.94</v>
      </c>
      <c r="H300">
        <v>256</v>
      </c>
      <c r="I300" t="s">
        <v>64</v>
      </c>
      <c r="J300">
        <v>5</v>
      </c>
      <c r="K300">
        <v>3</v>
      </c>
      <c r="L300" t="b">
        <v>0</v>
      </c>
      <c r="M300">
        <v>929</v>
      </c>
      <c r="N300">
        <v>89</v>
      </c>
      <c r="O300" t="s">
        <v>41</v>
      </c>
      <c r="P300" t="s">
        <v>28</v>
      </c>
      <c r="Q300" t="s">
        <v>52</v>
      </c>
      <c r="R300">
        <v>89</v>
      </c>
      <c r="S300">
        <v>3.3</v>
      </c>
      <c r="T300" t="b">
        <v>0</v>
      </c>
      <c r="U300" t="s">
        <v>30</v>
      </c>
      <c r="V300">
        <v>60</v>
      </c>
      <c r="W300" t="s">
        <v>31</v>
      </c>
      <c r="X300" t="s">
        <v>70</v>
      </c>
      <c r="Y300" t="s">
        <v>55</v>
      </c>
    </row>
    <row r="301" spans="1:25" x14ac:dyDescent="0.35">
      <c r="A301">
        <v>5537</v>
      </c>
      <c r="B301" t="s">
        <v>142</v>
      </c>
      <c r="C301" s="1">
        <v>45547</v>
      </c>
      <c r="D301" s="1">
        <v>45615</v>
      </c>
      <c r="E301">
        <v>2</v>
      </c>
      <c r="F301">
        <v>11.99</v>
      </c>
      <c r="G301">
        <f t="shared" si="4"/>
        <v>23.98</v>
      </c>
      <c r="H301">
        <v>214</v>
      </c>
      <c r="I301" t="s">
        <v>48</v>
      </c>
      <c r="J301">
        <v>1</v>
      </c>
      <c r="K301">
        <v>3</v>
      </c>
      <c r="L301" t="b">
        <v>0</v>
      </c>
      <c r="M301">
        <v>39</v>
      </c>
      <c r="N301">
        <v>89</v>
      </c>
      <c r="O301" t="s">
        <v>41</v>
      </c>
      <c r="P301" t="s">
        <v>42</v>
      </c>
      <c r="Q301" t="s">
        <v>29</v>
      </c>
      <c r="R301">
        <v>37</v>
      </c>
      <c r="S301">
        <v>3.5</v>
      </c>
      <c r="T301" t="b">
        <v>1</v>
      </c>
      <c r="U301" t="s">
        <v>30</v>
      </c>
      <c r="V301">
        <v>2597</v>
      </c>
      <c r="W301" t="s">
        <v>67</v>
      </c>
      <c r="X301" t="s">
        <v>62</v>
      </c>
      <c r="Y301" t="s">
        <v>55</v>
      </c>
    </row>
    <row r="302" spans="1:25" x14ac:dyDescent="0.35">
      <c r="A302">
        <v>9520</v>
      </c>
      <c r="B302" t="s">
        <v>248</v>
      </c>
      <c r="C302" s="1">
        <v>45143</v>
      </c>
      <c r="D302" s="1">
        <v>45627</v>
      </c>
      <c r="E302">
        <v>15</v>
      </c>
      <c r="F302">
        <v>11.99</v>
      </c>
      <c r="G302">
        <f t="shared" si="4"/>
        <v>179.85</v>
      </c>
      <c r="H302">
        <v>272</v>
      </c>
      <c r="I302" t="s">
        <v>81</v>
      </c>
      <c r="J302">
        <v>1</v>
      </c>
      <c r="K302">
        <v>2</v>
      </c>
      <c r="L302" t="b">
        <v>0</v>
      </c>
      <c r="M302">
        <v>520</v>
      </c>
      <c r="N302">
        <v>170</v>
      </c>
      <c r="O302" t="s">
        <v>65</v>
      </c>
      <c r="P302" t="s">
        <v>28</v>
      </c>
      <c r="Q302" t="s">
        <v>36</v>
      </c>
      <c r="R302">
        <v>100</v>
      </c>
      <c r="S302">
        <v>5</v>
      </c>
      <c r="T302" t="b">
        <v>0</v>
      </c>
      <c r="U302" t="s">
        <v>30</v>
      </c>
      <c r="V302">
        <v>260</v>
      </c>
      <c r="W302" t="s">
        <v>67</v>
      </c>
      <c r="X302" t="s">
        <v>70</v>
      </c>
      <c r="Y302" t="s">
        <v>55</v>
      </c>
    </row>
    <row r="303" spans="1:25" x14ac:dyDescent="0.35">
      <c r="A303">
        <v>1081</v>
      </c>
      <c r="B303" t="s">
        <v>249</v>
      </c>
      <c r="C303" s="1">
        <v>45501</v>
      </c>
      <c r="D303" s="1">
        <v>45625</v>
      </c>
      <c r="E303">
        <v>4</v>
      </c>
      <c r="F303">
        <v>15.99</v>
      </c>
      <c r="G303">
        <f t="shared" si="4"/>
        <v>63.96</v>
      </c>
      <c r="H303">
        <v>144</v>
      </c>
      <c r="I303" t="s">
        <v>35</v>
      </c>
      <c r="J303">
        <v>3</v>
      </c>
      <c r="K303">
        <v>4</v>
      </c>
      <c r="L303" t="b">
        <v>0</v>
      </c>
      <c r="M303">
        <v>501</v>
      </c>
      <c r="N303">
        <v>64</v>
      </c>
      <c r="O303" t="s">
        <v>41</v>
      </c>
      <c r="P303" t="s">
        <v>42</v>
      </c>
      <c r="Q303" t="s">
        <v>58</v>
      </c>
      <c r="R303">
        <v>98</v>
      </c>
      <c r="S303">
        <v>3.3</v>
      </c>
      <c r="T303" t="b">
        <v>0</v>
      </c>
      <c r="U303" t="s">
        <v>30</v>
      </c>
      <c r="V303">
        <v>1544</v>
      </c>
      <c r="W303" t="s">
        <v>67</v>
      </c>
      <c r="X303" t="s">
        <v>32</v>
      </c>
      <c r="Y303" t="s">
        <v>33</v>
      </c>
    </row>
    <row r="304" spans="1:25" x14ac:dyDescent="0.35">
      <c r="A304">
        <v>7621</v>
      </c>
      <c r="B304" t="s">
        <v>248</v>
      </c>
      <c r="C304" s="1">
        <v>45175</v>
      </c>
      <c r="D304" s="1">
        <v>45632</v>
      </c>
      <c r="E304">
        <v>15</v>
      </c>
      <c r="F304">
        <v>7.99</v>
      </c>
      <c r="G304">
        <f t="shared" si="4"/>
        <v>119.85000000000001</v>
      </c>
      <c r="H304">
        <v>381</v>
      </c>
      <c r="I304" t="s">
        <v>35</v>
      </c>
      <c r="J304">
        <v>5</v>
      </c>
      <c r="K304">
        <v>6</v>
      </c>
      <c r="L304" t="b">
        <v>0</v>
      </c>
      <c r="M304">
        <v>593</v>
      </c>
      <c r="N304">
        <v>46</v>
      </c>
      <c r="O304" t="s">
        <v>61</v>
      </c>
      <c r="P304" t="s">
        <v>42</v>
      </c>
      <c r="Q304" t="s">
        <v>58</v>
      </c>
      <c r="R304">
        <v>10</v>
      </c>
      <c r="S304">
        <v>4.5999999999999996</v>
      </c>
      <c r="T304" t="b">
        <v>1</v>
      </c>
      <c r="U304" t="s">
        <v>30</v>
      </c>
      <c r="V304">
        <v>4528</v>
      </c>
      <c r="W304" t="s">
        <v>67</v>
      </c>
      <c r="X304" t="s">
        <v>70</v>
      </c>
      <c r="Y304" t="s">
        <v>39</v>
      </c>
    </row>
    <row r="305" spans="1:25" x14ac:dyDescent="0.35">
      <c r="A305">
        <v>4558</v>
      </c>
      <c r="B305" t="s">
        <v>138</v>
      </c>
      <c r="C305" s="1">
        <v>44944</v>
      </c>
      <c r="D305" s="1">
        <v>45616</v>
      </c>
      <c r="E305">
        <v>22</v>
      </c>
      <c r="F305">
        <v>11.99</v>
      </c>
      <c r="G305">
        <f t="shared" si="4"/>
        <v>263.78000000000003</v>
      </c>
      <c r="H305">
        <v>292</v>
      </c>
      <c r="I305" t="s">
        <v>35</v>
      </c>
      <c r="J305">
        <v>4</v>
      </c>
      <c r="K305">
        <v>2</v>
      </c>
      <c r="L305" t="b">
        <v>1</v>
      </c>
      <c r="M305">
        <v>109</v>
      </c>
      <c r="N305">
        <v>68</v>
      </c>
      <c r="O305" t="s">
        <v>65</v>
      </c>
      <c r="P305" t="s">
        <v>51</v>
      </c>
      <c r="Q305" t="s">
        <v>58</v>
      </c>
      <c r="R305">
        <v>95</v>
      </c>
      <c r="S305">
        <v>4.3</v>
      </c>
      <c r="T305" t="b">
        <v>0</v>
      </c>
      <c r="U305" t="s">
        <v>30</v>
      </c>
      <c r="V305">
        <v>1127</v>
      </c>
      <c r="W305" t="s">
        <v>59</v>
      </c>
      <c r="X305" t="s">
        <v>70</v>
      </c>
      <c r="Y305" t="s">
        <v>39</v>
      </c>
    </row>
    <row r="306" spans="1:25" x14ac:dyDescent="0.35">
      <c r="A306">
        <v>6628</v>
      </c>
      <c r="B306" t="s">
        <v>222</v>
      </c>
      <c r="C306" s="1">
        <v>45013</v>
      </c>
      <c r="D306" s="1">
        <v>45641</v>
      </c>
      <c r="E306">
        <v>20</v>
      </c>
      <c r="F306">
        <v>11.99</v>
      </c>
      <c r="G306">
        <f t="shared" si="4"/>
        <v>239.8</v>
      </c>
      <c r="H306">
        <v>358</v>
      </c>
      <c r="I306" t="s">
        <v>81</v>
      </c>
      <c r="J306">
        <v>4</v>
      </c>
      <c r="K306">
        <v>3</v>
      </c>
      <c r="L306" t="b">
        <v>0</v>
      </c>
      <c r="M306">
        <v>472</v>
      </c>
      <c r="N306">
        <v>65</v>
      </c>
      <c r="O306" t="s">
        <v>50</v>
      </c>
      <c r="P306" t="s">
        <v>42</v>
      </c>
      <c r="Q306" t="s">
        <v>52</v>
      </c>
      <c r="R306">
        <v>92</v>
      </c>
      <c r="S306">
        <v>4</v>
      </c>
      <c r="T306" t="b">
        <v>0</v>
      </c>
      <c r="U306" t="s">
        <v>30</v>
      </c>
      <c r="V306">
        <v>4542</v>
      </c>
      <c r="W306" t="s">
        <v>31</v>
      </c>
      <c r="X306" t="s">
        <v>62</v>
      </c>
      <c r="Y306" t="s">
        <v>39</v>
      </c>
    </row>
    <row r="307" spans="1:25" x14ac:dyDescent="0.35">
      <c r="A307">
        <v>7643</v>
      </c>
      <c r="B307" t="s">
        <v>250</v>
      </c>
      <c r="C307" s="1">
        <v>45483</v>
      </c>
      <c r="D307" s="1">
        <v>45629</v>
      </c>
      <c r="E307">
        <v>4</v>
      </c>
      <c r="F307">
        <v>15.99</v>
      </c>
      <c r="G307">
        <f t="shared" si="4"/>
        <v>63.96</v>
      </c>
      <c r="H307">
        <v>426</v>
      </c>
      <c r="I307" t="s">
        <v>45</v>
      </c>
      <c r="J307">
        <v>1</v>
      </c>
      <c r="K307">
        <v>6</v>
      </c>
      <c r="L307" t="b">
        <v>1</v>
      </c>
      <c r="M307">
        <v>229</v>
      </c>
      <c r="N307">
        <v>120</v>
      </c>
      <c r="O307" t="s">
        <v>27</v>
      </c>
      <c r="P307" t="s">
        <v>28</v>
      </c>
      <c r="Q307" t="s">
        <v>69</v>
      </c>
      <c r="R307">
        <v>38</v>
      </c>
      <c r="S307">
        <v>3.3</v>
      </c>
      <c r="T307" t="b">
        <v>1</v>
      </c>
      <c r="U307" t="s">
        <v>30</v>
      </c>
      <c r="V307">
        <v>1436</v>
      </c>
      <c r="W307" t="s">
        <v>31</v>
      </c>
      <c r="X307" t="s">
        <v>70</v>
      </c>
      <c r="Y307" t="s">
        <v>55</v>
      </c>
    </row>
    <row r="308" spans="1:25" x14ac:dyDescent="0.35">
      <c r="A308">
        <v>4709</v>
      </c>
      <c r="B308" t="s">
        <v>251</v>
      </c>
      <c r="C308" s="1">
        <v>45191</v>
      </c>
      <c r="D308" s="1">
        <v>45620</v>
      </c>
      <c r="E308">
        <v>14</v>
      </c>
      <c r="F308">
        <v>11.99</v>
      </c>
      <c r="G308">
        <f t="shared" si="4"/>
        <v>167.86</v>
      </c>
      <c r="H308">
        <v>474</v>
      </c>
      <c r="I308" t="s">
        <v>64</v>
      </c>
      <c r="J308">
        <v>5</v>
      </c>
      <c r="K308">
        <v>1</v>
      </c>
      <c r="L308" t="b">
        <v>0</v>
      </c>
      <c r="M308">
        <v>487</v>
      </c>
      <c r="N308">
        <v>107</v>
      </c>
      <c r="O308" t="s">
        <v>61</v>
      </c>
      <c r="P308" t="s">
        <v>42</v>
      </c>
      <c r="Q308" t="s">
        <v>36</v>
      </c>
      <c r="R308">
        <v>66</v>
      </c>
      <c r="S308">
        <v>4</v>
      </c>
      <c r="T308" t="b">
        <v>0</v>
      </c>
      <c r="U308" t="s">
        <v>30</v>
      </c>
      <c r="V308">
        <v>4438</v>
      </c>
      <c r="W308" t="s">
        <v>37</v>
      </c>
      <c r="X308" t="s">
        <v>62</v>
      </c>
      <c r="Y308" t="s">
        <v>33</v>
      </c>
    </row>
    <row r="309" spans="1:25" x14ac:dyDescent="0.35">
      <c r="A309">
        <v>8408</v>
      </c>
      <c r="B309" t="s">
        <v>121</v>
      </c>
      <c r="C309" s="1">
        <v>45135</v>
      </c>
      <c r="D309" s="1">
        <v>45638</v>
      </c>
      <c r="E309">
        <v>16</v>
      </c>
      <c r="F309">
        <v>7.99</v>
      </c>
      <c r="G309">
        <f t="shared" si="4"/>
        <v>127.84</v>
      </c>
      <c r="H309">
        <v>286</v>
      </c>
      <c r="I309" t="s">
        <v>48</v>
      </c>
      <c r="J309">
        <v>2</v>
      </c>
      <c r="K309">
        <v>5</v>
      </c>
      <c r="L309" t="b">
        <v>1</v>
      </c>
      <c r="M309">
        <v>543</v>
      </c>
      <c r="N309">
        <v>16</v>
      </c>
      <c r="O309" t="s">
        <v>27</v>
      </c>
      <c r="P309" t="s">
        <v>51</v>
      </c>
      <c r="Q309" t="s">
        <v>43</v>
      </c>
      <c r="R309">
        <v>8</v>
      </c>
      <c r="S309">
        <v>3.7</v>
      </c>
      <c r="T309" t="b">
        <v>1</v>
      </c>
      <c r="U309" t="s">
        <v>30</v>
      </c>
      <c r="V309">
        <v>3130</v>
      </c>
      <c r="W309" t="s">
        <v>31</v>
      </c>
      <c r="X309" t="s">
        <v>32</v>
      </c>
      <c r="Y309" t="s">
        <v>77</v>
      </c>
    </row>
    <row r="310" spans="1:25" x14ac:dyDescent="0.35">
      <c r="A310">
        <v>3530</v>
      </c>
      <c r="B310" t="s">
        <v>252</v>
      </c>
      <c r="C310" s="1">
        <v>45575</v>
      </c>
      <c r="D310" s="1">
        <v>45632</v>
      </c>
      <c r="E310">
        <v>1</v>
      </c>
      <c r="F310">
        <v>15.99</v>
      </c>
      <c r="G310">
        <f t="shared" si="4"/>
        <v>15.99</v>
      </c>
      <c r="H310">
        <v>498</v>
      </c>
      <c r="I310" t="s">
        <v>35</v>
      </c>
      <c r="J310">
        <v>5</v>
      </c>
      <c r="K310">
        <v>6</v>
      </c>
      <c r="L310" t="b">
        <v>0</v>
      </c>
      <c r="M310">
        <v>105</v>
      </c>
      <c r="N310">
        <v>35</v>
      </c>
      <c r="O310" t="s">
        <v>50</v>
      </c>
      <c r="P310" t="s">
        <v>42</v>
      </c>
      <c r="Q310" t="s">
        <v>58</v>
      </c>
      <c r="R310">
        <v>6</v>
      </c>
      <c r="S310">
        <v>3.9</v>
      </c>
      <c r="T310" t="b">
        <v>1</v>
      </c>
      <c r="U310" t="s">
        <v>30</v>
      </c>
      <c r="V310">
        <v>3379</v>
      </c>
      <c r="W310" t="s">
        <v>37</v>
      </c>
      <c r="X310" t="s">
        <v>38</v>
      </c>
      <c r="Y310" t="s">
        <v>33</v>
      </c>
    </row>
    <row r="311" spans="1:25" x14ac:dyDescent="0.35">
      <c r="A311">
        <v>3779</v>
      </c>
      <c r="B311" t="s">
        <v>190</v>
      </c>
      <c r="C311" s="1">
        <v>45464</v>
      </c>
      <c r="D311" s="1">
        <v>45641</v>
      </c>
      <c r="E311">
        <v>5</v>
      </c>
      <c r="F311">
        <v>11.99</v>
      </c>
      <c r="G311">
        <f t="shared" si="4"/>
        <v>59.95</v>
      </c>
      <c r="H311">
        <v>32</v>
      </c>
      <c r="I311" t="s">
        <v>35</v>
      </c>
      <c r="J311">
        <v>2</v>
      </c>
      <c r="K311">
        <v>4</v>
      </c>
      <c r="L311" t="b">
        <v>0</v>
      </c>
      <c r="M311">
        <v>334</v>
      </c>
      <c r="N311">
        <v>151</v>
      </c>
      <c r="O311" t="s">
        <v>46</v>
      </c>
      <c r="P311" t="s">
        <v>66</v>
      </c>
      <c r="Q311" t="s">
        <v>52</v>
      </c>
      <c r="R311">
        <v>88</v>
      </c>
      <c r="S311">
        <v>3.4</v>
      </c>
      <c r="T311" t="b">
        <v>0</v>
      </c>
      <c r="U311" t="s">
        <v>30</v>
      </c>
      <c r="V311">
        <v>3696</v>
      </c>
      <c r="W311" t="s">
        <v>67</v>
      </c>
      <c r="X311" t="s">
        <v>38</v>
      </c>
      <c r="Y311" t="s">
        <v>39</v>
      </c>
    </row>
    <row r="312" spans="1:25" x14ac:dyDescent="0.35">
      <c r="A312">
        <v>8564</v>
      </c>
      <c r="B312" t="s">
        <v>137</v>
      </c>
      <c r="C312" s="1">
        <v>45033</v>
      </c>
      <c r="D312" s="1">
        <v>45627</v>
      </c>
      <c r="E312">
        <v>19</v>
      </c>
      <c r="F312">
        <v>7.99</v>
      </c>
      <c r="G312">
        <f t="shared" si="4"/>
        <v>151.81</v>
      </c>
      <c r="H312">
        <v>84</v>
      </c>
      <c r="I312" t="s">
        <v>81</v>
      </c>
      <c r="J312">
        <v>1</v>
      </c>
      <c r="K312">
        <v>2</v>
      </c>
      <c r="L312" t="b">
        <v>1</v>
      </c>
      <c r="M312">
        <v>871</v>
      </c>
      <c r="N312">
        <v>187</v>
      </c>
      <c r="O312" t="s">
        <v>27</v>
      </c>
      <c r="P312" t="s">
        <v>42</v>
      </c>
      <c r="Q312" t="s">
        <v>43</v>
      </c>
      <c r="R312">
        <v>96</v>
      </c>
      <c r="S312">
        <v>4.5</v>
      </c>
      <c r="T312" t="b">
        <v>1</v>
      </c>
      <c r="U312" t="s">
        <v>30</v>
      </c>
      <c r="V312">
        <v>2416</v>
      </c>
      <c r="W312" t="s">
        <v>31</v>
      </c>
      <c r="X312" t="s">
        <v>62</v>
      </c>
      <c r="Y312" t="s">
        <v>33</v>
      </c>
    </row>
    <row r="313" spans="1:25" x14ac:dyDescent="0.35">
      <c r="A313">
        <v>8731</v>
      </c>
      <c r="B313" t="s">
        <v>122</v>
      </c>
      <c r="C313" s="1">
        <v>45291</v>
      </c>
      <c r="D313" s="1">
        <v>45628</v>
      </c>
      <c r="E313">
        <v>11</v>
      </c>
      <c r="F313">
        <v>15.99</v>
      </c>
      <c r="G313">
        <f t="shared" si="4"/>
        <v>175.89000000000001</v>
      </c>
      <c r="H313">
        <v>210</v>
      </c>
      <c r="I313" t="s">
        <v>81</v>
      </c>
      <c r="J313">
        <v>5</v>
      </c>
      <c r="K313">
        <v>5</v>
      </c>
      <c r="L313" t="b">
        <v>0</v>
      </c>
      <c r="M313">
        <v>206</v>
      </c>
      <c r="N313">
        <v>194</v>
      </c>
      <c r="O313" t="s">
        <v>41</v>
      </c>
      <c r="P313" t="s">
        <v>28</v>
      </c>
      <c r="Q313" t="s">
        <v>29</v>
      </c>
      <c r="R313">
        <v>62</v>
      </c>
      <c r="S313">
        <v>3.9</v>
      </c>
      <c r="T313" t="b">
        <v>0</v>
      </c>
      <c r="U313" t="s">
        <v>30</v>
      </c>
      <c r="V313">
        <v>2856</v>
      </c>
      <c r="W313" t="s">
        <v>31</v>
      </c>
      <c r="X313" t="s">
        <v>62</v>
      </c>
      <c r="Y313" t="s">
        <v>39</v>
      </c>
    </row>
    <row r="314" spans="1:25" x14ac:dyDescent="0.35">
      <c r="A314">
        <v>5000</v>
      </c>
      <c r="B314" t="s">
        <v>108</v>
      </c>
      <c r="C314" s="1">
        <v>44972</v>
      </c>
      <c r="D314" s="1">
        <v>45620</v>
      </c>
      <c r="E314">
        <v>21</v>
      </c>
      <c r="F314">
        <v>15.99</v>
      </c>
      <c r="G314">
        <f t="shared" si="4"/>
        <v>335.79</v>
      </c>
      <c r="H314">
        <v>231</v>
      </c>
      <c r="I314" t="s">
        <v>57</v>
      </c>
      <c r="J314">
        <v>3</v>
      </c>
      <c r="K314">
        <v>5</v>
      </c>
      <c r="L314" t="b">
        <v>1</v>
      </c>
      <c r="M314">
        <v>701</v>
      </c>
      <c r="N314">
        <v>173</v>
      </c>
      <c r="O314" t="s">
        <v>50</v>
      </c>
      <c r="P314" t="s">
        <v>51</v>
      </c>
      <c r="Q314" t="s">
        <v>36</v>
      </c>
      <c r="R314">
        <v>65</v>
      </c>
      <c r="S314">
        <v>3.4</v>
      </c>
      <c r="T314" t="b">
        <v>1</v>
      </c>
      <c r="U314" t="s">
        <v>30</v>
      </c>
      <c r="V314">
        <v>4177</v>
      </c>
      <c r="W314" t="s">
        <v>31</v>
      </c>
      <c r="X314" t="s">
        <v>54</v>
      </c>
      <c r="Y314" t="s">
        <v>55</v>
      </c>
    </row>
    <row r="315" spans="1:25" x14ac:dyDescent="0.35">
      <c r="A315">
        <v>3882</v>
      </c>
      <c r="B315" t="s">
        <v>202</v>
      </c>
      <c r="C315" s="1">
        <v>45627</v>
      </c>
      <c r="D315" s="1">
        <v>45641</v>
      </c>
      <c r="E315">
        <v>0</v>
      </c>
      <c r="F315">
        <v>15.99</v>
      </c>
      <c r="G315">
        <f t="shared" si="4"/>
        <v>0</v>
      </c>
      <c r="H315">
        <v>246</v>
      </c>
      <c r="I315" t="s">
        <v>35</v>
      </c>
      <c r="J315">
        <v>3</v>
      </c>
      <c r="K315">
        <v>3</v>
      </c>
      <c r="L315" t="b">
        <v>0</v>
      </c>
      <c r="M315">
        <v>505</v>
      </c>
      <c r="N315">
        <v>129</v>
      </c>
      <c r="O315" t="s">
        <v>41</v>
      </c>
      <c r="P315" t="s">
        <v>51</v>
      </c>
      <c r="Q315" t="s">
        <v>58</v>
      </c>
      <c r="R315">
        <v>82</v>
      </c>
      <c r="S315">
        <v>4.9000000000000004</v>
      </c>
      <c r="T315" t="b">
        <v>0</v>
      </c>
      <c r="U315" t="s">
        <v>30</v>
      </c>
      <c r="V315">
        <v>1912</v>
      </c>
      <c r="W315" t="s">
        <v>59</v>
      </c>
      <c r="X315" t="s">
        <v>54</v>
      </c>
      <c r="Y315" t="s">
        <v>39</v>
      </c>
    </row>
    <row r="316" spans="1:25" x14ac:dyDescent="0.35">
      <c r="A316">
        <v>4551</v>
      </c>
      <c r="B316" t="s">
        <v>253</v>
      </c>
      <c r="C316" s="1">
        <v>45310</v>
      </c>
      <c r="D316" s="1">
        <v>45615</v>
      </c>
      <c r="E316">
        <v>10</v>
      </c>
      <c r="F316">
        <v>11.99</v>
      </c>
      <c r="G316">
        <f t="shared" si="4"/>
        <v>119.9</v>
      </c>
      <c r="H316">
        <v>174</v>
      </c>
      <c r="I316" t="s">
        <v>81</v>
      </c>
      <c r="J316">
        <v>1</v>
      </c>
      <c r="K316">
        <v>6</v>
      </c>
      <c r="L316" t="b">
        <v>1</v>
      </c>
      <c r="M316">
        <v>239</v>
      </c>
      <c r="N316">
        <v>175</v>
      </c>
      <c r="O316" t="s">
        <v>27</v>
      </c>
      <c r="P316" t="s">
        <v>51</v>
      </c>
      <c r="Q316" t="s">
        <v>58</v>
      </c>
      <c r="R316">
        <v>65</v>
      </c>
      <c r="S316">
        <v>3.7</v>
      </c>
      <c r="T316" t="b">
        <v>0</v>
      </c>
      <c r="U316" t="s">
        <v>30</v>
      </c>
      <c r="V316">
        <v>2388</v>
      </c>
      <c r="W316" t="s">
        <v>67</v>
      </c>
      <c r="X316" t="s">
        <v>54</v>
      </c>
      <c r="Y316" t="s">
        <v>55</v>
      </c>
    </row>
    <row r="317" spans="1:25" x14ac:dyDescent="0.35">
      <c r="A317">
        <v>7970</v>
      </c>
      <c r="B317" t="s">
        <v>116</v>
      </c>
      <c r="C317" s="1">
        <v>45128</v>
      </c>
      <c r="D317" s="1">
        <v>45615</v>
      </c>
      <c r="E317">
        <v>15</v>
      </c>
      <c r="F317">
        <v>15.99</v>
      </c>
      <c r="G317">
        <f t="shared" si="4"/>
        <v>239.85</v>
      </c>
      <c r="H317">
        <v>298</v>
      </c>
      <c r="I317" t="s">
        <v>64</v>
      </c>
      <c r="J317">
        <v>3</v>
      </c>
      <c r="K317">
        <v>1</v>
      </c>
      <c r="L317" t="b">
        <v>1</v>
      </c>
      <c r="M317">
        <v>115</v>
      </c>
      <c r="N317">
        <v>168</v>
      </c>
      <c r="O317" t="s">
        <v>65</v>
      </c>
      <c r="P317" t="s">
        <v>28</v>
      </c>
      <c r="Q317" t="s">
        <v>29</v>
      </c>
      <c r="R317">
        <v>27</v>
      </c>
      <c r="S317">
        <v>3</v>
      </c>
      <c r="T317" t="b">
        <v>0</v>
      </c>
      <c r="U317" t="s">
        <v>30</v>
      </c>
      <c r="V317">
        <v>4216</v>
      </c>
      <c r="W317" t="s">
        <v>31</v>
      </c>
      <c r="X317" t="s">
        <v>70</v>
      </c>
      <c r="Y317" t="s">
        <v>55</v>
      </c>
    </row>
    <row r="318" spans="1:25" x14ac:dyDescent="0.35">
      <c r="A318">
        <v>2466</v>
      </c>
      <c r="B318" t="s">
        <v>254</v>
      </c>
      <c r="C318" s="1">
        <v>45594</v>
      </c>
      <c r="D318" s="1">
        <v>45629</v>
      </c>
      <c r="E318">
        <v>1</v>
      </c>
      <c r="F318">
        <v>11.99</v>
      </c>
      <c r="G318">
        <f t="shared" si="4"/>
        <v>11.99</v>
      </c>
      <c r="H318">
        <v>344</v>
      </c>
      <c r="I318" t="s">
        <v>48</v>
      </c>
      <c r="J318">
        <v>5</v>
      </c>
      <c r="K318">
        <v>2</v>
      </c>
      <c r="L318" t="b">
        <v>0</v>
      </c>
      <c r="M318">
        <v>142</v>
      </c>
      <c r="N318">
        <v>113</v>
      </c>
      <c r="O318" t="s">
        <v>27</v>
      </c>
      <c r="P318" t="s">
        <v>28</v>
      </c>
      <c r="Q318" t="s">
        <v>36</v>
      </c>
      <c r="R318">
        <v>100</v>
      </c>
      <c r="S318">
        <v>4.5999999999999996</v>
      </c>
      <c r="T318" t="b">
        <v>1</v>
      </c>
      <c r="U318" t="s">
        <v>30</v>
      </c>
      <c r="V318">
        <v>599</v>
      </c>
      <c r="W318" t="s">
        <v>59</v>
      </c>
      <c r="X318" t="s">
        <v>38</v>
      </c>
      <c r="Y318" t="s">
        <v>77</v>
      </c>
    </row>
    <row r="319" spans="1:25" x14ac:dyDescent="0.35">
      <c r="A319">
        <v>1303</v>
      </c>
      <c r="B319" t="s">
        <v>102</v>
      </c>
      <c r="C319" s="1">
        <v>45094</v>
      </c>
      <c r="D319" s="1">
        <v>45630</v>
      </c>
      <c r="E319">
        <v>17</v>
      </c>
      <c r="F319">
        <v>11.99</v>
      </c>
      <c r="G319">
        <f t="shared" si="4"/>
        <v>203.83</v>
      </c>
      <c r="H319">
        <v>264</v>
      </c>
      <c r="I319" t="s">
        <v>81</v>
      </c>
      <c r="J319">
        <v>2</v>
      </c>
      <c r="K319">
        <v>1</v>
      </c>
      <c r="L319" t="b">
        <v>1</v>
      </c>
      <c r="M319">
        <v>744</v>
      </c>
      <c r="N319">
        <v>33</v>
      </c>
      <c r="O319" t="s">
        <v>61</v>
      </c>
      <c r="P319" t="s">
        <v>66</v>
      </c>
      <c r="Q319" t="s">
        <v>58</v>
      </c>
      <c r="R319">
        <v>29</v>
      </c>
      <c r="S319">
        <v>4.9000000000000004</v>
      </c>
      <c r="T319" t="b">
        <v>1</v>
      </c>
      <c r="U319" t="s">
        <v>30</v>
      </c>
      <c r="V319">
        <v>804</v>
      </c>
      <c r="W319" t="s">
        <v>37</v>
      </c>
      <c r="X319" t="s">
        <v>38</v>
      </c>
      <c r="Y319" t="s">
        <v>39</v>
      </c>
    </row>
    <row r="320" spans="1:25" x14ac:dyDescent="0.35">
      <c r="A320">
        <v>9832</v>
      </c>
      <c r="B320" t="s">
        <v>199</v>
      </c>
      <c r="C320" s="1">
        <v>44916</v>
      </c>
      <c r="D320" s="1">
        <v>45617</v>
      </c>
      <c r="E320">
        <v>23</v>
      </c>
      <c r="F320">
        <v>7.99</v>
      </c>
      <c r="G320">
        <f t="shared" si="4"/>
        <v>183.77</v>
      </c>
      <c r="H320">
        <v>380</v>
      </c>
      <c r="I320" t="s">
        <v>35</v>
      </c>
      <c r="J320">
        <v>2</v>
      </c>
      <c r="K320">
        <v>5</v>
      </c>
      <c r="L320" t="b">
        <v>1</v>
      </c>
      <c r="M320">
        <v>820</v>
      </c>
      <c r="N320">
        <v>17</v>
      </c>
      <c r="O320" t="s">
        <v>61</v>
      </c>
      <c r="P320" t="s">
        <v>28</v>
      </c>
      <c r="Q320" t="s">
        <v>69</v>
      </c>
      <c r="R320">
        <v>93</v>
      </c>
      <c r="S320">
        <v>3</v>
      </c>
      <c r="T320" t="b">
        <v>0</v>
      </c>
      <c r="U320" t="s">
        <v>30</v>
      </c>
      <c r="V320">
        <v>4565</v>
      </c>
      <c r="W320" t="s">
        <v>59</v>
      </c>
      <c r="X320" t="s">
        <v>38</v>
      </c>
      <c r="Y320" t="s">
        <v>39</v>
      </c>
    </row>
    <row r="321" spans="1:25" x14ac:dyDescent="0.35">
      <c r="A321">
        <v>3618</v>
      </c>
      <c r="B321" t="s">
        <v>186</v>
      </c>
      <c r="C321" s="1">
        <v>45325</v>
      </c>
      <c r="D321" s="1">
        <v>45629</v>
      </c>
      <c r="E321">
        <v>10</v>
      </c>
      <c r="F321">
        <v>11.99</v>
      </c>
      <c r="G321">
        <f t="shared" si="4"/>
        <v>119.9</v>
      </c>
      <c r="H321">
        <v>160</v>
      </c>
      <c r="I321" t="s">
        <v>26</v>
      </c>
      <c r="J321">
        <v>2</v>
      </c>
      <c r="K321">
        <v>1</v>
      </c>
      <c r="L321" t="b">
        <v>0</v>
      </c>
      <c r="M321">
        <v>940</v>
      </c>
      <c r="N321">
        <v>50</v>
      </c>
      <c r="O321" t="s">
        <v>61</v>
      </c>
      <c r="P321" t="s">
        <v>66</v>
      </c>
      <c r="Q321" t="s">
        <v>36</v>
      </c>
      <c r="R321">
        <v>71</v>
      </c>
      <c r="S321">
        <v>3</v>
      </c>
      <c r="T321" t="b">
        <v>0</v>
      </c>
      <c r="U321" t="s">
        <v>30</v>
      </c>
      <c r="V321">
        <v>1095</v>
      </c>
      <c r="W321" t="s">
        <v>37</v>
      </c>
      <c r="X321" t="s">
        <v>70</v>
      </c>
      <c r="Y321" t="s">
        <v>33</v>
      </c>
    </row>
    <row r="322" spans="1:25" x14ac:dyDescent="0.35">
      <c r="A322">
        <v>7424</v>
      </c>
      <c r="B322" t="s">
        <v>107</v>
      </c>
      <c r="C322" s="1">
        <v>45146</v>
      </c>
      <c r="D322" s="1">
        <v>45639</v>
      </c>
      <c r="E322">
        <v>16</v>
      </c>
      <c r="F322">
        <v>7.99</v>
      </c>
      <c r="G322">
        <f t="shared" si="4"/>
        <v>127.84</v>
      </c>
      <c r="H322">
        <v>55</v>
      </c>
      <c r="I322" t="s">
        <v>64</v>
      </c>
      <c r="J322">
        <v>4</v>
      </c>
      <c r="K322">
        <v>6</v>
      </c>
      <c r="L322" t="b">
        <v>1</v>
      </c>
      <c r="M322">
        <v>135</v>
      </c>
      <c r="N322">
        <v>138</v>
      </c>
      <c r="O322" t="s">
        <v>65</v>
      </c>
      <c r="P322" t="s">
        <v>51</v>
      </c>
      <c r="Q322" t="s">
        <v>69</v>
      </c>
      <c r="R322">
        <v>5</v>
      </c>
      <c r="S322">
        <v>3.4</v>
      </c>
      <c r="T322" t="b">
        <v>0</v>
      </c>
      <c r="U322" t="s">
        <v>30</v>
      </c>
      <c r="V322">
        <v>1512</v>
      </c>
      <c r="W322" t="s">
        <v>67</v>
      </c>
      <c r="X322" t="s">
        <v>62</v>
      </c>
      <c r="Y322" t="s">
        <v>39</v>
      </c>
    </row>
    <row r="323" spans="1:25" x14ac:dyDescent="0.35">
      <c r="A323">
        <v>8414</v>
      </c>
      <c r="B323" t="s">
        <v>107</v>
      </c>
      <c r="C323" s="1">
        <v>45304</v>
      </c>
      <c r="D323" s="1">
        <v>45618</v>
      </c>
      <c r="E323">
        <v>10</v>
      </c>
      <c r="F323">
        <v>11.99</v>
      </c>
      <c r="G323">
        <f t="shared" ref="G323:G386" si="5">F323*E323</f>
        <v>119.9</v>
      </c>
      <c r="H323">
        <v>70</v>
      </c>
      <c r="I323" t="s">
        <v>35</v>
      </c>
      <c r="J323">
        <v>2</v>
      </c>
      <c r="K323">
        <v>3</v>
      </c>
      <c r="L323" t="b">
        <v>1</v>
      </c>
      <c r="M323">
        <v>803</v>
      </c>
      <c r="N323">
        <v>51</v>
      </c>
      <c r="O323" t="s">
        <v>50</v>
      </c>
      <c r="P323" t="s">
        <v>66</v>
      </c>
      <c r="Q323" t="s">
        <v>43</v>
      </c>
      <c r="R323">
        <v>24</v>
      </c>
      <c r="S323">
        <v>3.8</v>
      </c>
      <c r="T323" t="b">
        <v>0</v>
      </c>
      <c r="U323" t="s">
        <v>30</v>
      </c>
      <c r="V323">
        <v>1422</v>
      </c>
      <c r="W323" t="s">
        <v>59</v>
      </c>
      <c r="X323" t="s">
        <v>70</v>
      </c>
      <c r="Y323" t="s">
        <v>77</v>
      </c>
    </row>
    <row r="324" spans="1:25" x14ac:dyDescent="0.35">
      <c r="A324">
        <v>5688</v>
      </c>
      <c r="B324" t="s">
        <v>102</v>
      </c>
      <c r="C324" s="1">
        <v>45562</v>
      </c>
      <c r="D324" s="1">
        <v>45626</v>
      </c>
      <c r="E324">
        <v>2</v>
      </c>
      <c r="F324">
        <v>7.99</v>
      </c>
      <c r="G324">
        <f t="shared" si="5"/>
        <v>15.98</v>
      </c>
      <c r="H324">
        <v>256</v>
      </c>
      <c r="I324" t="s">
        <v>35</v>
      </c>
      <c r="J324">
        <v>3</v>
      </c>
      <c r="K324">
        <v>3</v>
      </c>
      <c r="L324" t="b">
        <v>0</v>
      </c>
      <c r="M324">
        <v>322</v>
      </c>
      <c r="N324">
        <v>199</v>
      </c>
      <c r="O324" t="s">
        <v>41</v>
      </c>
      <c r="P324" t="s">
        <v>51</v>
      </c>
      <c r="Q324" t="s">
        <v>58</v>
      </c>
      <c r="R324">
        <v>65</v>
      </c>
      <c r="S324">
        <v>4.5</v>
      </c>
      <c r="T324" t="b">
        <v>0</v>
      </c>
      <c r="U324" t="s">
        <v>30</v>
      </c>
      <c r="V324">
        <v>147</v>
      </c>
      <c r="W324" t="s">
        <v>31</v>
      </c>
      <c r="X324" t="s">
        <v>62</v>
      </c>
      <c r="Y324" t="s">
        <v>55</v>
      </c>
    </row>
    <row r="325" spans="1:25" x14ac:dyDescent="0.35">
      <c r="A325">
        <v>2062</v>
      </c>
      <c r="B325" t="s">
        <v>255</v>
      </c>
      <c r="C325" s="1">
        <v>45467</v>
      </c>
      <c r="D325" s="1">
        <v>45620</v>
      </c>
      <c r="E325">
        <v>5</v>
      </c>
      <c r="F325">
        <v>15.99</v>
      </c>
      <c r="G325">
        <f t="shared" si="5"/>
        <v>79.95</v>
      </c>
      <c r="H325">
        <v>436</v>
      </c>
      <c r="I325" t="s">
        <v>48</v>
      </c>
      <c r="J325">
        <v>5</v>
      </c>
      <c r="K325">
        <v>6</v>
      </c>
      <c r="L325" t="b">
        <v>1</v>
      </c>
      <c r="M325">
        <v>424</v>
      </c>
      <c r="N325">
        <v>111</v>
      </c>
      <c r="O325" t="s">
        <v>76</v>
      </c>
      <c r="P325" t="s">
        <v>51</v>
      </c>
      <c r="Q325" t="s">
        <v>36</v>
      </c>
      <c r="R325">
        <v>64</v>
      </c>
      <c r="S325">
        <v>3.5</v>
      </c>
      <c r="T325" t="b">
        <v>1</v>
      </c>
      <c r="U325" t="s">
        <v>30</v>
      </c>
      <c r="V325">
        <v>4317</v>
      </c>
      <c r="W325" t="s">
        <v>53</v>
      </c>
      <c r="X325" t="s">
        <v>62</v>
      </c>
      <c r="Y325" t="s">
        <v>33</v>
      </c>
    </row>
    <row r="326" spans="1:25" x14ac:dyDescent="0.35">
      <c r="A326">
        <v>5031</v>
      </c>
      <c r="B326" t="s">
        <v>256</v>
      </c>
      <c r="C326" s="1">
        <v>45142</v>
      </c>
      <c r="D326" s="1">
        <v>45623</v>
      </c>
      <c r="E326">
        <v>15</v>
      </c>
      <c r="F326">
        <v>7.99</v>
      </c>
      <c r="G326">
        <f t="shared" si="5"/>
        <v>119.85000000000001</v>
      </c>
      <c r="H326">
        <v>394</v>
      </c>
      <c r="I326" t="s">
        <v>26</v>
      </c>
      <c r="J326">
        <v>2</v>
      </c>
      <c r="K326">
        <v>6</v>
      </c>
      <c r="L326" t="b">
        <v>1</v>
      </c>
      <c r="M326">
        <v>60</v>
      </c>
      <c r="N326">
        <v>159</v>
      </c>
      <c r="O326" t="s">
        <v>46</v>
      </c>
      <c r="P326" t="s">
        <v>28</v>
      </c>
      <c r="Q326" t="s">
        <v>36</v>
      </c>
      <c r="R326">
        <v>51</v>
      </c>
      <c r="S326">
        <v>3</v>
      </c>
      <c r="T326" t="b">
        <v>1</v>
      </c>
      <c r="U326" t="s">
        <v>30</v>
      </c>
      <c r="V326">
        <v>3197</v>
      </c>
      <c r="W326" t="s">
        <v>37</v>
      </c>
      <c r="X326" t="s">
        <v>54</v>
      </c>
      <c r="Y326" t="s">
        <v>33</v>
      </c>
    </row>
    <row r="327" spans="1:25" x14ac:dyDescent="0.35">
      <c r="A327">
        <v>1162</v>
      </c>
      <c r="B327" t="s">
        <v>191</v>
      </c>
      <c r="C327" s="1">
        <v>44954</v>
      </c>
      <c r="D327" s="1">
        <v>45625</v>
      </c>
      <c r="E327">
        <v>22</v>
      </c>
      <c r="F327">
        <v>15.99</v>
      </c>
      <c r="G327">
        <f t="shared" si="5"/>
        <v>351.78000000000003</v>
      </c>
      <c r="H327">
        <v>131</v>
      </c>
      <c r="I327" t="s">
        <v>45</v>
      </c>
      <c r="J327">
        <v>3</v>
      </c>
      <c r="K327">
        <v>3</v>
      </c>
      <c r="L327" t="b">
        <v>0</v>
      </c>
      <c r="M327">
        <v>865</v>
      </c>
      <c r="N327">
        <v>8</v>
      </c>
      <c r="O327" t="s">
        <v>50</v>
      </c>
      <c r="P327" t="s">
        <v>42</v>
      </c>
      <c r="Q327" t="s">
        <v>52</v>
      </c>
      <c r="R327">
        <v>78</v>
      </c>
      <c r="S327">
        <v>4.5999999999999996</v>
      </c>
      <c r="T327" t="b">
        <v>0</v>
      </c>
      <c r="U327" t="s">
        <v>30</v>
      </c>
      <c r="V327">
        <v>1413</v>
      </c>
      <c r="W327" t="s">
        <v>53</v>
      </c>
      <c r="X327" t="s">
        <v>62</v>
      </c>
      <c r="Y327" t="s">
        <v>77</v>
      </c>
    </row>
    <row r="328" spans="1:25" x14ac:dyDescent="0.35">
      <c r="A328">
        <v>6564</v>
      </c>
      <c r="B328" t="s">
        <v>110</v>
      </c>
      <c r="C328" s="1">
        <v>45222</v>
      </c>
      <c r="D328" s="1">
        <v>45633</v>
      </c>
      <c r="E328">
        <v>13</v>
      </c>
      <c r="F328">
        <v>11.99</v>
      </c>
      <c r="G328">
        <f t="shared" si="5"/>
        <v>155.87</v>
      </c>
      <c r="H328">
        <v>98</v>
      </c>
      <c r="I328" t="s">
        <v>35</v>
      </c>
      <c r="J328">
        <v>5</v>
      </c>
      <c r="K328">
        <v>2</v>
      </c>
      <c r="L328" t="b">
        <v>1</v>
      </c>
      <c r="M328">
        <v>526</v>
      </c>
      <c r="N328">
        <v>144</v>
      </c>
      <c r="O328" t="s">
        <v>27</v>
      </c>
      <c r="P328" t="s">
        <v>42</v>
      </c>
      <c r="Q328" t="s">
        <v>58</v>
      </c>
      <c r="R328">
        <v>10</v>
      </c>
      <c r="S328">
        <v>3.9</v>
      </c>
      <c r="T328" t="b">
        <v>1</v>
      </c>
      <c r="U328" t="s">
        <v>30</v>
      </c>
      <c r="V328">
        <v>747</v>
      </c>
      <c r="W328" t="s">
        <v>59</v>
      </c>
      <c r="X328" t="s">
        <v>38</v>
      </c>
      <c r="Y328" t="s">
        <v>77</v>
      </c>
    </row>
    <row r="329" spans="1:25" x14ac:dyDescent="0.35">
      <c r="A329">
        <v>9298</v>
      </c>
      <c r="B329" t="s">
        <v>120</v>
      </c>
      <c r="C329" s="1">
        <v>45445</v>
      </c>
      <c r="D329" s="1">
        <v>45630</v>
      </c>
      <c r="E329">
        <v>6</v>
      </c>
      <c r="F329">
        <v>11.99</v>
      </c>
      <c r="G329">
        <f t="shared" si="5"/>
        <v>71.94</v>
      </c>
      <c r="H329">
        <v>276</v>
      </c>
      <c r="I329" t="s">
        <v>64</v>
      </c>
      <c r="J329">
        <v>5</v>
      </c>
      <c r="K329">
        <v>4</v>
      </c>
      <c r="L329" t="b">
        <v>0</v>
      </c>
      <c r="M329">
        <v>389</v>
      </c>
      <c r="N329">
        <v>177</v>
      </c>
      <c r="O329" t="s">
        <v>76</v>
      </c>
      <c r="P329" t="s">
        <v>28</v>
      </c>
      <c r="Q329" t="s">
        <v>58</v>
      </c>
      <c r="R329">
        <v>19</v>
      </c>
      <c r="S329">
        <v>4.3</v>
      </c>
      <c r="T329" t="b">
        <v>0</v>
      </c>
      <c r="U329" t="s">
        <v>30</v>
      </c>
      <c r="V329">
        <v>1099</v>
      </c>
      <c r="W329" t="s">
        <v>67</v>
      </c>
      <c r="X329" t="s">
        <v>70</v>
      </c>
      <c r="Y329" t="s">
        <v>39</v>
      </c>
    </row>
    <row r="330" spans="1:25" x14ac:dyDescent="0.35">
      <c r="A330">
        <v>4216</v>
      </c>
      <c r="B330" t="s">
        <v>257</v>
      </c>
      <c r="C330" s="1">
        <v>45365</v>
      </c>
      <c r="D330" s="1">
        <v>45615</v>
      </c>
      <c r="E330">
        <v>8</v>
      </c>
      <c r="F330">
        <v>11.99</v>
      </c>
      <c r="G330">
        <f t="shared" si="5"/>
        <v>95.92</v>
      </c>
      <c r="H330">
        <v>251</v>
      </c>
      <c r="I330" t="s">
        <v>26</v>
      </c>
      <c r="J330">
        <v>3</v>
      </c>
      <c r="K330">
        <v>3</v>
      </c>
      <c r="L330" t="b">
        <v>0</v>
      </c>
      <c r="M330">
        <v>922</v>
      </c>
      <c r="N330">
        <v>106</v>
      </c>
      <c r="O330" t="s">
        <v>61</v>
      </c>
      <c r="P330" t="s">
        <v>42</v>
      </c>
      <c r="Q330" t="s">
        <v>29</v>
      </c>
      <c r="R330">
        <v>56</v>
      </c>
      <c r="S330">
        <v>4.3</v>
      </c>
      <c r="T330" t="b">
        <v>1</v>
      </c>
      <c r="U330" t="s">
        <v>30</v>
      </c>
      <c r="V330">
        <v>585</v>
      </c>
      <c r="W330" t="s">
        <v>31</v>
      </c>
      <c r="X330" t="s">
        <v>38</v>
      </c>
      <c r="Y330" t="s">
        <v>33</v>
      </c>
    </row>
    <row r="331" spans="1:25" x14ac:dyDescent="0.35">
      <c r="A331">
        <v>3677</v>
      </c>
      <c r="B331" t="s">
        <v>149</v>
      </c>
      <c r="C331" s="1">
        <v>44993</v>
      </c>
      <c r="D331" s="1">
        <v>45625</v>
      </c>
      <c r="E331">
        <v>20</v>
      </c>
      <c r="F331">
        <v>7.99</v>
      </c>
      <c r="G331">
        <f t="shared" si="5"/>
        <v>159.80000000000001</v>
      </c>
      <c r="H331">
        <v>233</v>
      </c>
      <c r="I331" t="s">
        <v>45</v>
      </c>
      <c r="J331">
        <v>4</v>
      </c>
      <c r="K331">
        <v>2</v>
      </c>
      <c r="L331" t="b">
        <v>1</v>
      </c>
      <c r="M331">
        <v>485</v>
      </c>
      <c r="N331">
        <v>37</v>
      </c>
      <c r="O331" t="s">
        <v>41</v>
      </c>
      <c r="P331" t="s">
        <v>28</v>
      </c>
      <c r="Q331" t="s">
        <v>43</v>
      </c>
      <c r="R331">
        <v>47</v>
      </c>
      <c r="S331">
        <v>3.4</v>
      </c>
      <c r="T331" t="b">
        <v>1</v>
      </c>
      <c r="U331" t="s">
        <v>30</v>
      </c>
      <c r="V331">
        <v>615</v>
      </c>
      <c r="W331" t="s">
        <v>31</v>
      </c>
      <c r="X331" t="s">
        <v>38</v>
      </c>
      <c r="Y331" t="s">
        <v>77</v>
      </c>
    </row>
    <row r="332" spans="1:25" x14ac:dyDescent="0.35">
      <c r="A332">
        <v>8453</v>
      </c>
      <c r="B332" t="s">
        <v>215</v>
      </c>
      <c r="C332" s="1">
        <v>45429</v>
      </c>
      <c r="D332" s="1">
        <v>45623</v>
      </c>
      <c r="E332">
        <v>6</v>
      </c>
      <c r="F332">
        <v>11.99</v>
      </c>
      <c r="G332">
        <f t="shared" si="5"/>
        <v>71.94</v>
      </c>
      <c r="H332">
        <v>136</v>
      </c>
      <c r="I332" t="s">
        <v>81</v>
      </c>
      <c r="J332">
        <v>2</v>
      </c>
      <c r="K332">
        <v>5</v>
      </c>
      <c r="L332" t="b">
        <v>1</v>
      </c>
      <c r="M332">
        <v>112</v>
      </c>
      <c r="N332">
        <v>181</v>
      </c>
      <c r="O332" t="s">
        <v>50</v>
      </c>
      <c r="P332" t="s">
        <v>66</v>
      </c>
      <c r="Q332" t="s">
        <v>29</v>
      </c>
      <c r="R332">
        <v>15</v>
      </c>
      <c r="S332">
        <v>3.6</v>
      </c>
      <c r="T332" t="b">
        <v>0</v>
      </c>
      <c r="U332" t="s">
        <v>30</v>
      </c>
      <c r="V332">
        <v>2634</v>
      </c>
      <c r="W332" t="s">
        <v>59</v>
      </c>
      <c r="X332" t="s">
        <v>54</v>
      </c>
      <c r="Y332" t="s">
        <v>55</v>
      </c>
    </row>
    <row r="333" spans="1:25" x14ac:dyDescent="0.35">
      <c r="A333">
        <v>6231</v>
      </c>
      <c r="B333" t="s">
        <v>127</v>
      </c>
      <c r="C333" s="1">
        <v>44950</v>
      </c>
      <c r="D333" s="1">
        <v>45633</v>
      </c>
      <c r="E333">
        <v>22</v>
      </c>
      <c r="F333">
        <v>15.99</v>
      </c>
      <c r="G333">
        <f t="shared" si="5"/>
        <v>351.78000000000003</v>
      </c>
      <c r="H333">
        <v>248</v>
      </c>
      <c r="I333" t="s">
        <v>57</v>
      </c>
      <c r="J333">
        <v>1</v>
      </c>
      <c r="K333">
        <v>6</v>
      </c>
      <c r="L333" t="b">
        <v>0</v>
      </c>
      <c r="M333">
        <v>181</v>
      </c>
      <c r="N333">
        <v>13</v>
      </c>
      <c r="O333" t="s">
        <v>76</v>
      </c>
      <c r="P333" t="s">
        <v>51</v>
      </c>
      <c r="Q333" t="s">
        <v>52</v>
      </c>
      <c r="R333">
        <v>43</v>
      </c>
      <c r="S333">
        <v>4.9000000000000004</v>
      </c>
      <c r="T333" t="b">
        <v>1</v>
      </c>
      <c r="U333" t="s">
        <v>30</v>
      </c>
      <c r="V333">
        <v>136</v>
      </c>
      <c r="W333" t="s">
        <v>59</v>
      </c>
      <c r="X333" t="s">
        <v>62</v>
      </c>
      <c r="Y333" t="s">
        <v>33</v>
      </c>
    </row>
    <row r="334" spans="1:25" x14ac:dyDescent="0.35">
      <c r="A334">
        <v>1481</v>
      </c>
      <c r="B334" t="s">
        <v>49</v>
      </c>
      <c r="C334" s="1">
        <v>44977</v>
      </c>
      <c r="D334" s="1">
        <v>45627</v>
      </c>
      <c r="E334">
        <v>21</v>
      </c>
      <c r="F334">
        <v>7.99</v>
      </c>
      <c r="G334">
        <f t="shared" si="5"/>
        <v>167.79</v>
      </c>
      <c r="H334">
        <v>180</v>
      </c>
      <c r="I334" t="s">
        <v>48</v>
      </c>
      <c r="J334">
        <v>3</v>
      </c>
      <c r="K334">
        <v>4</v>
      </c>
      <c r="L334" t="b">
        <v>0</v>
      </c>
      <c r="M334">
        <v>936</v>
      </c>
      <c r="N334">
        <v>166</v>
      </c>
      <c r="O334" t="s">
        <v>46</v>
      </c>
      <c r="P334" t="s">
        <v>42</v>
      </c>
      <c r="Q334" t="s">
        <v>58</v>
      </c>
      <c r="R334">
        <v>71</v>
      </c>
      <c r="S334">
        <v>4.9000000000000004</v>
      </c>
      <c r="T334" t="b">
        <v>1</v>
      </c>
      <c r="U334" t="s">
        <v>30</v>
      </c>
      <c r="V334">
        <v>4566</v>
      </c>
      <c r="W334" t="s">
        <v>31</v>
      </c>
      <c r="X334" t="s">
        <v>62</v>
      </c>
      <c r="Y334" t="s">
        <v>55</v>
      </c>
    </row>
    <row r="335" spans="1:25" x14ac:dyDescent="0.35">
      <c r="A335">
        <v>7400</v>
      </c>
      <c r="B335" t="s">
        <v>258</v>
      </c>
      <c r="C335" s="1">
        <v>45421</v>
      </c>
      <c r="D335" s="1">
        <v>45641</v>
      </c>
      <c r="E335">
        <v>7</v>
      </c>
      <c r="F335">
        <v>11.99</v>
      </c>
      <c r="G335">
        <f t="shared" si="5"/>
        <v>83.93</v>
      </c>
      <c r="H335">
        <v>254</v>
      </c>
      <c r="I335" t="s">
        <v>26</v>
      </c>
      <c r="J335">
        <v>4</v>
      </c>
      <c r="K335">
        <v>1</v>
      </c>
      <c r="L335" t="b">
        <v>1</v>
      </c>
      <c r="M335">
        <v>406</v>
      </c>
      <c r="N335">
        <v>47</v>
      </c>
      <c r="O335" t="s">
        <v>61</v>
      </c>
      <c r="P335" t="s">
        <v>42</v>
      </c>
      <c r="Q335" t="s">
        <v>43</v>
      </c>
      <c r="R335">
        <v>5</v>
      </c>
      <c r="S335">
        <v>3.6</v>
      </c>
      <c r="T335" t="b">
        <v>0</v>
      </c>
      <c r="U335" t="s">
        <v>30</v>
      </c>
      <c r="V335">
        <v>3281</v>
      </c>
      <c r="W335" t="s">
        <v>37</v>
      </c>
      <c r="X335" t="s">
        <v>62</v>
      </c>
      <c r="Y335" t="s">
        <v>33</v>
      </c>
    </row>
    <row r="336" spans="1:25" x14ac:dyDescent="0.35">
      <c r="A336">
        <v>7447</v>
      </c>
      <c r="B336" t="s">
        <v>96</v>
      </c>
      <c r="C336" s="1">
        <v>45077</v>
      </c>
      <c r="D336" s="1">
        <v>45616</v>
      </c>
      <c r="E336">
        <v>17</v>
      </c>
      <c r="F336">
        <v>7.99</v>
      </c>
      <c r="G336">
        <f t="shared" si="5"/>
        <v>135.83000000000001</v>
      </c>
      <c r="H336">
        <v>108</v>
      </c>
      <c r="I336" t="s">
        <v>35</v>
      </c>
      <c r="J336">
        <v>2</v>
      </c>
      <c r="K336">
        <v>1</v>
      </c>
      <c r="L336" t="b">
        <v>0</v>
      </c>
      <c r="M336">
        <v>717</v>
      </c>
      <c r="N336">
        <v>84</v>
      </c>
      <c r="O336" t="s">
        <v>65</v>
      </c>
      <c r="P336" t="s">
        <v>28</v>
      </c>
      <c r="Q336" t="s">
        <v>29</v>
      </c>
      <c r="R336">
        <v>82</v>
      </c>
      <c r="S336">
        <v>3.9</v>
      </c>
      <c r="T336" t="b">
        <v>0</v>
      </c>
      <c r="U336" t="s">
        <v>30</v>
      </c>
      <c r="V336">
        <v>1559</v>
      </c>
      <c r="W336" t="s">
        <v>53</v>
      </c>
      <c r="X336" t="s">
        <v>32</v>
      </c>
      <c r="Y336" t="s">
        <v>33</v>
      </c>
    </row>
    <row r="337" spans="1:25" x14ac:dyDescent="0.35">
      <c r="A337">
        <v>4597</v>
      </c>
      <c r="B337" t="s">
        <v>159</v>
      </c>
      <c r="C337" s="1">
        <v>45514</v>
      </c>
      <c r="D337" s="1">
        <v>45639</v>
      </c>
      <c r="E337">
        <v>4</v>
      </c>
      <c r="F337">
        <v>7.99</v>
      </c>
      <c r="G337">
        <f t="shared" si="5"/>
        <v>31.96</v>
      </c>
      <c r="H337">
        <v>183</v>
      </c>
      <c r="I337" t="s">
        <v>48</v>
      </c>
      <c r="J337">
        <v>4</v>
      </c>
      <c r="K337">
        <v>5</v>
      </c>
      <c r="L337" t="b">
        <v>0</v>
      </c>
      <c r="M337">
        <v>833</v>
      </c>
      <c r="N337">
        <v>154</v>
      </c>
      <c r="O337" t="s">
        <v>76</v>
      </c>
      <c r="P337" t="s">
        <v>28</v>
      </c>
      <c r="Q337" t="s">
        <v>36</v>
      </c>
      <c r="R337">
        <v>46</v>
      </c>
      <c r="S337">
        <v>3.9</v>
      </c>
      <c r="T337" t="b">
        <v>0</v>
      </c>
      <c r="U337" t="s">
        <v>30</v>
      </c>
      <c r="V337">
        <v>3113</v>
      </c>
      <c r="W337" t="s">
        <v>67</v>
      </c>
      <c r="X337" t="s">
        <v>32</v>
      </c>
      <c r="Y337" t="s">
        <v>39</v>
      </c>
    </row>
    <row r="338" spans="1:25" x14ac:dyDescent="0.35">
      <c r="A338">
        <v>3173</v>
      </c>
      <c r="B338" t="s">
        <v>154</v>
      </c>
      <c r="C338" s="1">
        <v>45560</v>
      </c>
      <c r="D338" s="1">
        <v>45635</v>
      </c>
      <c r="E338">
        <v>2</v>
      </c>
      <c r="F338">
        <v>7.99</v>
      </c>
      <c r="G338">
        <f t="shared" si="5"/>
        <v>15.98</v>
      </c>
      <c r="H338">
        <v>53</v>
      </c>
      <c r="I338" t="s">
        <v>45</v>
      </c>
      <c r="J338">
        <v>2</v>
      </c>
      <c r="K338">
        <v>4</v>
      </c>
      <c r="L338" t="b">
        <v>1</v>
      </c>
      <c r="M338">
        <v>304</v>
      </c>
      <c r="N338">
        <v>49</v>
      </c>
      <c r="O338" t="s">
        <v>76</v>
      </c>
      <c r="P338" t="s">
        <v>66</v>
      </c>
      <c r="Q338" t="s">
        <v>58</v>
      </c>
      <c r="R338">
        <v>57</v>
      </c>
      <c r="S338">
        <v>4.3</v>
      </c>
      <c r="T338" t="b">
        <v>0</v>
      </c>
      <c r="U338" t="s">
        <v>30</v>
      </c>
      <c r="V338">
        <v>3836</v>
      </c>
      <c r="W338" t="s">
        <v>37</v>
      </c>
      <c r="X338" t="s">
        <v>38</v>
      </c>
      <c r="Y338" t="s">
        <v>39</v>
      </c>
    </row>
    <row r="339" spans="1:25" x14ac:dyDescent="0.35">
      <c r="A339">
        <v>9514</v>
      </c>
      <c r="B339" t="s">
        <v>259</v>
      </c>
      <c r="C339" s="1">
        <v>45083</v>
      </c>
      <c r="D339" s="1">
        <v>45636</v>
      </c>
      <c r="E339">
        <v>18</v>
      </c>
      <c r="F339">
        <v>7.99</v>
      </c>
      <c r="G339">
        <f t="shared" si="5"/>
        <v>143.82</v>
      </c>
      <c r="H339">
        <v>120</v>
      </c>
      <c r="I339" t="s">
        <v>57</v>
      </c>
      <c r="J339">
        <v>3</v>
      </c>
      <c r="K339">
        <v>3</v>
      </c>
      <c r="L339" t="b">
        <v>1</v>
      </c>
      <c r="M339">
        <v>802</v>
      </c>
      <c r="N339">
        <v>31</v>
      </c>
      <c r="O339" t="s">
        <v>46</v>
      </c>
      <c r="P339" t="s">
        <v>42</v>
      </c>
      <c r="Q339" t="s">
        <v>29</v>
      </c>
      <c r="R339">
        <v>16</v>
      </c>
      <c r="S339">
        <v>4</v>
      </c>
      <c r="T339" t="b">
        <v>1</v>
      </c>
      <c r="U339" t="s">
        <v>30</v>
      </c>
      <c r="V339">
        <v>1522</v>
      </c>
      <c r="W339" t="s">
        <v>59</v>
      </c>
      <c r="X339" t="s">
        <v>38</v>
      </c>
      <c r="Y339" t="s">
        <v>39</v>
      </c>
    </row>
    <row r="340" spans="1:25" x14ac:dyDescent="0.35">
      <c r="A340">
        <v>4985</v>
      </c>
      <c r="B340" t="s">
        <v>111</v>
      </c>
      <c r="C340" s="1">
        <v>45149</v>
      </c>
      <c r="D340" s="1">
        <v>45627</v>
      </c>
      <c r="E340">
        <v>15</v>
      </c>
      <c r="F340">
        <v>7.99</v>
      </c>
      <c r="G340">
        <f t="shared" si="5"/>
        <v>119.85000000000001</v>
      </c>
      <c r="H340">
        <v>118</v>
      </c>
      <c r="I340" t="s">
        <v>45</v>
      </c>
      <c r="J340">
        <v>5</v>
      </c>
      <c r="K340">
        <v>4</v>
      </c>
      <c r="L340" t="b">
        <v>0</v>
      </c>
      <c r="M340">
        <v>522</v>
      </c>
      <c r="N340">
        <v>160</v>
      </c>
      <c r="O340" t="s">
        <v>46</v>
      </c>
      <c r="P340" t="s">
        <v>66</v>
      </c>
      <c r="Q340" t="s">
        <v>43</v>
      </c>
      <c r="R340">
        <v>94</v>
      </c>
      <c r="S340">
        <v>4.0999999999999996</v>
      </c>
      <c r="T340" t="b">
        <v>1</v>
      </c>
      <c r="U340" t="s">
        <v>30</v>
      </c>
      <c r="V340">
        <v>1756</v>
      </c>
      <c r="W340" t="s">
        <v>37</v>
      </c>
      <c r="X340" t="s">
        <v>54</v>
      </c>
      <c r="Y340" t="s">
        <v>33</v>
      </c>
    </row>
    <row r="341" spans="1:25" x14ac:dyDescent="0.35">
      <c r="A341">
        <v>4486</v>
      </c>
      <c r="B341" t="s">
        <v>244</v>
      </c>
      <c r="C341" s="1">
        <v>45296</v>
      </c>
      <c r="D341" s="1">
        <v>45639</v>
      </c>
      <c r="E341">
        <v>11</v>
      </c>
      <c r="F341">
        <v>7.99</v>
      </c>
      <c r="G341">
        <f t="shared" si="5"/>
        <v>87.89</v>
      </c>
      <c r="H341">
        <v>113</v>
      </c>
      <c r="I341" t="s">
        <v>35</v>
      </c>
      <c r="J341">
        <v>1</v>
      </c>
      <c r="K341">
        <v>1</v>
      </c>
      <c r="L341" t="b">
        <v>0</v>
      </c>
      <c r="M341">
        <v>177</v>
      </c>
      <c r="N341">
        <v>3</v>
      </c>
      <c r="O341" t="s">
        <v>61</v>
      </c>
      <c r="P341" t="s">
        <v>66</v>
      </c>
      <c r="Q341" t="s">
        <v>58</v>
      </c>
      <c r="R341">
        <v>69</v>
      </c>
      <c r="S341">
        <v>4.8</v>
      </c>
      <c r="T341" t="b">
        <v>0</v>
      </c>
      <c r="U341" t="s">
        <v>30</v>
      </c>
      <c r="V341">
        <v>1542</v>
      </c>
      <c r="W341" t="s">
        <v>37</v>
      </c>
      <c r="X341" t="s">
        <v>70</v>
      </c>
      <c r="Y341" t="s">
        <v>33</v>
      </c>
    </row>
    <row r="342" spans="1:25" x14ac:dyDescent="0.35">
      <c r="A342">
        <v>8756</v>
      </c>
      <c r="B342" t="s">
        <v>104</v>
      </c>
      <c r="C342" s="1">
        <v>45282</v>
      </c>
      <c r="D342" s="1">
        <v>45635</v>
      </c>
      <c r="E342">
        <v>11</v>
      </c>
      <c r="F342">
        <v>7.99</v>
      </c>
      <c r="G342">
        <f t="shared" si="5"/>
        <v>87.89</v>
      </c>
      <c r="H342">
        <v>138</v>
      </c>
      <c r="I342" t="s">
        <v>35</v>
      </c>
      <c r="J342">
        <v>3</v>
      </c>
      <c r="K342">
        <v>2</v>
      </c>
      <c r="L342" t="b">
        <v>1</v>
      </c>
      <c r="M342">
        <v>811</v>
      </c>
      <c r="N342">
        <v>37</v>
      </c>
      <c r="O342" t="s">
        <v>61</v>
      </c>
      <c r="P342" t="s">
        <v>42</v>
      </c>
      <c r="Q342" t="s">
        <v>43</v>
      </c>
      <c r="R342">
        <v>36</v>
      </c>
      <c r="S342">
        <v>3.6</v>
      </c>
      <c r="T342" t="b">
        <v>0</v>
      </c>
      <c r="U342" t="s">
        <v>30</v>
      </c>
      <c r="V342">
        <v>77</v>
      </c>
      <c r="W342" t="s">
        <v>31</v>
      </c>
      <c r="X342" t="s">
        <v>32</v>
      </c>
      <c r="Y342" t="s">
        <v>39</v>
      </c>
    </row>
    <row r="343" spans="1:25" x14ac:dyDescent="0.35">
      <c r="A343">
        <v>9121</v>
      </c>
      <c r="B343" t="s">
        <v>172</v>
      </c>
      <c r="C343" s="1">
        <v>45095</v>
      </c>
      <c r="D343" s="1">
        <v>45638</v>
      </c>
      <c r="E343">
        <v>17</v>
      </c>
      <c r="F343">
        <v>7.99</v>
      </c>
      <c r="G343">
        <f t="shared" si="5"/>
        <v>135.83000000000001</v>
      </c>
      <c r="H343">
        <v>178</v>
      </c>
      <c r="I343" t="s">
        <v>57</v>
      </c>
      <c r="J343">
        <v>1</v>
      </c>
      <c r="K343">
        <v>4</v>
      </c>
      <c r="L343" t="b">
        <v>0</v>
      </c>
      <c r="M343">
        <v>239</v>
      </c>
      <c r="N343">
        <v>126</v>
      </c>
      <c r="O343" t="s">
        <v>41</v>
      </c>
      <c r="P343" t="s">
        <v>66</v>
      </c>
      <c r="Q343" t="s">
        <v>58</v>
      </c>
      <c r="R343">
        <v>86</v>
      </c>
      <c r="S343">
        <v>3.9</v>
      </c>
      <c r="T343" t="b">
        <v>0</v>
      </c>
      <c r="U343" t="s">
        <v>30</v>
      </c>
      <c r="V343">
        <v>4356</v>
      </c>
      <c r="W343" t="s">
        <v>59</v>
      </c>
      <c r="X343" t="s">
        <v>62</v>
      </c>
      <c r="Y343" t="s">
        <v>39</v>
      </c>
    </row>
    <row r="344" spans="1:25" x14ac:dyDescent="0.35">
      <c r="A344">
        <v>6471</v>
      </c>
      <c r="B344" t="s">
        <v>74</v>
      </c>
      <c r="C344" s="1">
        <v>45288</v>
      </c>
      <c r="D344" s="1">
        <v>45621</v>
      </c>
      <c r="E344">
        <v>10</v>
      </c>
      <c r="F344">
        <v>7.99</v>
      </c>
      <c r="G344">
        <f t="shared" si="5"/>
        <v>79.900000000000006</v>
      </c>
      <c r="H344">
        <v>105</v>
      </c>
      <c r="I344" t="s">
        <v>64</v>
      </c>
      <c r="J344">
        <v>4</v>
      </c>
      <c r="K344">
        <v>3</v>
      </c>
      <c r="L344" t="b">
        <v>1</v>
      </c>
      <c r="M344">
        <v>49</v>
      </c>
      <c r="N344">
        <v>71</v>
      </c>
      <c r="O344" t="s">
        <v>61</v>
      </c>
      <c r="P344" t="s">
        <v>51</v>
      </c>
      <c r="Q344" t="s">
        <v>69</v>
      </c>
      <c r="R344">
        <v>8</v>
      </c>
      <c r="S344">
        <v>3.6</v>
      </c>
      <c r="T344" t="b">
        <v>0</v>
      </c>
      <c r="U344" t="s">
        <v>30</v>
      </c>
      <c r="V344">
        <v>1989</v>
      </c>
      <c r="W344" t="s">
        <v>37</v>
      </c>
      <c r="X344" t="s">
        <v>62</v>
      </c>
      <c r="Y344" t="s">
        <v>77</v>
      </c>
    </row>
    <row r="345" spans="1:25" x14ac:dyDescent="0.35">
      <c r="A345">
        <v>6601</v>
      </c>
      <c r="B345" t="s">
        <v>260</v>
      </c>
      <c r="C345" s="1">
        <v>45069</v>
      </c>
      <c r="D345" s="1">
        <v>45644</v>
      </c>
      <c r="E345">
        <v>18</v>
      </c>
      <c r="F345">
        <v>7.99</v>
      </c>
      <c r="G345">
        <f t="shared" si="5"/>
        <v>143.82</v>
      </c>
      <c r="H345">
        <v>283</v>
      </c>
      <c r="I345" t="s">
        <v>26</v>
      </c>
      <c r="J345">
        <v>1</v>
      </c>
      <c r="K345">
        <v>5</v>
      </c>
      <c r="L345" t="b">
        <v>1</v>
      </c>
      <c r="M345">
        <v>407</v>
      </c>
      <c r="N345">
        <v>15</v>
      </c>
      <c r="O345" t="s">
        <v>76</v>
      </c>
      <c r="P345" t="s">
        <v>42</v>
      </c>
      <c r="Q345" t="s">
        <v>69</v>
      </c>
      <c r="R345">
        <v>26</v>
      </c>
      <c r="S345">
        <v>3.1</v>
      </c>
      <c r="T345" t="b">
        <v>1</v>
      </c>
      <c r="U345" t="s">
        <v>30</v>
      </c>
      <c r="V345">
        <v>906</v>
      </c>
      <c r="W345" t="s">
        <v>53</v>
      </c>
      <c r="X345" t="s">
        <v>70</v>
      </c>
      <c r="Y345" t="s">
        <v>77</v>
      </c>
    </row>
    <row r="346" spans="1:25" x14ac:dyDescent="0.35">
      <c r="A346">
        <v>4340</v>
      </c>
      <c r="B346" t="s">
        <v>261</v>
      </c>
      <c r="C346" s="1">
        <v>45003</v>
      </c>
      <c r="D346" s="1">
        <v>45633</v>
      </c>
      <c r="E346">
        <v>20</v>
      </c>
      <c r="F346">
        <v>15.99</v>
      </c>
      <c r="G346">
        <f t="shared" si="5"/>
        <v>319.8</v>
      </c>
      <c r="H346">
        <v>154</v>
      </c>
      <c r="I346" t="s">
        <v>45</v>
      </c>
      <c r="J346">
        <v>4</v>
      </c>
      <c r="K346">
        <v>5</v>
      </c>
      <c r="L346" t="b">
        <v>1</v>
      </c>
      <c r="M346">
        <v>804</v>
      </c>
      <c r="N346">
        <v>106</v>
      </c>
      <c r="O346" t="s">
        <v>46</v>
      </c>
      <c r="P346" t="s">
        <v>28</v>
      </c>
      <c r="Q346" t="s">
        <v>58</v>
      </c>
      <c r="R346">
        <v>60</v>
      </c>
      <c r="S346">
        <v>4.8</v>
      </c>
      <c r="T346" t="b">
        <v>0</v>
      </c>
      <c r="U346" t="s">
        <v>30</v>
      </c>
      <c r="V346">
        <v>4108</v>
      </c>
      <c r="W346" t="s">
        <v>59</v>
      </c>
      <c r="X346" t="s">
        <v>70</v>
      </c>
      <c r="Y346" t="s">
        <v>33</v>
      </c>
    </row>
    <row r="347" spans="1:25" x14ac:dyDescent="0.35">
      <c r="A347">
        <v>5112</v>
      </c>
      <c r="B347" t="s">
        <v>150</v>
      </c>
      <c r="C347" s="1">
        <v>45601</v>
      </c>
      <c r="D347" s="1">
        <v>45640</v>
      </c>
      <c r="E347">
        <v>1</v>
      </c>
      <c r="F347">
        <v>15.99</v>
      </c>
      <c r="G347">
        <f t="shared" si="5"/>
        <v>15.99</v>
      </c>
      <c r="H347">
        <v>240</v>
      </c>
      <c r="I347" t="s">
        <v>57</v>
      </c>
      <c r="J347">
        <v>2</v>
      </c>
      <c r="K347">
        <v>6</v>
      </c>
      <c r="L347" t="b">
        <v>1</v>
      </c>
      <c r="M347">
        <v>564</v>
      </c>
      <c r="N347">
        <v>121</v>
      </c>
      <c r="O347" t="s">
        <v>27</v>
      </c>
      <c r="P347" t="s">
        <v>66</v>
      </c>
      <c r="Q347" t="s">
        <v>29</v>
      </c>
      <c r="R347">
        <v>40</v>
      </c>
      <c r="S347">
        <v>3.5</v>
      </c>
      <c r="T347" t="b">
        <v>1</v>
      </c>
      <c r="U347" t="s">
        <v>30</v>
      </c>
      <c r="V347">
        <v>333</v>
      </c>
      <c r="W347" t="s">
        <v>53</v>
      </c>
      <c r="X347" t="s">
        <v>38</v>
      </c>
      <c r="Y347" t="s">
        <v>39</v>
      </c>
    </row>
    <row r="348" spans="1:25" x14ac:dyDescent="0.35">
      <c r="A348">
        <v>5700</v>
      </c>
      <c r="B348" t="s">
        <v>158</v>
      </c>
      <c r="C348" s="1">
        <v>45072</v>
      </c>
      <c r="D348" s="1">
        <v>45635</v>
      </c>
      <c r="E348">
        <v>18</v>
      </c>
      <c r="F348">
        <v>11.99</v>
      </c>
      <c r="G348">
        <f t="shared" si="5"/>
        <v>215.82</v>
      </c>
      <c r="H348">
        <v>29</v>
      </c>
      <c r="I348" t="s">
        <v>45</v>
      </c>
      <c r="J348">
        <v>1</v>
      </c>
      <c r="K348">
        <v>5</v>
      </c>
      <c r="L348" t="b">
        <v>1</v>
      </c>
      <c r="M348">
        <v>625</v>
      </c>
      <c r="N348">
        <v>165</v>
      </c>
      <c r="O348" t="s">
        <v>76</v>
      </c>
      <c r="P348" t="s">
        <v>51</v>
      </c>
      <c r="Q348" t="s">
        <v>52</v>
      </c>
      <c r="R348">
        <v>41</v>
      </c>
      <c r="S348">
        <v>4.3</v>
      </c>
      <c r="T348" t="b">
        <v>0</v>
      </c>
      <c r="U348" t="s">
        <v>30</v>
      </c>
      <c r="V348">
        <v>3847</v>
      </c>
      <c r="W348" t="s">
        <v>59</v>
      </c>
      <c r="X348" t="s">
        <v>54</v>
      </c>
      <c r="Y348" t="s">
        <v>77</v>
      </c>
    </row>
    <row r="349" spans="1:25" x14ac:dyDescent="0.35">
      <c r="A349">
        <v>8617</v>
      </c>
      <c r="B349" t="s">
        <v>102</v>
      </c>
      <c r="C349" s="1">
        <v>45579</v>
      </c>
      <c r="D349" s="1">
        <v>45637</v>
      </c>
      <c r="E349">
        <v>1</v>
      </c>
      <c r="F349">
        <v>15.99</v>
      </c>
      <c r="G349">
        <f t="shared" si="5"/>
        <v>15.99</v>
      </c>
      <c r="H349">
        <v>202</v>
      </c>
      <c r="I349" t="s">
        <v>64</v>
      </c>
      <c r="J349">
        <v>1</v>
      </c>
      <c r="K349">
        <v>2</v>
      </c>
      <c r="L349" t="b">
        <v>1</v>
      </c>
      <c r="M349">
        <v>260</v>
      </c>
      <c r="N349">
        <v>53</v>
      </c>
      <c r="O349" t="s">
        <v>61</v>
      </c>
      <c r="P349" t="s">
        <v>66</v>
      </c>
      <c r="Q349" t="s">
        <v>58</v>
      </c>
      <c r="R349">
        <v>13</v>
      </c>
      <c r="S349">
        <v>3.9</v>
      </c>
      <c r="T349" t="b">
        <v>1</v>
      </c>
      <c r="U349" t="s">
        <v>30</v>
      </c>
      <c r="V349">
        <v>1423</v>
      </c>
      <c r="W349" t="s">
        <v>59</v>
      </c>
      <c r="X349" t="s">
        <v>70</v>
      </c>
      <c r="Y349" t="s">
        <v>39</v>
      </c>
    </row>
    <row r="350" spans="1:25" x14ac:dyDescent="0.35">
      <c r="A350">
        <v>9149</v>
      </c>
      <c r="B350" t="s">
        <v>262</v>
      </c>
      <c r="C350" s="1">
        <v>44931</v>
      </c>
      <c r="D350" s="1">
        <v>45643</v>
      </c>
      <c r="E350">
        <v>23</v>
      </c>
      <c r="F350">
        <v>15.99</v>
      </c>
      <c r="G350">
        <f t="shared" si="5"/>
        <v>367.77</v>
      </c>
      <c r="H350">
        <v>348</v>
      </c>
      <c r="I350" t="s">
        <v>48</v>
      </c>
      <c r="J350">
        <v>2</v>
      </c>
      <c r="K350">
        <v>6</v>
      </c>
      <c r="L350" t="b">
        <v>1</v>
      </c>
      <c r="M350">
        <v>378</v>
      </c>
      <c r="N350">
        <v>56</v>
      </c>
      <c r="O350" t="s">
        <v>61</v>
      </c>
      <c r="P350" t="s">
        <v>42</v>
      </c>
      <c r="Q350" t="s">
        <v>52</v>
      </c>
      <c r="R350">
        <v>9</v>
      </c>
      <c r="S350">
        <v>4.5</v>
      </c>
      <c r="T350" t="b">
        <v>1</v>
      </c>
      <c r="U350" t="s">
        <v>30</v>
      </c>
      <c r="V350">
        <v>595</v>
      </c>
      <c r="W350" t="s">
        <v>53</v>
      </c>
      <c r="X350" t="s">
        <v>54</v>
      </c>
      <c r="Y350" t="s">
        <v>77</v>
      </c>
    </row>
    <row r="351" spans="1:25" x14ac:dyDescent="0.35">
      <c r="A351">
        <v>8651</v>
      </c>
      <c r="B351" t="s">
        <v>185</v>
      </c>
      <c r="C351" s="1">
        <v>45523</v>
      </c>
      <c r="D351" s="1">
        <v>45622</v>
      </c>
      <c r="E351">
        <v>3</v>
      </c>
      <c r="F351">
        <v>15.99</v>
      </c>
      <c r="G351">
        <f t="shared" si="5"/>
        <v>47.97</v>
      </c>
      <c r="H351">
        <v>380</v>
      </c>
      <c r="I351" t="s">
        <v>81</v>
      </c>
      <c r="J351">
        <v>5</v>
      </c>
      <c r="K351">
        <v>5</v>
      </c>
      <c r="L351" t="b">
        <v>0</v>
      </c>
      <c r="M351">
        <v>334</v>
      </c>
      <c r="N351">
        <v>175</v>
      </c>
      <c r="O351" t="s">
        <v>76</v>
      </c>
      <c r="P351" t="s">
        <v>51</v>
      </c>
      <c r="Q351" t="s">
        <v>36</v>
      </c>
      <c r="R351">
        <v>69</v>
      </c>
      <c r="S351">
        <v>3.1</v>
      </c>
      <c r="T351" t="b">
        <v>0</v>
      </c>
      <c r="U351" t="s">
        <v>30</v>
      </c>
      <c r="V351">
        <v>4445</v>
      </c>
      <c r="W351" t="s">
        <v>67</v>
      </c>
      <c r="X351" t="s">
        <v>70</v>
      </c>
      <c r="Y351" t="s">
        <v>33</v>
      </c>
    </row>
    <row r="352" spans="1:25" x14ac:dyDescent="0.35">
      <c r="A352">
        <v>1495</v>
      </c>
      <c r="B352" t="s">
        <v>263</v>
      </c>
      <c r="C352" s="1">
        <v>45523</v>
      </c>
      <c r="D352" s="1">
        <v>45618</v>
      </c>
      <c r="E352">
        <v>3</v>
      </c>
      <c r="F352">
        <v>15.99</v>
      </c>
      <c r="G352">
        <f t="shared" si="5"/>
        <v>47.97</v>
      </c>
      <c r="H352">
        <v>254</v>
      </c>
      <c r="I352" t="s">
        <v>81</v>
      </c>
      <c r="J352">
        <v>3</v>
      </c>
      <c r="K352">
        <v>2</v>
      </c>
      <c r="L352" t="b">
        <v>0</v>
      </c>
      <c r="M352">
        <v>544</v>
      </c>
      <c r="N352">
        <v>89</v>
      </c>
      <c r="O352" t="s">
        <v>76</v>
      </c>
      <c r="P352" t="s">
        <v>42</v>
      </c>
      <c r="Q352" t="s">
        <v>58</v>
      </c>
      <c r="R352">
        <v>97</v>
      </c>
      <c r="S352">
        <v>3.1</v>
      </c>
      <c r="T352" t="b">
        <v>0</v>
      </c>
      <c r="U352" t="s">
        <v>30</v>
      </c>
      <c r="V352">
        <v>144</v>
      </c>
      <c r="W352" t="s">
        <v>31</v>
      </c>
      <c r="X352" t="s">
        <v>38</v>
      </c>
      <c r="Y352" t="s">
        <v>33</v>
      </c>
    </row>
    <row r="353" spans="1:25" x14ac:dyDescent="0.35">
      <c r="A353">
        <v>7359</v>
      </c>
      <c r="B353" t="s">
        <v>129</v>
      </c>
      <c r="C353" s="1">
        <v>45005</v>
      </c>
      <c r="D353" s="1">
        <v>45643</v>
      </c>
      <c r="E353">
        <v>20</v>
      </c>
      <c r="F353">
        <v>15.99</v>
      </c>
      <c r="G353">
        <f t="shared" si="5"/>
        <v>319.8</v>
      </c>
      <c r="H353">
        <v>477</v>
      </c>
      <c r="I353" t="s">
        <v>26</v>
      </c>
      <c r="J353">
        <v>2</v>
      </c>
      <c r="K353">
        <v>3</v>
      </c>
      <c r="L353" t="b">
        <v>1</v>
      </c>
      <c r="M353">
        <v>899</v>
      </c>
      <c r="N353">
        <v>97</v>
      </c>
      <c r="O353" t="s">
        <v>27</v>
      </c>
      <c r="P353" t="s">
        <v>51</v>
      </c>
      <c r="Q353" t="s">
        <v>58</v>
      </c>
      <c r="R353">
        <v>42</v>
      </c>
      <c r="S353">
        <v>4.7</v>
      </c>
      <c r="T353" t="b">
        <v>1</v>
      </c>
      <c r="U353" t="s">
        <v>30</v>
      </c>
      <c r="V353">
        <v>3428</v>
      </c>
      <c r="W353" t="s">
        <v>59</v>
      </c>
      <c r="X353" t="s">
        <v>62</v>
      </c>
      <c r="Y353" t="s">
        <v>55</v>
      </c>
    </row>
    <row r="354" spans="1:25" x14ac:dyDescent="0.35">
      <c r="A354">
        <v>6525</v>
      </c>
      <c r="B354" t="s">
        <v>186</v>
      </c>
      <c r="C354" s="1">
        <v>44951</v>
      </c>
      <c r="D354" s="1">
        <v>45618</v>
      </c>
      <c r="E354">
        <v>21</v>
      </c>
      <c r="F354">
        <v>15.99</v>
      </c>
      <c r="G354">
        <f t="shared" si="5"/>
        <v>335.79</v>
      </c>
      <c r="H354">
        <v>385</v>
      </c>
      <c r="I354" t="s">
        <v>64</v>
      </c>
      <c r="J354">
        <v>3</v>
      </c>
      <c r="K354">
        <v>1</v>
      </c>
      <c r="L354" t="b">
        <v>0</v>
      </c>
      <c r="M354">
        <v>807</v>
      </c>
      <c r="N354">
        <v>188</v>
      </c>
      <c r="O354" t="s">
        <v>27</v>
      </c>
      <c r="P354" t="s">
        <v>51</v>
      </c>
      <c r="Q354" t="s">
        <v>69</v>
      </c>
      <c r="R354">
        <v>3</v>
      </c>
      <c r="S354">
        <v>3.4</v>
      </c>
      <c r="T354" t="b">
        <v>0</v>
      </c>
      <c r="U354" t="s">
        <v>30</v>
      </c>
      <c r="V354">
        <v>4919</v>
      </c>
      <c r="W354" t="s">
        <v>67</v>
      </c>
      <c r="X354" t="s">
        <v>32</v>
      </c>
      <c r="Y354" t="s">
        <v>77</v>
      </c>
    </row>
    <row r="355" spans="1:25" x14ac:dyDescent="0.35">
      <c r="A355">
        <v>7207</v>
      </c>
      <c r="B355" t="s">
        <v>238</v>
      </c>
      <c r="C355" s="1">
        <v>45523</v>
      </c>
      <c r="D355" s="1">
        <v>45643</v>
      </c>
      <c r="E355">
        <v>3</v>
      </c>
      <c r="F355">
        <v>7.99</v>
      </c>
      <c r="G355">
        <f t="shared" si="5"/>
        <v>23.97</v>
      </c>
      <c r="H355">
        <v>336</v>
      </c>
      <c r="I355" t="s">
        <v>45</v>
      </c>
      <c r="J355">
        <v>1</v>
      </c>
      <c r="K355">
        <v>2</v>
      </c>
      <c r="L355" t="b">
        <v>0</v>
      </c>
      <c r="M355">
        <v>235</v>
      </c>
      <c r="N355">
        <v>25</v>
      </c>
      <c r="O355" t="s">
        <v>61</v>
      </c>
      <c r="P355" t="s">
        <v>51</v>
      </c>
      <c r="Q355" t="s">
        <v>69</v>
      </c>
      <c r="R355">
        <v>31</v>
      </c>
      <c r="S355">
        <v>3.9</v>
      </c>
      <c r="T355" t="b">
        <v>0</v>
      </c>
      <c r="U355" t="s">
        <v>30</v>
      </c>
      <c r="V355">
        <v>4905</v>
      </c>
      <c r="W355" t="s">
        <v>59</v>
      </c>
      <c r="X355" t="s">
        <v>32</v>
      </c>
      <c r="Y355" t="s">
        <v>33</v>
      </c>
    </row>
    <row r="356" spans="1:25" x14ac:dyDescent="0.35">
      <c r="A356">
        <v>2361</v>
      </c>
      <c r="B356" t="s">
        <v>264</v>
      </c>
      <c r="C356" s="1">
        <v>45003</v>
      </c>
      <c r="D356" s="1">
        <v>45621</v>
      </c>
      <c r="E356">
        <v>20</v>
      </c>
      <c r="F356">
        <v>15.99</v>
      </c>
      <c r="G356">
        <f t="shared" si="5"/>
        <v>319.8</v>
      </c>
      <c r="H356">
        <v>171</v>
      </c>
      <c r="I356" t="s">
        <v>26</v>
      </c>
      <c r="J356">
        <v>2</v>
      </c>
      <c r="K356">
        <v>3</v>
      </c>
      <c r="L356" t="b">
        <v>0</v>
      </c>
      <c r="M356">
        <v>763</v>
      </c>
      <c r="N356">
        <v>16</v>
      </c>
      <c r="O356" t="s">
        <v>46</v>
      </c>
      <c r="P356" t="s">
        <v>28</v>
      </c>
      <c r="Q356" t="s">
        <v>52</v>
      </c>
      <c r="R356">
        <v>17</v>
      </c>
      <c r="S356">
        <v>3.4</v>
      </c>
      <c r="T356" t="b">
        <v>1</v>
      </c>
      <c r="U356" t="s">
        <v>30</v>
      </c>
      <c r="V356">
        <v>428</v>
      </c>
      <c r="W356" t="s">
        <v>67</v>
      </c>
      <c r="X356" t="s">
        <v>38</v>
      </c>
      <c r="Y356" t="s">
        <v>39</v>
      </c>
    </row>
    <row r="357" spans="1:25" x14ac:dyDescent="0.35">
      <c r="A357">
        <v>8766</v>
      </c>
      <c r="B357" t="s">
        <v>265</v>
      </c>
      <c r="C357" s="1">
        <v>45198</v>
      </c>
      <c r="D357" s="1">
        <v>45623</v>
      </c>
      <c r="E357">
        <v>13</v>
      </c>
      <c r="F357">
        <v>15.99</v>
      </c>
      <c r="G357">
        <f t="shared" si="5"/>
        <v>207.87</v>
      </c>
      <c r="H357">
        <v>33</v>
      </c>
      <c r="I357" t="s">
        <v>48</v>
      </c>
      <c r="J357">
        <v>1</v>
      </c>
      <c r="K357">
        <v>4</v>
      </c>
      <c r="L357" t="b">
        <v>1</v>
      </c>
      <c r="M357">
        <v>475</v>
      </c>
      <c r="N357">
        <v>151</v>
      </c>
      <c r="O357" t="s">
        <v>41</v>
      </c>
      <c r="P357" t="s">
        <v>51</v>
      </c>
      <c r="Q357" t="s">
        <v>69</v>
      </c>
      <c r="R357">
        <v>16</v>
      </c>
      <c r="S357">
        <v>4.7</v>
      </c>
      <c r="T357" t="b">
        <v>1</v>
      </c>
      <c r="U357" t="s">
        <v>30</v>
      </c>
      <c r="V357">
        <v>1634</v>
      </c>
      <c r="W357" t="s">
        <v>53</v>
      </c>
      <c r="X357" t="s">
        <v>62</v>
      </c>
      <c r="Y357" t="s">
        <v>33</v>
      </c>
    </row>
    <row r="358" spans="1:25" x14ac:dyDescent="0.35">
      <c r="A358">
        <v>7236</v>
      </c>
      <c r="B358" t="s">
        <v>49</v>
      </c>
      <c r="C358" s="1">
        <v>45395</v>
      </c>
      <c r="D358" s="1">
        <v>45636</v>
      </c>
      <c r="E358">
        <v>7</v>
      </c>
      <c r="F358">
        <v>7.99</v>
      </c>
      <c r="G358">
        <f t="shared" si="5"/>
        <v>55.93</v>
      </c>
      <c r="H358">
        <v>193</v>
      </c>
      <c r="I358" t="s">
        <v>81</v>
      </c>
      <c r="J358">
        <v>3</v>
      </c>
      <c r="K358">
        <v>6</v>
      </c>
      <c r="L358" t="b">
        <v>1</v>
      </c>
      <c r="M358">
        <v>453</v>
      </c>
      <c r="N358">
        <v>113</v>
      </c>
      <c r="O358" t="s">
        <v>46</v>
      </c>
      <c r="P358" t="s">
        <v>66</v>
      </c>
      <c r="Q358" t="s">
        <v>69</v>
      </c>
      <c r="R358">
        <v>74</v>
      </c>
      <c r="S358">
        <v>3.5</v>
      </c>
      <c r="T358" t="b">
        <v>1</v>
      </c>
      <c r="U358" t="s">
        <v>30</v>
      </c>
      <c r="V358">
        <v>4085</v>
      </c>
      <c r="W358" t="s">
        <v>59</v>
      </c>
      <c r="X358" t="s">
        <v>38</v>
      </c>
      <c r="Y358" t="s">
        <v>39</v>
      </c>
    </row>
    <row r="359" spans="1:25" x14ac:dyDescent="0.35">
      <c r="A359">
        <v>8605</v>
      </c>
      <c r="B359" t="s">
        <v>104</v>
      </c>
      <c r="C359" s="1">
        <v>45077</v>
      </c>
      <c r="D359" s="1">
        <v>45627</v>
      </c>
      <c r="E359">
        <v>18</v>
      </c>
      <c r="F359">
        <v>11.99</v>
      </c>
      <c r="G359">
        <f t="shared" si="5"/>
        <v>215.82</v>
      </c>
      <c r="H359">
        <v>153</v>
      </c>
      <c r="I359" t="s">
        <v>57</v>
      </c>
      <c r="J359">
        <v>2</v>
      </c>
      <c r="K359">
        <v>2</v>
      </c>
      <c r="L359" t="b">
        <v>1</v>
      </c>
      <c r="M359">
        <v>40</v>
      </c>
      <c r="N359">
        <v>106</v>
      </c>
      <c r="O359" t="s">
        <v>50</v>
      </c>
      <c r="P359" t="s">
        <v>42</v>
      </c>
      <c r="Q359" t="s">
        <v>69</v>
      </c>
      <c r="R359">
        <v>44</v>
      </c>
      <c r="S359">
        <v>4.4000000000000004</v>
      </c>
      <c r="T359" t="b">
        <v>1</v>
      </c>
      <c r="U359" t="s">
        <v>30</v>
      </c>
      <c r="V359">
        <v>2790</v>
      </c>
      <c r="W359" t="s">
        <v>67</v>
      </c>
      <c r="X359" t="s">
        <v>38</v>
      </c>
      <c r="Y359" t="s">
        <v>77</v>
      </c>
    </row>
    <row r="360" spans="1:25" x14ac:dyDescent="0.35">
      <c r="A360">
        <v>1055</v>
      </c>
      <c r="B360" t="s">
        <v>180</v>
      </c>
      <c r="C360" s="1">
        <v>44977</v>
      </c>
      <c r="D360" s="1">
        <v>45638</v>
      </c>
      <c r="E360">
        <v>21</v>
      </c>
      <c r="F360">
        <v>15.99</v>
      </c>
      <c r="G360">
        <f t="shared" si="5"/>
        <v>335.79</v>
      </c>
      <c r="H360">
        <v>140</v>
      </c>
      <c r="I360" t="s">
        <v>57</v>
      </c>
      <c r="J360">
        <v>5</v>
      </c>
      <c r="K360">
        <v>5</v>
      </c>
      <c r="L360" t="b">
        <v>1</v>
      </c>
      <c r="M360">
        <v>112</v>
      </c>
      <c r="N360">
        <v>30</v>
      </c>
      <c r="O360" t="s">
        <v>76</v>
      </c>
      <c r="P360" t="s">
        <v>51</v>
      </c>
      <c r="Q360" t="s">
        <v>29</v>
      </c>
      <c r="R360">
        <v>60</v>
      </c>
      <c r="S360">
        <v>3.1</v>
      </c>
      <c r="T360" t="b">
        <v>1</v>
      </c>
      <c r="U360" t="s">
        <v>30</v>
      </c>
      <c r="V360">
        <v>2440</v>
      </c>
      <c r="W360" t="s">
        <v>37</v>
      </c>
      <c r="X360" t="s">
        <v>32</v>
      </c>
      <c r="Y360" t="s">
        <v>39</v>
      </c>
    </row>
    <row r="361" spans="1:25" x14ac:dyDescent="0.35">
      <c r="A361">
        <v>7986</v>
      </c>
      <c r="B361" t="s">
        <v>126</v>
      </c>
      <c r="C361" s="1">
        <v>44949</v>
      </c>
      <c r="D361" s="1">
        <v>45636</v>
      </c>
      <c r="E361">
        <v>22</v>
      </c>
      <c r="F361">
        <v>15.99</v>
      </c>
      <c r="G361">
        <f t="shared" si="5"/>
        <v>351.78000000000003</v>
      </c>
      <c r="H361">
        <v>196</v>
      </c>
      <c r="I361" t="s">
        <v>64</v>
      </c>
      <c r="J361">
        <v>2</v>
      </c>
      <c r="K361">
        <v>2</v>
      </c>
      <c r="L361" t="b">
        <v>1</v>
      </c>
      <c r="M361">
        <v>102</v>
      </c>
      <c r="N361">
        <v>66</v>
      </c>
      <c r="O361" t="s">
        <v>61</v>
      </c>
      <c r="P361" t="s">
        <v>66</v>
      </c>
      <c r="Q361" t="s">
        <v>52</v>
      </c>
      <c r="R361">
        <v>11</v>
      </c>
      <c r="S361">
        <v>3.7</v>
      </c>
      <c r="T361" t="b">
        <v>0</v>
      </c>
      <c r="U361" t="s">
        <v>30</v>
      </c>
      <c r="V361">
        <v>2741</v>
      </c>
      <c r="W361" t="s">
        <v>67</v>
      </c>
      <c r="X361" t="s">
        <v>62</v>
      </c>
      <c r="Y361" t="s">
        <v>77</v>
      </c>
    </row>
    <row r="362" spans="1:25" x14ac:dyDescent="0.35">
      <c r="A362">
        <v>6170</v>
      </c>
      <c r="B362" t="s">
        <v>159</v>
      </c>
      <c r="C362" s="1">
        <v>45464</v>
      </c>
      <c r="D362" s="1">
        <v>45618</v>
      </c>
      <c r="E362">
        <v>5</v>
      </c>
      <c r="F362">
        <v>15.99</v>
      </c>
      <c r="G362">
        <f t="shared" si="5"/>
        <v>79.95</v>
      </c>
      <c r="H362">
        <v>298</v>
      </c>
      <c r="I362" t="s">
        <v>57</v>
      </c>
      <c r="J362">
        <v>5</v>
      </c>
      <c r="K362">
        <v>1</v>
      </c>
      <c r="L362" t="b">
        <v>1</v>
      </c>
      <c r="M362">
        <v>943</v>
      </c>
      <c r="N362">
        <v>187</v>
      </c>
      <c r="O362" t="s">
        <v>46</v>
      </c>
      <c r="P362" t="s">
        <v>66</v>
      </c>
      <c r="Q362" t="s">
        <v>52</v>
      </c>
      <c r="R362">
        <v>60</v>
      </c>
      <c r="S362">
        <v>3.7</v>
      </c>
      <c r="T362" t="b">
        <v>0</v>
      </c>
      <c r="U362" t="s">
        <v>30</v>
      </c>
      <c r="V362">
        <v>4338</v>
      </c>
      <c r="W362" t="s">
        <v>37</v>
      </c>
      <c r="X362" t="s">
        <v>62</v>
      </c>
      <c r="Y362" t="s">
        <v>33</v>
      </c>
    </row>
    <row r="363" spans="1:25" x14ac:dyDescent="0.35">
      <c r="A363">
        <v>7172</v>
      </c>
      <c r="B363" t="s">
        <v>266</v>
      </c>
      <c r="C363" s="1">
        <v>45116</v>
      </c>
      <c r="D363" s="1">
        <v>45618</v>
      </c>
      <c r="E363">
        <v>16</v>
      </c>
      <c r="F363">
        <v>11.99</v>
      </c>
      <c r="G363">
        <f t="shared" si="5"/>
        <v>191.84</v>
      </c>
      <c r="H363">
        <v>477</v>
      </c>
      <c r="I363" t="s">
        <v>48</v>
      </c>
      <c r="J363">
        <v>5</v>
      </c>
      <c r="K363">
        <v>4</v>
      </c>
      <c r="L363" t="b">
        <v>0</v>
      </c>
      <c r="M363">
        <v>426</v>
      </c>
      <c r="N363">
        <v>137</v>
      </c>
      <c r="O363" t="s">
        <v>76</v>
      </c>
      <c r="P363" t="s">
        <v>51</v>
      </c>
      <c r="Q363" t="s">
        <v>29</v>
      </c>
      <c r="R363">
        <v>31</v>
      </c>
      <c r="S363">
        <v>5</v>
      </c>
      <c r="T363" t="b">
        <v>0</v>
      </c>
      <c r="U363" t="s">
        <v>30</v>
      </c>
      <c r="V363">
        <v>2039</v>
      </c>
      <c r="W363" t="s">
        <v>53</v>
      </c>
      <c r="X363" t="s">
        <v>62</v>
      </c>
      <c r="Y363" t="s">
        <v>55</v>
      </c>
    </row>
    <row r="364" spans="1:25" x14ac:dyDescent="0.35">
      <c r="A364">
        <v>7408</v>
      </c>
      <c r="B364" t="s">
        <v>154</v>
      </c>
      <c r="C364" s="1">
        <v>44922</v>
      </c>
      <c r="D364" s="1">
        <v>45620</v>
      </c>
      <c r="E364">
        <v>22</v>
      </c>
      <c r="F364">
        <v>15.99</v>
      </c>
      <c r="G364">
        <f t="shared" si="5"/>
        <v>351.78000000000003</v>
      </c>
      <c r="H364">
        <v>308</v>
      </c>
      <c r="I364" t="s">
        <v>81</v>
      </c>
      <c r="J364">
        <v>1</v>
      </c>
      <c r="K364">
        <v>2</v>
      </c>
      <c r="L364" t="b">
        <v>1</v>
      </c>
      <c r="M364">
        <v>202</v>
      </c>
      <c r="N364">
        <v>12</v>
      </c>
      <c r="O364" t="s">
        <v>50</v>
      </c>
      <c r="P364" t="s">
        <v>66</v>
      </c>
      <c r="Q364" t="s">
        <v>52</v>
      </c>
      <c r="R364">
        <v>21</v>
      </c>
      <c r="S364">
        <v>4.5</v>
      </c>
      <c r="T364" t="b">
        <v>0</v>
      </c>
      <c r="U364" t="s">
        <v>30</v>
      </c>
      <c r="V364">
        <v>2097</v>
      </c>
      <c r="W364" t="s">
        <v>37</v>
      </c>
      <c r="X364" t="s">
        <v>38</v>
      </c>
      <c r="Y364" t="s">
        <v>55</v>
      </c>
    </row>
    <row r="365" spans="1:25" x14ac:dyDescent="0.35">
      <c r="A365">
        <v>7274</v>
      </c>
      <c r="B365" t="s">
        <v>197</v>
      </c>
      <c r="C365" s="1">
        <v>45028</v>
      </c>
      <c r="D365" s="1">
        <v>45632</v>
      </c>
      <c r="E365">
        <v>19</v>
      </c>
      <c r="F365">
        <v>11.99</v>
      </c>
      <c r="G365">
        <f t="shared" si="5"/>
        <v>227.81</v>
      </c>
      <c r="H365">
        <v>193</v>
      </c>
      <c r="I365" t="s">
        <v>48</v>
      </c>
      <c r="J365">
        <v>4</v>
      </c>
      <c r="K365">
        <v>4</v>
      </c>
      <c r="L365" t="b">
        <v>0</v>
      </c>
      <c r="M365">
        <v>364</v>
      </c>
      <c r="N365">
        <v>181</v>
      </c>
      <c r="O365" t="s">
        <v>76</v>
      </c>
      <c r="P365" t="s">
        <v>51</v>
      </c>
      <c r="Q365" t="s">
        <v>58</v>
      </c>
      <c r="R365">
        <v>51</v>
      </c>
      <c r="S365">
        <v>4.7</v>
      </c>
      <c r="T365" t="b">
        <v>0</v>
      </c>
      <c r="U365" t="s">
        <v>30</v>
      </c>
      <c r="V365">
        <v>2384</v>
      </c>
      <c r="W365" t="s">
        <v>37</v>
      </c>
      <c r="X365" t="s">
        <v>70</v>
      </c>
      <c r="Y365" t="s">
        <v>77</v>
      </c>
    </row>
    <row r="366" spans="1:25" x14ac:dyDescent="0.35">
      <c r="A366">
        <v>6001</v>
      </c>
      <c r="B366" t="s">
        <v>181</v>
      </c>
      <c r="C366" s="1">
        <v>45537</v>
      </c>
      <c r="D366" s="1">
        <v>45624</v>
      </c>
      <c r="E366">
        <v>2</v>
      </c>
      <c r="F366">
        <v>15.99</v>
      </c>
      <c r="G366">
        <f t="shared" si="5"/>
        <v>31.98</v>
      </c>
      <c r="H366">
        <v>420</v>
      </c>
      <c r="I366" t="s">
        <v>48</v>
      </c>
      <c r="J366">
        <v>3</v>
      </c>
      <c r="K366">
        <v>3</v>
      </c>
      <c r="L366" t="b">
        <v>1</v>
      </c>
      <c r="M366">
        <v>562</v>
      </c>
      <c r="N366">
        <v>67</v>
      </c>
      <c r="O366" t="s">
        <v>27</v>
      </c>
      <c r="P366" t="s">
        <v>42</v>
      </c>
      <c r="Q366" t="s">
        <v>58</v>
      </c>
      <c r="R366">
        <v>2</v>
      </c>
      <c r="S366">
        <v>3.2</v>
      </c>
      <c r="T366" t="b">
        <v>1</v>
      </c>
      <c r="U366" t="s">
        <v>30</v>
      </c>
      <c r="V366">
        <v>4159</v>
      </c>
      <c r="W366" t="s">
        <v>53</v>
      </c>
      <c r="X366" t="s">
        <v>62</v>
      </c>
      <c r="Y366" t="s">
        <v>39</v>
      </c>
    </row>
    <row r="367" spans="1:25" x14ac:dyDescent="0.35">
      <c r="A367">
        <v>9418</v>
      </c>
      <c r="B367" t="s">
        <v>267</v>
      </c>
      <c r="C367" s="1">
        <v>45494</v>
      </c>
      <c r="D367" s="1">
        <v>45622</v>
      </c>
      <c r="E367">
        <v>4</v>
      </c>
      <c r="F367">
        <v>7.99</v>
      </c>
      <c r="G367">
        <f t="shared" si="5"/>
        <v>31.96</v>
      </c>
      <c r="H367">
        <v>128</v>
      </c>
      <c r="I367" t="s">
        <v>26</v>
      </c>
      <c r="J367">
        <v>5</v>
      </c>
      <c r="K367">
        <v>6</v>
      </c>
      <c r="L367" t="b">
        <v>1</v>
      </c>
      <c r="M367">
        <v>481</v>
      </c>
      <c r="N367">
        <v>128</v>
      </c>
      <c r="O367" t="s">
        <v>50</v>
      </c>
      <c r="P367" t="s">
        <v>51</v>
      </c>
      <c r="Q367" t="s">
        <v>36</v>
      </c>
      <c r="R367">
        <v>89</v>
      </c>
      <c r="S367">
        <v>3.3</v>
      </c>
      <c r="T367" t="b">
        <v>1</v>
      </c>
      <c r="U367" t="s">
        <v>30</v>
      </c>
      <c r="V367">
        <v>2002</v>
      </c>
      <c r="W367" t="s">
        <v>67</v>
      </c>
      <c r="X367" t="s">
        <v>54</v>
      </c>
      <c r="Y367" t="s">
        <v>55</v>
      </c>
    </row>
    <row r="368" spans="1:25" x14ac:dyDescent="0.35">
      <c r="A368">
        <v>9354</v>
      </c>
      <c r="B368" t="s">
        <v>263</v>
      </c>
      <c r="C368" s="1">
        <v>45128</v>
      </c>
      <c r="D368" s="1">
        <v>45626</v>
      </c>
      <c r="E368">
        <v>16</v>
      </c>
      <c r="F368">
        <v>11.99</v>
      </c>
      <c r="G368">
        <f t="shared" si="5"/>
        <v>191.84</v>
      </c>
      <c r="H368">
        <v>133</v>
      </c>
      <c r="I368" t="s">
        <v>26</v>
      </c>
      <c r="J368">
        <v>4</v>
      </c>
      <c r="K368">
        <v>6</v>
      </c>
      <c r="L368" t="b">
        <v>0</v>
      </c>
      <c r="M368">
        <v>469</v>
      </c>
      <c r="N368">
        <v>182</v>
      </c>
      <c r="O368" t="s">
        <v>61</v>
      </c>
      <c r="P368" t="s">
        <v>28</v>
      </c>
      <c r="Q368" t="s">
        <v>58</v>
      </c>
      <c r="R368">
        <v>85</v>
      </c>
      <c r="S368">
        <v>4.4000000000000004</v>
      </c>
      <c r="T368" t="b">
        <v>0</v>
      </c>
      <c r="U368" t="s">
        <v>30</v>
      </c>
      <c r="V368">
        <v>782</v>
      </c>
      <c r="W368" t="s">
        <v>67</v>
      </c>
      <c r="X368" t="s">
        <v>32</v>
      </c>
      <c r="Y368" t="s">
        <v>77</v>
      </c>
    </row>
    <row r="369" spans="1:25" x14ac:dyDescent="0.35">
      <c r="A369">
        <v>8122</v>
      </c>
      <c r="B369" t="s">
        <v>268</v>
      </c>
      <c r="C369" s="1">
        <v>45546</v>
      </c>
      <c r="D369" s="1">
        <v>45625</v>
      </c>
      <c r="E369">
        <v>2</v>
      </c>
      <c r="F369">
        <v>15.99</v>
      </c>
      <c r="G369">
        <f t="shared" si="5"/>
        <v>31.98</v>
      </c>
      <c r="H369">
        <v>413</v>
      </c>
      <c r="I369" t="s">
        <v>45</v>
      </c>
      <c r="J369">
        <v>5</v>
      </c>
      <c r="K369">
        <v>2</v>
      </c>
      <c r="L369" t="b">
        <v>0</v>
      </c>
      <c r="M369">
        <v>708</v>
      </c>
      <c r="N369">
        <v>4</v>
      </c>
      <c r="O369" t="s">
        <v>46</v>
      </c>
      <c r="P369" t="s">
        <v>51</v>
      </c>
      <c r="Q369" t="s">
        <v>69</v>
      </c>
      <c r="R369">
        <v>62</v>
      </c>
      <c r="S369">
        <v>4.3</v>
      </c>
      <c r="T369" t="b">
        <v>1</v>
      </c>
      <c r="U369" t="s">
        <v>30</v>
      </c>
      <c r="V369">
        <v>4056</v>
      </c>
      <c r="W369" t="s">
        <v>31</v>
      </c>
      <c r="X369" t="s">
        <v>70</v>
      </c>
      <c r="Y369" t="s">
        <v>39</v>
      </c>
    </row>
    <row r="370" spans="1:25" x14ac:dyDescent="0.35">
      <c r="A370">
        <v>1765</v>
      </c>
      <c r="B370" t="s">
        <v>269</v>
      </c>
      <c r="C370" s="1">
        <v>45551</v>
      </c>
      <c r="D370" s="1">
        <v>45620</v>
      </c>
      <c r="E370">
        <v>2</v>
      </c>
      <c r="F370">
        <v>11.99</v>
      </c>
      <c r="G370">
        <f t="shared" si="5"/>
        <v>23.98</v>
      </c>
      <c r="H370">
        <v>28</v>
      </c>
      <c r="I370" t="s">
        <v>48</v>
      </c>
      <c r="J370">
        <v>4</v>
      </c>
      <c r="K370">
        <v>1</v>
      </c>
      <c r="L370" t="b">
        <v>1</v>
      </c>
      <c r="M370">
        <v>990</v>
      </c>
      <c r="N370">
        <v>88</v>
      </c>
      <c r="O370" t="s">
        <v>46</v>
      </c>
      <c r="P370" t="s">
        <v>51</v>
      </c>
      <c r="Q370" t="s">
        <v>69</v>
      </c>
      <c r="R370">
        <v>97</v>
      </c>
      <c r="S370">
        <v>5</v>
      </c>
      <c r="T370" t="b">
        <v>0</v>
      </c>
      <c r="U370" t="s">
        <v>30</v>
      </c>
      <c r="V370">
        <v>1341</v>
      </c>
      <c r="W370" t="s">
        <v>67</v>
      </c>
      <c r="X370" t="s">
        <v>32</v>
      </c>
      <c r="Y370" t="s">
        <v>33</v>
      </c>
    </row>
    <row r="371" spans="1:25" x14ac:dyDescent="0.35">
      <c r="A371">
        <v>5352</v>
      </c>
      <c r="B371" t="s">
        <v>189</v>
      </c>
      <c r="C371" s="1">
        <v>45307</v>
      </c>
      <c r="D371" s="1">
        <v>45640</v>
      </c>
      <c r="E371">
        <v>10</v>
      </c>
      <c r="F371">
        <v>15.99</v>
      </c>
      <c r="G371">
        <f t="shared" si="5"/>
        <v>159.9</v>
      </c>
      <c r="H371">
        <v>453</v>
      </c>
      <c r="I371" t="s">
        <v>35</v>
      </c>
      <c r="J371">
        <v>5</v>
      </c>
      <c r="K371">
        <v>3</v>
      </c>
      <c r="L371" t="b">
        <v>1</v>
      </c>
      <c r="M371">
        <v>236</v>
      </c>
      <c r="N371">
        <v>121</v>
      </c>
      <c r="O371" t="s">
        <v>27</v>
      </c>
      <c r="P371" t="s">
        <v>66</v>
      </c>
      <c r="Q371" t="s">
        <v>43</v>
      </c>
      <c r="R371">
        <v>1</v>
      </c>
      <c r="S371">
        <v>3.7</v>
      </c>
      <c r="T371" t="b">
        <v>0</v>
      </c>
      <c r="U371" t="s">
        <v>30</v>
      </c>
      <c r="V371">
        <v>3028</v>
      </c>
      <c r="W371" t="s">
        <v>37</v>
      </c>
      <c r="X371" t="s">
        <v>70</v>
      </c>
      <c r="Y371" t="s">
        <v>55</v>
      </c>
    </row>
    <row r="372" spans="1:25" x14ac:dyDescent="0.35">
      <c r="A372">
        <v>7578</v>
      </c>
      <c r="B372" t="s">
        <v>96</v>
      </c>
      <c r="C372" s="1">
        <v>45202</v>
      </c>
      <c r="D372" s="1">
        <v>45629</v>
      </c>
      <c r="E372">
        <v>14</v>
      </c>
      <c r="F372">
        <v>11.99</v>
      </c>
      <c r="G372">
        <f t="shared" si="5"/>
        <v>167.86</v>
      </c>
      <c r="H372">
        <v>186</v>
      </c>
      <c r="I372" t="s">
        <v>35</v>
      </c>
      <c r="J372">
        <v>2</v>
      </c>
      <c r="K372">
        <v>5</v>
      </c>
      <c r="L372" t="b">
        <v>1</v>
      </c>
      <c r="M372">
        <v>784</v>
      </c>
      <c r="N372">
        <v>29</v>
      </c>
      <c r="O372" t="s">
        <v>27</v>
      </c>
      <c r="P372" t="s">
        <v>42</v>
      </c>
      <c r="Q372" t="s">
        <v>36</v>
      </c>
      <c r="R372">
        <v>76</v>
      </c>
      <c r="S372">
        <v>4.3</v>
      </c>
      <c r="T372" t="b">
        <v>1</v>
      </c>
      <c r="U372" t="s">
        <v>30</v>
      </c>
      <c r="V372">
        <v>4799</v>
      </c>
      <c r="W372" t="s">
        <v>37</v>
      </c>
      <c r="X372" t="s">
        <v>54</v>
      </c>
      <c r="Y372" t="s">
        <v>55</v>
      </c>
    </row>
    <row r="373" spans="1:25" x14ac:dyDescent="0.35">
      <c r="A373">
        <v>8912</v>
      </c>
      <c r="B373" t="s">
        <v>116</v>
      </c>
      <c r="C373" s="1">
        <v>45540</v>
      </c>
      <c r="D373" s="1">
        <v>45617</v>
      </c>
      <c r="E373">
        <v>2</v>
      </c>
      <c r="F373">
        <v>15.99</v>
      </c>
      <c r="G373">
        <f t="shared" si="5"/>
        <v>31.98</v>
      </c>
      <c r="H373">
        <v>287</v>
      </c>
      <c r="I373" t="s">
        <v>81</v>
      </c>
      <c r="J373">
        <v>3</v>
      </c>
      <c r="K373">
        <v>6</v>
      </c>
      <c r="L373" t="b">
        <v>0</v>
      </c>
      <c r="M373">
        <v>714</v>
      </c>
      <c r="N373">
        <v>3</v>
      </c>
      <c r="O373" t="s">
        <v>50</v>
      </c>
      <c r="P373" t="s">
        <v>42</v>
      </c>
      <c r="Q373" t="s">
        <v>43</v>
      </c>
      <c r="R373">
        <v>45</v>
      </c>
      <c r="S373">
        <v>4.3</v>
      </c>
      <c r="T373" t="b">
        <v>1</v>
      </c>
      <c r="U373" t="s">
        <v>30</v>
      </c>
      <c r="V373">
        <v>4556</v>
      </c>
      <c r="W373" t="s">
        <v>67</v>
      </c>
      <c r="X373" t="s">
        <v>62</v>
      </c>
      <c r="Y373" t="s">
        <v>55</v>
      </c>
    </row>
    <row r="374" spans="1:25" x14ac:dyDescent="0.35">
      <c r="A374">
        <v>6641</v>
      </c>
      <c r="B374" t="s">
        <v>102</v>
      </c>
      <c r="C374" s="1">
        <v>45493</v>
      </c>
      <c r="D374" s="1">
        <v>45634</v>
      </c>
      <c r="E374">
        <v>4</v>
      </c>
      <c r="F374">
        <v>7.99</v>
      </c>
      <c r="G374">
        <f t="shared" si="5"/>
        <v>31.96</v>
      </c>
      <c r="H374">
        <v>45</v>
      </c>
      <c r="I374" t="s">
        <v>57</v>
      </c>
      <c r="J374">
        <v>4</v>
      </c>
      <c r="K374">
        <v>3</v>
      </c>
      <c r="L374" t="b">
        <v>0</v>
      </c>
      <c r="M374">
        <v>420</v>
      </c>
      <c r="N374">
        <v>87</v>
      </c>
      <c r="O374" t="s">
        <v>46</v>
      </c>
      <c r="P374" t="s">
        <v>66</v>
      </c>
      <c r="Q374" t="s">
        <v>43</v>
      </c>
      <c r="R374">
        <v>41</v>
      </c>
      <c r="S374">
        <v>3.3</v>
      </c>
      <c r="T374" t="b">
        <v>1</v>
      </c>
      <c r="U374" t="s">
        <v>30</v>
      </c>
      <c r="V374">
        <v>2965</v>
      </c>
      <c r="W374" t="s">
        <v>59</v>
      </c>
      <c r="X374" t="s">
        <v>70</v>
      </c>
      <c r="Y374" t="s">
        <v>39</v>
      </c>
    </row>
    <row r="375" spans="1:25" x14ac:dyDescent="0.35">
      <c r="A375">
        <v>9664</v>
      </c>
      <c r="B375" t="s">
        <v>270</v>
      </c>
      <c r="C375" s="1">
        <v>45118</v>
      </c>
      <c r="D375" s="1">
        <v>45618</v>
      </c>
      <c r="E375">
        <v>16</v>
      </c>
      <c r="F375">
        <v>11.99</v>
      </c>
      <c r="G375">
        <f t="shared" si="5"/>
        <v>191.84</v>
      </c>
      <c r="H375">
        <v>463</v>
      </c>
      <c r="I375" t="s">
        <v>64</v>
      </c>
      <c r="J375">
        <v>5</v>
      </c>
      <c r="K375">
        <v>4</v>
      </c>
      <c r="L375" t="b">
        <v>0</v>
      </c>
      <c r="M375">
        <v>961</v>
      </c>
      <c r="N375">
        <v>9</v>
      </c>
      <c r="O375" t="s">
        <v>46</v>
      </c>
      <c r="P375" t="s">
        <v>66</v>
      </c>
      <c r="Q375" t="s">
        <v>52</v>
      </c>
      <c r="R375">
        <v>62</v>
      </c>
      <c r="S375">
        <v>3.4</v>
      </c>
      <c r="T375" t="b">
        <v>1</v>
      </c>
      <c r="U375" t="s">
        <v>30</v>
      </c>
      <c r="V375">
        <v>3556</v>
      </c>
      <c r="W375" t="s">
        <v>59</v>
      </c>
      <c r="X375" t="s">
        <v>54</v>
      </c>
      <c r="Y375" t="s">
        <v>39</v>
      </c>
    </row>
    <row r="376" spans="1:25" x14ac:dyDescent="0.35">
      <c r="A376">
        <v>9134</v>
      </c>
      <c r="B376" t="s">
        <v>96</v>
      </c>
      <c r="C376" s="1">
        <v>44952</v>
      </c>
      <c r="D376" s="1">
        <v>45615</v>
      </c>
      <c r="E376">
        <v>21</v>
      </c>
      <c r="F376">
        <v>15.99</v>
      </c>
      <c r="G376">
        <f t="shared" si="5"/>
        <v>335.79</v>
      </c>
      <c r="H376">
        <v>241</v>
      </c>
      <c r="I376" t="s">
        <v>45</v>
      </c>
      <c r="J376">
        <v>1</v>
      </c>
      <c r="K376">
        <v>5</v>
      </c>
      <c r="L376" t="b">
        <v>1</v>
      </c>
      <c r="M376">
        <v>775</v>
      </c>
      <c r="N376">
        <v>194</v>
      </c>
      <c r="O376" t="s">
        <v>76</v>
      </c>
      <c r="P376" t="s">
        <v>42</v>
      </c>
      <c r="Q376" t="s">
        <v>29</v>
      </c>
      <c r="R376">
        <v>94</v>
      </c>
      <c r="S376">
        <v>3.1</v>
      </c>
      <c r="T376" t="b">
        <v>0</v>
      </c>
      <c r="U376" t="s">
        <v>30</v>
      </c>
      <c r="V376">
        <v>2901</v>
      </c>
      <c r="W376" t="s">
        <v>59</v>
      </c>
      <c r="X376" t="s">
        <v>70</v>
      </c>
      <c r="Y376" t="s">
        <v>55</v>
      </c>
    </row>
    <row r="377" spans="1:25" x14ac:dyDescent="0.35">
      <c r="A377">
        <v>6663</v>
      </c>
      <c r="B377" t="s">
        <v>126</v>
      </c>
      <c r="C377" s="1">
        <v>45431</v>
      </c>
      <c r="D377" s="1">
        <v>45633</v>
      </c>
      <c r="E377">
        <v>6</v>
      </c>
      <c r="F377">
        <v>7.99</v>
      </c>
      <c r="G377">
        <f t="shared" si="5"/>
        <v>47.94</v>
      </c>
      <c r="H377">
        <v>11</v>
      </c>
      <c r="I377" t="s">
        <v>48</v>
      </c>
      <c r="J377">
        <v>4</v>
      </c>
      <c r="K377">
        <v>1</v>
      </c>
      <c r="L377" t="b">
        <v>1</v>
      </c>
      <c r="M377">
        <v>773</v>
      </c>
      <c r="N377">
        <v>139</v>
      </c>
      <c r="O377" t="s">
        <v>65</v>
      </c>
      <c r="P377" t="s">
        <v>42</v>
      </c>
      <c r="Q377" t="s">
        <v>36</v>
      </c>
      <c r="R377">
        <v>45</v>
      </c>
      <c r="S377">
        <v>4.0999999999999996</v>
      </c>
      <c r="T377" t="b">
        <v>0</v>
      </c>
      <c r="U377" t="s">
        <v>30</v>
      </c>
      <c r="V377">
        <v>3520</v>
      </c>
      <c r="W377" t="s">
        <v>67</v>
      </c>
      <c r="X377" t="s">
        <v>70</v>
      </c>
      <c r="Y377" t="s">
        <v>39</v>
      </c>
    </row>
    <row r="378" spans="1:25" x14ac:dyDescent="0.35">
      <c r="A378">
        <v>9800</v>
      </c>
      <c r="B378" t="s">
        <v>271</v>
      </c>
      <c r="C378" s="1">
        <v>44926</v>
      </c>
      <c r="D378" s="1">
        <v>45631</v>
      </c>
      <c r="E378">
        <v>23</v>
      </c>
      <c r="F378">
        <v>15.99</v>
      </c>
      <c r="G378">
        <f t="shared" si="5"/>
        <v>367.77</v>
      </c>
      <c r="H378">
        <v>123</v>
      </c>
      <c r="I378" t="s">
        <v>57</v>
      </c>
      <c r="J378">
        <v>1</v>
      </c>
      <c r="K378">
        <v>1</v>
      </c>
      <c r="L378" t="b">
        <v>1</v>
      </c>
      <c r="M378">
        <v>841</v>
      </c>
      <c r="N378">
        <v>45</v>
      </c>
      <c r="O378" t="s">
        <v>46</v>
      </c>
      <c r="P378" t="s">
        <v>28</v>
      </c>
      <c r="Q378" t="s">
        <v>29</v>
      </c>
      <c r="R378">
        <v>76</v>
      </c>
      <c r="S378">
        <v>4.3</v>
      </c>
      <c r="T378" t="b">
        <v>1</v>
      </c>
      <c r="U378" t="s">
        <v>30</v>
      </c>
      <c r="V378">
        <v>3983</v>
      </c>
      <c r="W378" t="s">
        <v>31</v>
      </c>
      <c r="X378" t="s">
        <v>32</v>
      </c>
      <c r="Y378" t="s">
        <v>33</v>
      </c>
    </row>
    <row r="379" spans="1:25" x14ac:dyDescent="0.35">
      <c r="A379">
        <v>2363</v>
      </c>
      <c r="B379" t="s">
        <v>250</v>
      </c>
      <c r="C379" s="1">
        <v>45067</v>
      </c>
      <c r="D379" s="1">
        <v>45627</v>
      </c>
      <c r="E379">
        <v>18</v>
      </c>
      <c r="F379">
        <v>7.99</v>
      </c>
      <c r="G379">
        <f t="shared" si="5"/>
        <v>143.82</v>
      </c>
      <c r="H379">
        <v>411</v>
      </c>
      <c r="I379" t="s">
        <v>48</v>
      </c>
      <c r="J379">
        <v>3</v>
      </c>
      <c r="K379">
        <v>2</v>
      </c>
      <c r="L379" t="b">
        <v>1</v>
      </c>
      <c r="M379">
        <v>412</v>
      </c>
      <c r="N379">
        <v>20</v>
      </c>
      <c r="O379" t="s">
        <v>61</v>
      </c>
      <c r="P379" t="s">
        <v>28</v>
      </c>
      <c r="Q379" t="s">
        <v>52</v>
      </c>
      <c r="R379">
        <v>94</v>
      </c>
      <c r="S379">
        <v>4.7</v>
      </c>
      <c r="T379" t="b">
        <v>1</v>
      </c>
      <c r="U379" t="s">
        <v>30</v>
      </c>
      <c r="V379">
        <v>4632</v>
      </c>
      <c r="W379" t="s">
        <v>31</v>
      </c>
      <c r="X379" t="s">
        <v>38</v>
      </c>
      <c r="Y379" t="s">
        <v>39</v>
      </c>
    </row>
    <row r="380" spans="1:25" x14ac:dyDescent="0.35">
      <c r="A380">
        <v>4875</v>
      </c>
      <c r="B380" t="s">
        <v>178</v>
      </c>
      <c r="C380" s="1">
        <v>45403</v>
      </c>
      <c r="D380" s="1">
        <v>45619</v>
      </c>
      <c r="E380">
        <v>7</v>
      </c>
      <c r="F380">
        <v>7.99</v>
      </c>
      <c r="G380">
        <f t="shared" si="5"/>
        <v>55.93</v>
      </c>
      <c r="H380">
        <v>469</v>
      </c>
      <c r="I380" t="s">
        <v>64</v>
      </c>
      <c r="J380">
        <v>2</v>
      </c>
      <c r="K380">
        <v>1</v>
      </c>
      <c r="L380" t="b">
        <v>0</v>
      </c>
      <c r="M380">
        <v>160</v>
      </c>
      <c r="N380">
        <v>79</v>
      </c>
      <c r="O380" t="s">
        <v>65</v>
      </c>
      <c r="P380" t="s">
        <v>42</v>
      </c>
      <c r="Q380" t="s">
        <v>69</v>
      </c>
      <c r="R380">
        <v>57</v>
      </c>
      <c r="S380">
        <v>4.5</v>
      </c>
      <c r="T380" t="b">
        <v>1</v>
      </c>
      <c r="U380" t="s">
        <v>30</v>
      </c>
      <c r="V380">
        <v>314</v>
      </c>
      <c r="W380" t="s">
        <v>31</v>
      </c>
      <c r="X380" t="s">
        <v>38</v>
      </c>
      <c r="Y380" t="s">
        <v>33</v>
      </c>
    </row>
    <row r="381" spans="1:25" x14ac:dyDescent="0.35">
      <c r="A381">
        <v>8961</v>
      </c>
      <c r="B381" t="s">
        <v>100</v>
      </c>
      <c r="C381" s="1">
        <v>45116</v>
      </c>
      <c r="D381" s="1">
        <v>45633</v>
      </c>
      <c r="E381">
        <v>16</v>
      </c>
      <c r="F381">
        <v>11.99</v>
      </c>
      <c r="G381">
        <f t="shared" si="5"/>
        <v>191.84</v>
      </c>
      <c r="H381">
        <v>120</v>
      </c>
      <c r="I381" t="s">
        <v>57</v>
      </c>
      <c r="J381">
        <v>3</v>
      </c>
      <c r="K381">
        <v>6</v>
      </c>
      <c r="L381" t="b">
        <v>0</v>
      </c>
      <c r="M381">
        <v>346</v>
      </c>
      <c r="N381">
        <v>125</v>
      </c>
      <c r="O381" t="s">
        <v>27</v>
      </c>
      <c r="P381" t="s">
        <v>66</v>
      </c>
      <c r="Q381" t="s">
        <v>36</v>
      </c>
      <c r="R381">
        <v>25</v>
      </c>
      <c r="S381">
        <v>4.0999999999999996</v>
      </c>
      <c r="T381" t="b">
        <v>0</v>
      </c>
      <c r="U381" t="s">
        <v>30</v>
      </c>
      <c r="V381">
        <v>4012</v>
      </c>
      <c r="W381" t="s">
        <v>37</v>
      </c>
      <c r="X381" t="s">
        <v>38</v>
      </c>
      <c r="Y381" t="s">
        <v>55</v>
      </c>
    </row>
    <row r="382" spans="1:25" x14ac:dyDescent="0.35">
      <c r="A382">
        <v>1539</v>
      </c>
      <c r="B382" t="s">
        <v>68</v>
      </c>
      <c r="C382" s="1">
        <v>45533</v>
      </c>
      <c r="D382" s="1">
        <v>45625</v>
      </c>
      <c r="E382">
        <v>3</v>
      </c>
      <c r="F382">
        <v>15.99</v>
      </c>
      <c r="G382">
        <f t="shared" si="5"/>
        <v>47.97</v>
      </c>
      <c r="H382">
        <v>348</v>
      </c>
      <c r="I382" t="s">
        <v>35</v>
      </c>
      <c r="J382">
        <v>1</v>
      </c>
      <c r="K382">
        <v>5</v>
      </c>
      <c r="L382" t="b">
        <v>1</v>
      </c>
      <c r="M382">
        <v>266</v>
      </c>
      <c r="N382">
        <v>94</v>
      </c>
      <c r="O382" t="s">
        <v>61</v>
      </c>
      <c r="P382" t="s">
        <v>42</v>
      </c>
      <c r="Q382" t="s">
        <v>58</v>
      </c>
      <c r="R382">
        <v>82</v>
      </c>
      <c r="S382">
        <v>4.3</v>
      </c>
      <c r="T382" t="b">
        <v>1</v>
      </c>
      <c r="U382" t="s">
        <v>30</v>
      </c>
      <c r="V382">
        <v>2356</v>
      </c>
      <c r="W382" t="s">
        <v>59</v>
      </c>
      <c r="X382" t="s">
        <v>62</v>
      </c>
      <c r="Y382" t="s">
        <v>55</v>
      </c>
    </row>
    <row r="383" spans="1:25" x14ac:dyDescent="0.35">
      <c r="A383">
        <v>4037</v>
      </c>
      <c r="B383" t="s">
        <v>248</v>
      </c>
      <c r="C383" s="1">
        <v>45260</v>
      </c>
      <c r="D383" s="1">
        <v>45640</v>
      </c>
      <c r="E383">
        <v>12</v>
      </c>
      <c r="F383">
        <v>11.99</v>
      </c>
      <c r="G383">
        <f t="shared" si="5"/>
        <v>143.88</v>
      </c>
      <c r="H383">
        <v>103</v>
      </c>
      <c r="I383" t="s">
        <v>81</v>
      </c>
      <c r="J383">
        <v>4</v>
      </c>
      <c r="K383">
        <v>4</v>
      </c>
      <c r="L383" t="b">
        <v>0</v>
      </c>
      <c r="M383">
        <v>305</v>
      </c>
      <c r="N383">
        <v>191</v>
      </c>
      <c r="O383" t="s">
        <v>41</v>
      </c>
      <c r="P383" t="s">
        <v>28</v>
      </c>
      <c r="Q383" t="s">
        <v>69</v>
      </c>
      <c r="R383">
        <v>98</v>
      </c>
      <c r="S383">
        <v>4.7</v>
      </c>
      <c r="T383" t="b">
        <v>1</v>
      </c>
      <c r="U383" t="s">
        <v>30</v>
      </c>
      <c r="V383">
        <v>1824</v>
      </c>
      <c r="W383" t="s">
        <v>67</v>
      </c>
      <c r="X383" t="s">
        <v>54</v>
      </c>
      <c r="Y383" t="s">
        <v>77</v>
      </c>
    </row>
    <row r="384" spans="1:25" x14ac:dyDescent="0.35">
      <c r="A384">
        <v>4239</v>
      </c>
      <c r="B384" t="s">
        <v>178</v>
      </c>
      <c r="C384" s="1">
        <v>45614</v>
      </c>
      <c r="D384" s="1">
        <v>45619</v>
      </c>
      <c r="E384">
        <v>0</v>
      </c>
      <c r="F384">
        <v>7.99</v>
      </c>
      <c r="G384">
        <f t="shared" si="5"/>
        <v>0</v>
      </c>
      <c r="H384">
        <v>470</v>
      </c>
      <c r="I384" t="s">
        <v>64</v>
      </c>
      <c r="J384">
        <v>2</v>
      </c>
      <c r="K384">
        <v>3</v>
      </c>
      <c r="L384" t="b">
        <v>0</v>
      </c>
      <c r="M384">
        <v>89</v>
      </c>
      <c r="N384">
        <v>135</v>
      </c>
      <c r="O384" t="s">
        <v>50</v>
      </c>
      <c r="P384" t="s">
        <v>42</v>
      </c>
      <c r="Q384" t="s">
        <v>43</v>
      </c>
      <c r="R384">
        <v>45</v>
      </c>
      <c r="S384">
        <v>4.5</v>
      </c>
      <c r="T384" t="b">
        <v>0</v>
      </c>
      <c r="U384" t="s">
        <v>30</v>
      </c>
      <c r="V384">
        <v>4236</v>
      </c>
      <c r="W384" t="s">
        <v>31</v>
      </c>
      <c r="X384" t="s">
        <v>54</v>
      </c>
      <c r="Y384" t="s">
        <v>55</v>
      </c>
    </row>
    <row r="385" spans="1:25" x14ac:dyDescent="0.35">
      <c r="A385">
        <v>4364</v>
      </c>
      <c r="B385" t="s">
        <v>221</v>
      </c>
      <c r="C385" s="1">
        <v>45592</v>
      </c>
      <c r="D385" s="1">
        <v>45627</v>
      </c>
      <c r="E385">
        <v>1</v>
      </c>
      <c r="F385">
        <v>7.99</v>
      </c>
      <c r="G385">
        <f t="shared" si="5"/>
        <v>7.99</v>
      </c>
      <c r="H385">
        <v>241</v>
      </c>
      <c r="I385" t="s">
        <v>81</v>
      </c>
      <c r="J385">
        <v>3</v>
      </c>
      <c r="K385">
        <v>6</v>
      </c>
      <c r="L385" t="b">
        <v>0</v>
      </c>
      <c r="M385">
        <v>905</v>
      </c>
      <c r="N385">
        <v>127</v>
      </c>
      <c r="O385" t="s">
        <v>50</v>
      </c>
      <c r="P385" t="s">
        <v>28</v>
      </c>
      <c r="Q385" t="s">
        <v>52</v>
      </c>
      <c r="R385">
        <v>93</v>
      </c>
      <c r="S385">
        <v>4</v>
      </c>
      <c r="T385" t="b">
        <v>0</v>
      </c>
      <c r="U385" t="s">
        <v>30</v>
      </c>
      <c r="V385">
        <v>2102</v>
      </c>
      <c r="W385" t="s">
        <v>37</v>
      </c>
      <c r="X385" t="s">
        <v>32</v>
      </c>
      <c r="Y385" t="s">
        <v>55</v>
      </c>
    </row>
    <row r="386" spans="1:25" x14ac:dyDescent="0.35">
      <c r="A386">
        <v>8946</v>
      </c>
      <c r="B386" t="s">
        <v>272</v>
      </c>
      <c r="C386" s="1">
        <v>45430</v>
      </c>
      <c r="D386" s="1">
        <v>45640</v>
      </c>
      <c r="E386">
        <v>6</v>
      </c>
      <c r="F386">
        <v>15.99</v>
      </c>
      <c r="G386">
        <f t="shared" si="5"/>
        <v>95.94</v>
      </c>
      <c r="H386">
        <v>277</v>
      </c>
      <c r="I386" t="s">
        <v>81</v>
      </c>
      <c r="J386">
        <v>3</v>
      </c>
      <c r="K386">
        <v>5</v>
      </c>
      <c r="L386" t="b">
        <v>0</v>
      </c>
      <c r="M386">
        <v>959</v>
      </c>
      <c r="N386">
        <v>174</v>
      </c>
      <c r="O386" t="s">
        <v>27</v>
      </c>
      <c r="P386" t="s">
        <v>28</v>
      </c>
      <c r="Q386" t="s">
        <v>69</v>
      </c>
      <c r="R386">
        <v>51</v>
      </c>
      <c r="S386">
        <v>3.4</v>
      </c>
      <c r="T386" t="b">
        <v>1</v>
      </c>
      <c r="U386" t="s">
        <v>30</v>
      </c>
      <c r="V386">
        <v>1876</v>
      </c>
      <c r="W386" t="s">
        <v>31</v>
      </c>
      <c r="X386" t="s">
        <v>38</v>
      </c>
      <c r="Y386" t="s">
        <v>33</v>
      </c>
    </row>
    <row r="387" spans="1:25" x14ac:dyDescent="0.35">
      <c r="A387">
        <v>5911</v>
      </c>
      <c r="B387" t="s">
        <v>96</v>
      </c>
      <c r="C387" s="1">
        <v>45293</v>
      </c>
      <c r="D387" s="1">
        <v>45636</v>
      </c>
      <c r="E387">
        <v>11</v>
      </c>
      <c r="F387">
        <v>7.99</v>
      </c>
      <c r="G387">
        <f t="shared" ref="G387:G450" si="6">F387*E387</f>
        <v>87.89</v>
      </c>
      <c r="H387">
        <v>158</v>
      </c>
      <c r="I387" t="s">
        <v>81</v>
      </c>
      <c r="J387">
        <v>3</v>
      </c>
      <c r="K387">
        <v>1</v>
      </c>
      <c r="L387" t="b">
        <v>1</v>
      </c>
      <c r="M387">
        <v>426</v>
      </c>
      <c r="N387">
        <v>7</v>
      </c>
      <c r="O387" t="s">
        <v>76</v>
      </c>
      <c r="P387" t="s">
        <v>66</v>
      </c>
      <c r="Q387" t="s">
        <v>69</v>
      </c>
      <c r="R387">
        <v>36</v>
      </c>
      <c r="S387">
        <v>3.6</v>
      </c>
      <c r="T387" t="b">
        <v>0</v>
      </c>
      <c r="U387" t="s">
        <v>30</v>
      </c>
      <c r="V387">
        <v>242</v>
      </c>
      <c r="W387" t="s">
        <v>67</v>
      </c>
      <c r="X387" t="s">
        <v>70</v>
      </c>
      <c r="Y387" t="s">
        <v>55</v>
      </c>
    </row>
    <row r="388" spans="1:25" x14ac:dyDescent="0.35">
      <c r="A388">
        <v>8033</v>
      </c>
      <c r="B388" t="s">
        <v>235</v>
      </c>
      <c r="C388" s="1">
        <v>45309</v>
      </c>
      <c r="D388" s="1">
        <v>45624</v>
      </c>
      <c r="E388">
        <v>10</v>
      </c>
      <c r="F388">
        <v>15.99</v>
      </c>
      <c r="G388">
        <f t="shared" si="6"/>
        <v>159.9</v>
      </c>
      <c r="H388">
        <v>23</v>
      </c>
      <c r="I388" t="s">
        <v>81</v>
      </c>
      <c r="J388">
        <v>1</v>
      </c>
      <c r="K388">
        <v>1</v>
      </c>
      <c r="L388" t="b">
        <v>0</v>
      </c>
      <c r="M388">
        <v>585</v>
      </c>
      <c r="N388">
        <v>97</v>
      </c>
      <c r="O388" t="s">
        <v>61</v>
      </c>
      <c r="P388" t="s">
        <v>42</v>
      </c>
      <c r="Q388" t="s">
        <v>29</v>
      </c>
      <c r="R388">
        <v>23</v>
      </c>
      <c r="S388">
        <v>3.4</v>
      </c>
      <c r="T388" t="b">
        <v>1</v>
      </c>
      <c r="U388" t="s">
        <v>30</v>
      </c>
      <c r="V388">
        <v>4531</v>
      </c>
      <c r="W388" t="s">
        <v>67</v>
      </c>
      <c r="X388" t="s">
        <v>38</v>
      </c>
      <c r="Y388" t="s">
        <v>39</v>
      </c>
    </row>
    <row r="389" spans="1:25" x14ac:dyDescent="0.35">
      <c r="A389">
        <v>6603</v>
      </c>
      <c r="B389" t="s">
        <v>183</v>
      </c>
      <c r="C389" s="1">
        <v>45321</v>
      </c>
      <c r="D389" s="1">
        <v>45633</v>
      </c>
      <c r="E389">
        <v>10</v>
      </c>
      <c r="F389">
        <v>11.99</v>
      </c>
      <c r="G389">
        <f t="shared" si="6"/>
        <v>119.9</v>
      </c>
      <c r="H389">
        <v>200</v>
      </c>
      <c r="I389" t="s">
        <v>81</v>
      </c>
      <c r="J389">
        <v>4</v>
      </c>
      <c r="K389">
        <v>5</v>
      </c>
      <c r="L389" t="b">
        <v>0</v>
      </c>
      <c r="M389">
        <v>65</v>
      </c>
      <c r="N389">
        <v>11</v>
      </c>
      <c r="O389" t="s">
        <v>61</v>
      </c>
      <c r="P389" t="s">
        <v>66</v>
      </c>
      <c r="Q389" t="s">
        <v>69</v>
      </c>
      <c r="R389">
        <v>30</v>
      </c>
      <c r="S389">
        <v>3.2</v>
      </c>
      <c r="T389" t="b">
        <v>1</v>
      </c>
      <c r="U389" t="s">
        <v>30</v>
      </c>
      <c r="V389">
        <v>959</v>
      </c>
      <c r="W389" t="s">
        <v>37</v>
      </c>
      <c r="X389" t="s">
        <v>38</v>
      </c>
      <c r="Y389" t="s">
        <v>77</v>
      </c>
    </row>
    <row r="390" spans="1:25" x14ac:dyDescent="0.35">
      <c r="A390">
        <v>9630</v>
      </c>
      <c r="B390" t="s">
        <v>82</v>
      </c>
      <c r="C390" s="1">
        <v>45078</v>
      </c>
      <c r="D390" s="1">
        <v>45622</v>
      </c>
      <c r="E390">
        <v>17</v>
      </c>
      <c r="F390">
        <v>7.99</v>
      </c>
      <c r="G390">
        <f t="shared" si="6"/>
        <v>135.83000000000001</v>
      </c>
      <c r="H390">
        <v>264</v>
      </c>
      <c r="I390" t="s">
        <v>35</v>
      </c>
      <c r="J390">
        <v>5</v>
      </c>
      <c r="K390">
        <v>6</v>
      </c>
      <c r="L390" t="b">
        <v>0</v>
      </c>
      <c r="M390">
        <v>367</v>
      </c>
      <c r="N390">
        <v>163</v>
      </c>
      <c r="O390" t="s">
        <v>65</v>
      </c>
      <c r="P390" t="s">
        <v>66</v>
      </c>
      <c r="Q390" t="s">
        <v>69</v>
      </c>
      <c r="R390">
        <v>88</v>
      </c>
      <c r="S390">
        <v>3.5</v>
      </c>
      <c r="T390" t="b">
        <v>1</v>
      </c>
      <c r="U390" t="s">
        <v>30</v>
      </c>
      <c r="V390">
        <v>2156</v>
      </c>
      <c r="W390" t="s">
        <v>59</v>
      </c>
      <c r="X390" t="s">
        <v>62</v>
      </c>
      <c r="Y390" t="s">
        <v>33</v>
      </c>
    </row>
    <row r="391" spans="1:25" x14ac:dyDescent="0.35">
      <c r="A391">
        <v>1691</v>
      </c>
      <c r="B391" t="s">
        <v>106</v>
      </c>
      <c r="C391" s="1">
        <v>45173</v>
      </c>
      <c r="D391" s="1">
        <v>45633</v>
      </c>
      <c r="E391">
        <v>15</v>
      </c>
      <c r="F391">
        <v>11.99</v>
      </c>
      <c r="G391">
        <f t="shared" si="6"/>
        <v>179.85</v>
      </c>
      <c r="H391">
        <v>309</v>
      </c>
      <c r="I391" t="s">
        <v>45</v>
      </c>
      <c r="J391">
        <v>4</v>
      </c>
      <c r="K391">
        <v>4</v>
      </c>
      <c r="L391" t="b">
        <v>0</v>
      </c>
      <c r="M391">
        <v>891</v>
      </c>
      <c r="N391">
        <v>93</v>
      </c>
      <c r="O391" t="s">
        <v>41</v>
      </c>
      <c r="P391" t="s">
        <v>66</v>
      </c>
      <c r="Q391" t="s">
        <v>52</v>
      </c>
      <c r="R391">
        <v>65</v>
      </c>
      <c r="S391">
        <v>4</v>
      </c>
      <c r="T391" t="b">
        <v>1</v>
      </c>
      <c r="U391" t="s">
        <v>30</v>
      </c>
      <c r="V391">
        <v>1442</v>
      </c>
      <c r="W391" t="s">
        <v>53</v>
      </c>
      <c r="X391" t="s">
        <v>70</v>
      </c>
      <c r="Y391" t="s">
        <v>55</v>
      </c>
    </row>
    <row r="392" spans="1:25" x14ac:dyDescent="0.35">
      <c r="A392">
        <v>5590</v>
      </c>
      <c r="B392" t="s">
        <v>74</v>
      </c>
      <c r="C392" s="1">
        <v>45500</v>
      </c>
      <c r="D392" s="1">
        <v>45641</v>
      </c>
      <c r="E392">
        <v>4</v>
      </c>
      <c r="F392">
        <v>7.99</v>
      </c>
      <c r="G392">
        <f t="shared" si="6"/>
        <v>31.96</v>
      </c>
      <c r="H392">
        <v>30</v>
      </c>
      <c r="I392" t="s">
        <v>48</v>
      </c>
      <c r="J392">
        <v>2</v>
      </c>
      <c r="K392">
        <v>6</v>
      </c>
      <c r="L392" t="b">
        <v>0</v>
      </c>
      <c r="M392">
        <v>468</v>
      </c>
      <c r="N392">
        <v>196</v>
      </c>
      <c r="O392" t="s">
        <v>46</v>
      </c>
      <c r="P392" t="s">
        <v>28</v>
      </c>
      <c r="Q392" t="s">
        <v>29</v>
      </c>
      <c r="R392">
        <v>52</v>
      </c>
      <c r="S392">
        <v>4.5</v>
      </c>
      <c r="T392" t="b">
        <v>0</v>
      </c>
      <c r="U392" t="s">
        <v>30</v>
      </c>
      <c r="V392">
        <v>4586</v>
      </c>
      <c r="W392" t="s">
        <v>31</v>
      </c>
      <c r="X392" t="s">
        <v>54</v>
      </c>
      <c r="Y392" t="s">
        <v>77</v>
      </c>
    </row>
    <row r="393" spans="1:25" x14ac:dyDescent="0.35">
      <c r="A393">
        <v>8645</v>
      </c>
      <c r="B393" t="s">
        <v>169</v>
      </c>
      <c r="C393" s="1">
        <v>45399</v>
      </c>
      <c r="D393" s="1">
        <v>45625</v>
      </c>
      <c r="E393">
        <v>7</v>
      </c>
      <c r="F393">
        <v>11.99</v>
      </c>
      <c r="G393">
        <f t="shared" si="6"/>
        <v>83.93</v>
      </c>
      <c r="H393">
        <v>289</v>
      </c>
      <c r="I393" t="s">
        <v>45</v>
      </c>
      <c r="J393">
        <v>4</v>
      </c>
      <c r="K393">
        <v>3</v>
      </c>
      <c r="L393" t="b">
        <v>1</v>
      </c>
      <c r="M393">
        <v>999</v>
      </c>
      <c r="N393">
        <v>22</v>
      </c>
      <c r="O393" t="s">
        <v>27</v>
      </c>
      <c r="P393" t="s">
        <v>28</v>
      </c>
      <c r="Q393" t="s">
        <v>43</v>
      </c>
      <c r="R393">
        <v>50</v>
      </c>
      <c r="S393">
        <v>4.3</v>
      </c>
      <c r="T393" t="b">
        <v>1</v>
      </c>
      <c r="U393" t="s">
        <v>30</v>
      </c>
      <c r="V393">
        <v>4170</v>
      </c>
      <c r="W393" t="s">
        <v>53</v>
      </c>
      <c r="X393" t="s">
        <v>70</v>
      </c>
      <c r="Y393" t="s">
        <v>33</v>
      </c>
    </row>
    <row r="394" spans="1:25" x14ac:dyDescent="0.35">
      <c r="A394">
        <v>7663</v>
      </c>
      <c r="B394" t="s">
        <v>123</v>
      </c>
      <c r="C394" s="1">
        <v>45417</v>
      </c>
      <c r="D394" s="1">
        <v>45624</v>
      </c>
      <c r="E394">
        <v>6</v>
      </c>
      <c r="F394">
        <v>7.99</v>
      </c>
      <c r="G394">
        <f t="shared" si="6"/>
        <v>47.94</v>
      </c>
      <c r="H394">
        <v>432</v>
      </c>
      <c r="I394" t="s">
        <v>48</v>
      </c>
      <c r="J394">
        <v>5</v>
      </c>
      <c r="K394">
        <v>4</v>
      </c>
      <c r="L394" t="b">
        <v>1</v>
      </c>
      <c r="M394">
        <v>263</v>
      </c>
      <c r="N394">
        <v>55</v>
      </c>
      <c r="O394" t="s">
        <v>76</v>
      </c>
      <c r="P394" t="s">
        <v>51</v>
      </c>
      <c r="Q394" t="s">
        <v>58</v>
      </c>
      <c r="R394">
        <v>22</v>
      </c>
      <c r="S394">
        <v>3.5</v>
      </c>
      <c r="T394" t="b">
        <v>1</v>
      </c>
      <c r="U394" t="s">
        <v>30</v>
      </c>
      <c r="V394">
        <v>1294</v>
      </c>
      <c r="W394" t="s">
        <v>37</v>
      </c>
      <c r="X394" t="s">
        <v>62</v>
      </c>
      <c r="Y394" t="s">
        <v>55</v>
      </c>
    </row>
    <row r="395" spans="1:25" x14ac:dyDescent="0.35">
      <c r="A395">
        <v>2647</v>
      </c>
      <c r="B395" t="s">
        <v>148</v>
      </c>
      <c r="C395" s="1">
        <v>45496</v>
      </c>
      <c r="D395" s="1">
        <v>45643</v>
      </c>
      <c r="E395">
        <v>4</v>
      </c>
      <c r="F395">
        <v>7.99</v>
      </c>
      <c r="G395">
        <f t="shared" si="6"/>
        <v>31.96</v>
      </c>
      <c r="H395">
        <v>393</v>
      </c>
      <c r="I395" t="s">
        <v>57</v>
      </c>
      <c r="J395">
        <v>4</v>
      </c>
      <c r="K395">
        <v>2</v>
      </c>
      <c r="L395" t="b">
        <v>1</v>
      </c>
      <c r="M395">
        <v>487</v>
      </c>
      <c r="N395">
        <v>105</v>
      </c>
      <c r="O395" t="s">
        <v>41</v>
      </c>
      <c r="P395" t="s">
        <v>28</v>
      </c>
      <c r="Q395" t="s">
        <v>69</v>
      </c>
      <c r="R395">
        <v>99</v>
      </c>
      <c r="S395">
        <v>3.4</v>
      </c>
      <c r="T395" t="b">
        <v>0</v>
      </c>
      <c r="U395" t="s">
        <v>30</v>
      </c>
      <c r="V395">
        <v>2460</v>
      </c>
      <c r="W395" t="s">
        <v>67</v>
      </c>
      <c r="X395" t="s">
        <v>32</v>
      </c>
      <c r="Y395" t="s">
        <v>55</v>
      </c>
    </row>
    <row r="396" spans="1:25" x14ac:dyDescent="0.35">
      <c r="A396">
        <v>6539</v>
      </c>
      <c r="B396" t="s">
        <v>136</v>
      </c>
      <c r="C396" s="1">
        <v>45401</v>
      </c>
      <c r="D396" s="1">
        <v>45627</v>
      </c>
      <c r="E396">
        <v>7</v>
      </c>
      <c r="F396">
        <v>11.99</v>
      </c>
      <c r="G396">
        <f t="shared" si="6"/>
        <v>83.93</v>
      </c>
      <c r="H396">
        <v>203</v>
      </c>
      <c r="I396" t="s">
        <v>57</v>
      </c>
      <c r="J396">
        <v>1</v>
      </c>
      <c r="K396">
        <v>3</v>
      </c>
      <c r="L396" t="b">
        <v>0</v>
      </c>
      <c r="M396">
        <v>961</v>
      </c>
      <c r="N396">
        <v>41</v>
      </c>
      <c r="O396" t="s">
        <v>61</v>
      </c>
      <c r="P396" t="s">
        <v>42</v>
      </c>
      <c r="Q396" t="s">
        <v>36</v>
      </c>
      <c r="R396">
        <v>76</v>
      </c>
      <c r="S396">
        <v>4.2</v>
      </c>
      <c r="T396" t="b">
        <v>1</v>
      </c>
      <c r="U396" t="s">
        <v>30</v>
      </c>
      <c r="V396">
        <v>3276</v>
      </c>
      <c r="W396" t="s">
        <v>53</v>
      </c>
      <c r="X396" t="s">
        <v>70</v>
      </c>
      <c r="Y396" t="s">
        <v>33</v>
      </c>
    </row>
    <row r="397" spans="1:25" x14ac:dyDescent="0.35">
      <c r="A397">
        <v>3472</v>
      </c>
      <c r="B397" t="s">
        <v>110</v>
      </c>
      <c r="C397" s="1">
        <v>45188</v>
      </c>
      <c r="D397" s="1">
        <v>45619</v>
      </c>
      <c r="E397">
        <v>14</v>
      </c>
      <c r="F397">
        <v>7.99</v>
      </c>
      <c r="G397">
        <f t="shared" si="6"/>
        <v>111.86</v>
      </c>
      <c r="H397">
        <v>43</v>
      </c>
      <c r="I397" t="s">
        <v>64</v>
      </c>
      <c r="J397">
        <v>4</v>
      </c>
      <c r="K397">
        <v>1</v>
      </c>
      <c r="L397" t="b">
        <v>0</v>
      </c>
      <c r="M397">
        <v>973</v>
      </c>
      <c r="N397">
        <v>7</v>
      </c>
      <c r="O397" t="s">
        <v>46</v>
      </c>
      <c r="P397" t="s">
        <v>51</v>
      </c>
      <c r="Q397" t="s">
        <v>29</v>
      </c>
      <c r="R397">
        <v>76</v>
      </c>
      <c r="S397">
        <v>4.0999999999999996</v>
      </c>
      <c r="T397" t="b">
        <v>1</v>
      </c>
      <c r="U397" t="s">
        <v>30</v>
      </c>
      <c r="V397">
        <v>941</v>
      </c>
      <c r="W397" t="s">
        <v>31</v>
      </c>
      <c r="X397" t="s">
        <v>70</v>
      </c>
      <c r="Y397" t="s">
        <v>55</v>
      </c>
    </row>
    <row r="398" spans="1:25" x14ac:dyDescent="0.35">
      <c r="A398">
        <v>4314</v>
      </c>
      <c r="B398" t="s">
        <v>231</v>
      </c>
      <c r="C398" s="1">
        <v>45117</v>
      </c>
      <c r="D398" s="1">
        <v>45641</v>
      </c>
      <c r="E398">
        <v>17</v>
      </c>
      <c r="F398">
        <v>7.99</v>
      </c>
      <c r="G398">
        <f t="shared" si="6"/>
        <v>135.83000000000001</v>
      </c>
      <c r="H398">
        <v>311</v>
      </c>
      <c r="I398" t="s">
        <v>81</v>
      </c>
      <c r="J398">
        <v>3</v>
      </c>
      <c r="K398">
        <v>5</v>
      </c>
      <c r="L398" t="b">
        <v>1</v>
      </c>
      <c r="M398">
        <v>724</v>
      </c>
      <c r="N398">
        <v>191</v>
      </c>
      <c r="O398" t="s">
        <v>27</v>
      </c>
      <c r="P398" t="s">
        <v>28</v>
      </c>
      <c r="Q398" t="s">
        <v>29</v>
      </c>
      <c r="R398">
        <v>55</v>
      </c>
      <c r="S398">
        <v>4.7</v>
      </c>
      <c r="T398" t="b">
        <v>1</v>
      </c>
      <c r="U398" t="s">
        <v>30</v>
      </c>
      <c r="V398">
        <v>4062</v>
      </c>
      <c r="W398" t="s">
        <v>53</v>
      </c>
      <c r="X398" t="s">
        <v>32</v>
      </c>
      <c r="Y398" t="s">
        <v>55</v>
      </c>
    </row>
    <row r="399" spans="1:25" x14ac:dyDescent="0.35">
      <c r="A399">
        <v>6739</v>
      </c>
      <c r="B399" t="s">
        <v>222</v>
      </c>
      <c r="C399" s="1">
        <v>45503</v>
      </c>
      <c r="D399" s="1">
        <v>45627</v>
      </c>
      <c r="E399">
        <v>4</v>
      </c>
      <c r="F399">
        <v>11.99</v>
      </c>
      <c r="G399">
        <f t="shared" si="6"/>
        <v>47.96</v>
      </c>
      <c r="H399">
        <v>23</v>
      </c>
      <c r="I399" t="s">
        <v>48</v>
      </c>
      <c r="J399">
        <v>5</v>
      </c>
      <c r="K399">
        <v>3</v>
      </c>
      <c r="L399" t="b">
        <v>0</v>
      </c>
      <c r="M399">
        <v>725</v>
      </c>
      <c r="N399">
        <v>168</v>
      </c>
      <c r="O399" t="s">
        <v>27</v>
      </c>
      <c r="P399" t="s">
        <v>42</v>
      </c>
      <c r="Q399" t="s">
        <v>29</v>
      </c>
      <c r="R399">
        <v>25</v>
      </c>
      <c r="S399">
        <v>3.6</v>
      </c>
      <c r="T399" t="b">
        <v>1</v>
      </c>
      <c r="U399" t="s">
        <v>30</v>
      </c>
      <c r="V399">
        <v>4322</v>
      </c>
      <c r="W399" t="s">
        <v>59</v>
      </c>
      <c r="X399" t="s">
        <v>54</v>
      </c>
      <c r="Y399" t="s">
        <v>33</v>
      </c>
    </row>
    <row r="400" spans="1:25" x14ac:dyDescent="0.35">
      <c r="A400">
        <v>6368</v>
      </c>
      <c r="B400" t="s">
        <v>40</v>
      </c>
      <c r="C400" s="1">
        <v>45166</v>
      </c>
      <c r="D400" s="1">
        <v>45640</v>
      </c>
      <c r="E400">
        <v>15</v>
      </c>
      <c r="F400">
        <v>11.99</v>
      </c>
      <c r="G400">
        <f t="shared" si="6"/>
        <v>179.85</v>
      </c>
      <c r="H400">
        <v>370</v>
      </c>
      <c r="I400" t="s">
        <v>64</v>
      </c>
      <c r="J400">
        <v>3</v>
      </c>
      <c r="K400">
        <v>4</v>
      </c>
      <c r="L400" t="b">
        <v>1</v>
      </c>
      <c r="M400">
        <v>973</v>
      </c>
      <c r="N400">
        <v>152</v>
      </c>
      <c r="O400" t="s">
        <v>41</v>
      </c>
      <c r="P400" t="s">
        <v>51</v>
      </c>
      <c r="Q400" t="s">
        <v>29</v>
      </c>
      <c r="R400">
        <v>98</v>
      </c>
      <c r="S400">
        <v>3.1</v>
      </c>
      <c r="T400" t="b">
        <v>1</v>
      </c>
      <c r="U400" t="s">
        <v>30</v>
      </c>
      <c r="V400">
        <v>1456</v>
      </c>
      <c r="W400" t="s">
        <v>67</v>
      </c>
      <c r="X400" t="s">
        <v>62</v>
      </c>
      <c r="Y400" t="s">
        <v>77</v>
      </c>
    </row>
    <row r="401" spans="1:25" x14ac:dyDescent="0.35">
      <c r="A401">
        <v>7309</v>
      </c>
      <c r="B401" t="s">
        <v>121</v>
      </c>
      <c r="C401" s="1">
        <v>45473</v>
      </c>
      <c r="D401" s="1">
        <v>45615</v>
      </c>
      <c r="E401">
        <v>4</v>
      </c>
      <c r="F401">
        <v>15.99</v>
      </c>
      <c r="G401">
        <f t="shared" si="6"/>
        <v>63.96</v>
      </c>
      <c r="H401">
        <v>343</v>
      </c>
      <c r="I401" t="s">
        <v>48</v>
      </c>
      <c r="J401">
        <v>2</v>
      </c>
      <c r="K401">
        <v>2</v>
      </c>
      <c r="L401" t="b">
        <v>0</v>
      </c>
      <c r="M401">
        <v>830</v>
      </c>
      <c r="N401">
        <v>172</v>
      </c>
      <c r="O401" t="s">
        <v>41</v>
      </c>
      <c r="P401" t="s">
        <v>51</v>
      </c>
      <c r="Q401" t="s">
        <v>36</v>
      </c>
      <c r="R401">
        <v>99</v>
      </c>
      <c r="S401">
        <v>4.9000000000000004</v>
      </c>
      <c r="T401" t="b">
        <v>0</v>
      </c>
      <c r="U401" t="s">
        <v>30</v>
      </c>
      <c r="V401">
        <v>1281</v>
      </c>
      <c r="W401" t="s">
        <v>53</v>
      </c>
      <c r="X401" t="s">
        <v>62</v>
      </c>
      <c r="Y401" t="s">
        <v>55</v>
      </c>
    </row>
    <row r="402" spans="1:25" x14ac:dyDescent="0.35">
      <c r="A402">
        <v>3976</v>
      </c>
      <c r="B402" t="s">
        <v>193</v>
      </c>
      <c r="C402" s="1">
        <v>45237</v>
      </c>
      <c r="D402" s="1">
        <v>45629</v>
      </c>
      <c r="E402">
        <v>12</v>
      </c>
      <c r="F402">
        <v>7.99</v>
      </c>
      <c r="G402">
        <f t="shared" si="6"/>
        <v>95.88</v>
      </c>
      <c r="H402">
        <v>391</v>
      </c>
      <c r="I402" t="s">
        <v>45</v>
      </c>
      <c r="J402">
        <v>4</v>
      </c>
      <c r="K402">
        <v>6</v>
      </c>
      <c r="L402" t="b">
        <v>0</v>
      </c>
      <c r="M402">
        <v>726</v>
      </c>
      <c r="N402">
        <v>176</v>
      </c>
      <c r="O402" t="s">
        <v>41</v>
      </c>
      <c r="P402" t="s">
        <v>42</v>
      </c>
      <c r="Q402" t="s">
        <v>69</v>
      </c>
      <c r="R402">
        <v>65</v>
      </c>
      <c r="S402">
        <v>3.8</v>
      </c>
      <c r="T402" t="b">
        <v>0</v>
      </c>
      <c r="U402" t="s">
        <v>30</v>
      </c>
      <c r="V402">
        <v>1926</v>
      </c>
      <c r="W402" t="s">
        <v>59</v>
      </c>
      <c r="X402" t="s">
        <v>62</v>
      </c>
      <c r="Y402" t="s">
        <v>77</v>
      </c>
    </row>
    <row r="403" spans="1:25" x14ac:dyDescent="0.35">
      <c r="A403">
        <v>7230</v>
      </c>
      <c r="B403" t="s">
        <v>273</v>
      </c>
      <c r="C403" s="1">
        <v>45463</v>
      </c>
      <c r="D403" s="1">
        <v>45639</v>
      </c>
      <c r="E403">
        <v>5</v>
      </c>
      <c r="F403">
        <v>11.99</v>
      </c>
      <c r="G403">
        <f t="shared" si="6"/>
        <v>59.95</v>
      </c>
      <c r="H403">
        <v>405</v>
      </c>
      <c r="I403" t="s">
        <v>35</v>
      </c>
      <c r="J403">
        <v>3</v>
      </c>
      <c r="K403">
        <v>3</v>
      </c>
      <c r="L403" t="b">
        <v>0</v>
      </c>
      <c r="M403">
        <v>90</v>
      </c>
      <c r="N403">
        <v>151</v>
      </c>
      <c r="O403" t="s">
        <v>41</v>
      </c>
      <c r="P403" t="s">
        <v>42</v>
      </c>
      <c r="Q403" t="s">
        <v>36</v>
      </c>
      <c r="R403">
        <v>64</v>
      </c>
      <c r="S403">
        <v>4.0999999999999996</v>
      </c>
      <c r="T403" t="b">
        <v>0</v>
      </c>
      <c r="U403" t="s">
        <v>30</v>
      </c>
      <c r="V403">
        <v>1368</v>
      </c>
      <c r="W403" t="s">
        <v>53</v>
      </c>
      <c r="X403" t="s">
        <v>32</v>
      </c>
      <c r="Y403" t="s">
        <v>33</v>
      </c>
    </row>
    <row r="404" spans="1:25" x14ac:dyDescent="0.35">
      <c r="A404">
        <v>8888</v>
      </c>
      <c r="B404" t="s">
        <v>215</v>
      </c>
      <c r="C404" s="1">
        <v>45404</v>
      </c>
      <c r="D404" s="1">
        <v>45639</v>
      </c>
      <c r="E404">
        <v>7</v>
      </c>
      <c r="F404">
        <v>15.99</v>
      </c>
      <c r="G404">
        <f t="shared" si="6"/>
        <v>111.93</v>
      </c>
      <c r="H404">
        <v>14</v>
      </c>
      <c r="I404" t="s">
        <v>57</v>
      </c>
      <c r="J404">
        <v>5</v>
      </c>
      <c r="K404">
        <v>1</v>
      </c>
      <c r="L404" t="b">
        <v>0</v>
      </c>
      <c r="M404">
        <v>617</v>
      </c>
      <c r="N404">
        <v>128</v>
      </c>
      <c r="O404" t="s">
        <v>50</v>
      </c>
      <c r="P404" t="s">
        <v>42</v>
      </c>
      <c r="Q404" t="s">
        <v>69</v>
      </c>
      <c r="R404">
        <v>31</v>
      </c>
      <c r="S404">
        <v>3.5</v>
      </c>
      <c r="T404" t="b">
        <v>0</v>
      </c>
      <c r="U404" t="s">
        <v>30</v>
      </c>
      <c r="V404">
        <v>571</v>
      </c>
      <c r="W404" t="s">
        <v>31</v>
      </c>
      <c r="X404" t="s">
        <v>32</v>
      </c>
      <c r="Y404" t="s">
        <v>39</v>
      </c>
    </row>
    <row r="405" spans="1:25" x14ac:dyDescent="0.35">
      <c r="A405">
        <v>1194</v>
      </c>
      <c r="B405" t="s">
        <v>222</v>
      </c>
      <c r="C405" s="1">
        <v>45585</v>
      </c>
      <c r="D405" s="1">
        <v>45628</v>
      </c>
      <c r="E405">
        <v>1</v>
      </c>
      <c r="F405">
        <v>7.99</v>
      </c>
      <c r="G405">
        <f t="shared" si="6"/>
        <v>7.99</v>
      </c>
      <c r="H405">
        <v>11</v>
      </c>
      <c r="I405" t="s">
        <v>57</v>
      </c>
      <c r="J405">
        <v>4</v>
      </c>
      <c r="K405">
        <v>6</v>
      </c>
      <c r="L405" t="b">
        <v>0</v>
      </c>
      <c r="M405">
        <v>246</v>
      </c>
      <c r="N405">
        <v>96</v>
      </c>
      <c r="O405" t="s">
        <v>76</v>
      </c>
      <c r="P405" t="s">
        <v>28</v>
      </c>
      <c r="Q405" t="s">
        <v>52</v>
      </c>
      <c r="R405">
        <v>56</v>
      </c>
      <c r="S405">
        <v>4.5999999999999996</v>
      </c>
      <c r="T405" t="b">
        <v>1</v>
      </c>
      <c r="U405" t="s">
        <v>30</v>
      </c>
      <c r="V405">
        <v>3807</v>
      </c>
      <c r="W405" t="s">
        <v>59</v>
      </c>
      <c r="X405" t="s">
        <v>70</v>
      </c>
      <c r="Y405" t="s">
        <v>55</v>
      </c>
    </row>
    <row r="406" spans="1:25" x14ac:dyDescent="0.35">
      <c r="A406">
        <v>6983</v>
      </c>
      <c r="B406" t="s">
        <v>74</v>
      </c>
      <c r="C406" s="1">
        <v>45532</v>
      </c>
      <c r="D406" s="1">
        <v>45633</v>
      </c>
      <c r="E406">
        <v>3</v>
      </c>
      <c r="F406">
        <v>11.99</v>
      </c>
      <c r="G406">
        <f t="shared" si="6"/>
        <v>35.97</v>
      </c>
      <c r="H406">
        <v>335</v>
      </c>
      <c r="I406" t="s">
        <v>45</v>
      </c>
      <c r="J406">
        <v>1</v>
      </c>
      <c r="K406">
        <v>2</v>
      </c>
      <c r="L406" t="b">
        <v>1</v>
      </c>
      <c r="M406">
        <v>484</v>
      </c>
      <c r="N406">
        <v>54</v>
      </c>
      <c r="O406" t="s">
        <v>46</v>
      </c>
      <c r="P406" t="s">
        <v>28</v>
      </c>
      <c r="Q406" t="s">
        <v>69</v>
      </c>
      <c r="R406">
        <v>51</v>
      </c>
      <c r="S406">
        <v>4</v>
      </c>
      <c r="T406" t="b">
        <v>1</v>
      </c>
      <c r="U406" t="s">
        <v>30</v>
      </c>
      <c r="V406">
        <v>3424</v>
      </c>
      <c r="W406" t="s">
        <v>31</v>
      </c>
      <c r="X406" t="s">
        <v>62</v>
      </c>
      <c r="Y406" t="s">
        <v>39</v>
      </c>
    </row>
    <row r="407" spans="1:25" x14ac:dyDescent="0.35">
      <c r="A407">
        <v>1413</v>
      </c>
      <c r="B407" t="s">
        <v>80</v>
      </c>
      <c r="C407" s="1">
        <v>44915</v>
      </c>
      <c r="D407" s="1">
        <v>45626</v>
      </c>
      <c r="E407">
        <v>23</v>
      </c>
      <c r="F407">
        <v>11.99</v>
      </c>
      <c r="G407">
        <f t="shared" si="6"/>
        <v>275.77</v>
      </c>
      <c r="H407">
        <v>408</v>
      </c>
      <c r="I407" t="s">
        <v>45</v>
      </c>
      <c r="J407">
        <v>3</v>
      </c>
      <c r="K407">
        <v>5</v>
      </c>
      <c r="L407" t="b">
        <v>1</v>
      </c>
      <c r="M407">
        <v>418</v>
      </c>
      <c r="N407">
        <v>198</v>
      </c>
      <c r="O407" t="s">
        <v>27</v>
      </c>
      <c r="P407" t="s">
        <v>28</v>
      </c>
      <c r="Q407" t="s">
        <v>52</v>
      </c>
      <c r="R407">
        <v>0</v>
      </c>
      <c r="S407">
        <v>3</v>
      </c>
      <c r="T407" t="b">
        <v>0</v>
      </c>
      <c r="U407" t="s">
        <v>30</v>
      </c>
      <c r="V407">
        <v>1428</v>
      </c>
      <c r="W407" t="s">
        <v>31</v>
      </c>
      <c r="X407" t="s">
        <v>54</v>
      </c>
      <c r="Y407" t="s">
        <v>77</v>
      </c>
    </row>
    <row r="408" spans="1:25" x14ac:dyDescent="0.35">
      <c r="A408">
        <v>9509</v>
      </c>
      <c r="B408" t="s">
        <v>152</v>
      </c>
      <c r="C408" s="1">
        <v>45501</v>
      </c>
      <c r="D408" s="1">
        <v>45622</v>
      </c>
      <c r="E408">
        <v>3</v>
      </c>
      <c r="F408">
        <v>11.99</v>
      </c>
      <c r="G408">
        <f t="shared" si="6"/>
        <v>35.97</v>
      </c>
      <c r="H408">
        <v>302</v>
      </c>
      <c r="I408" t="s">
        <v>26</v>
      </c>
      <c r="J408">
        <v>2</v>
      </c>
      <c r="K408">
        <v>2</v>
      </c>
      <c r="L408" t="b">
        <v>0</v>
      </c>
      <c r="M408">
        <v>431</v>
      </c>
      <c r="N408">
        <v>116</v>
      </c>
      <c r="O408" t="s">
        <v>50</v>
      </c>
      <c r="P408" t="s">
        <v>42</v>
      </c>
      <c r="Q408" t="s">
        <v>69</v>
      </c>
      <c r="R408">
        <v>15</v>
      </c>
      <c r="S408">
        <v>3.9</v>
      </c>
      <c r="T408" t="b">
        <v>1</v>
      </c>
      <c r="U408" t="s">
        <v>30</v>
      </c>
      <c r="V408">
        <v>2387</v>
      </c>
      <c r="W408" t="s">
        <v>53</v>
      </c>
      <c r="X408" t="s">
        <v>62</v>
      </c>
      <c r="Y408" t="s">
        <v>55</v>
      </c>
    </row>
    <row r="409" spans="1:25" x14ac:dyDescent="0.35">
      <c r="A409">
        <v>6330</v>
      </c>
      <c r="B409" t="s">
        <v>274</v>
      </c>
      <c r="C409" s="1">
        <v>45316</v>
      </c>
      <c r="D409" s="1">
        <v>45630</v>
      </c>
      <c r="E409">
        <v>10</v>
      </c>
      <c r="F409">
        <v>7.99</v>
      </c>
      <c r="G409">
        <f t="shared" si="6"/>
        <v>79.900000000000006</v>
      </c>
      <c r="H409">
        <v>329</v>
      </c>
      <c r="I409" t="s">
        <v>45</v>
      </c>
      <c r="J409">
        <v>4</v>
      </c>
      <c r="K409">
        <v>1</v>
      </c>
      <c r="L409" t="b">
        <v>1</v>
      </c>
      <c r="M409">
        <v>973</v>
      </c>
      <c r="N409">
        <v>163</v>
      </c>
      <c r="O409" t="s">
        <v>27</v>
      </c>
      <c r="P409" t="s">
        <v>66</v>
      </c>
      <c r="Q409" t="s">
        <v>58</v>
      </c>
      <c r="R409">
        <v>78</v>
      </c>
      <c r="S409">
        <v>4.2</v>
      </c>
      <c r="T409" t="b">
        <v>1</v>
      </c>
      <c r="U409" t="s">
        <v>30</v>
      </c>
      <c r="V409">
        <v>218</v>
      </c>
      <c r="W409" t="s">
        <v>67</v>
      </c>
      <c r="X409" t="s">
        <v>54</v>
      </c>
      <c r="Y409" t="s">
        <v>39</v>
      </c>
    </row>
    <row r="410" spans="1:25" x14ac:dyDescent="0.35">
      <c r="A410">
        <v>2504</v>
      </c>
      <c r="B410" t="s">
        <v>275</v>
      </c>
      <c r="C410" s="1">
        <v>45526</v>
      </c>
      <c r="D410" s="1">
        <v>45641</v>
      </c>
      <c r="E410">
        <v>3</v>
      </c>
      <c r="F410">
        <v>11.99</v>
      </c>
      <c r="G410">
        <f t="shared" si="6"/>
        <v>35.97</v>
      </c>
      <c r="H410">
        <v>328</v>
      </c>
      <c r="I410" t="s">
        <v>64</v>
      </c>
      <c r="J410">
        <v>4</v>
      </c>
      <c r="K410">
        <v>6</v>
      </c>
      <c r="L410" t="b">
        <v>1</v>
      </c>
      <c r="M410">
        <v>858</v>
      </c>
      <c r="N410">
        <v>159</v>
      </c>
      <c r="O410" t="s">
        <v>46</v>
      </c>
      <c r="P410" t="s">
        <v>28</v>
      </c>
      <c r="Q410" t="s">
        <v>36</v>
      </c>
      <c r="R410">
        <v>75</v>
      </c>
      <c r="S410">
        <v>4.5999999999999996</v>
      </c>
      <c r="T410" t="b">
        <v>1</v>
      </c>
      <c r="U410" t="s">
        <v>30</v>
      </c>
      <c r="V410">
        <v>68</v>
      </c>
      <c r="W410" t="s">
        <v>31</v>
      </c>
      <c r="X410" t="s">
        <v>62</v>
      </c>
      <c r="Y410" t="s">
        <v>77</v>
      </c>
    </row>
    <row r="411" spans="1:25" x14ac:dyDescent="0.35">
      <c r="A411">
        <v>6593</v>
      </c>
      <c r="B411" t="s">
        <v>222</v>
      </c>
      <c r="C411" s="1">
        <v>45517</v>
      </c>
      <c r="D411" s="1">
        <v>45633</v>
      </c>
      <c r="E411">
        <v>3</v>
      </c>
      <c r="F411">
        <v>11.99</v>
      </c>
      <c r="G411">
        <f t="shared" si="6"/>
        <v>35.97</v>
      </c>
      <c r="H411">
        <v>353</v>
      </c>
      <c r="I411" t="s">
        <v>35</v>
      </c>
      <c r="J411">
        <v>3</v>
      </c>
      <c r="K411">
        <v>6</v>
      </c>
      <c r="L411" t="b">
        <v>0</v>
      </c>
      <c r="M411">
        <v>637</v>
      </c>
      <c r="N411">
        <v>160</v>
      </c>
      <c r="O411" t="s">
        <v>46</v>
      </c>
      <c r="P411" t="s">
        <v>42</v>
      </c>
      <c r="Q411" t="s">
        <v>58</v>
      </c>
      <c r="R411">
        <v>67</v>
      </c>
      <c r="S411">
        <v>5</v>
      </c>
      <c r="T411" t="b">
        <v>1</v>
      </c>
      <c r="U411" t="s">
        <v>30</v>
      </c>
      <c r="V411">
        <v>2749</v>
      </c>
      <c r="W411" t="s">
        <v>37</v>
      </c>
      <c r="X411" t="s">
        <v>62</v>
      </c>
      <c r="Y411" t="s">
        <v>33</v>
      </c>
    </row>
    <row r="412" spans="1:25" x14ac:dyDescent="0.35">
      <c r="A412">
        <v>9537</v>
      </c>
      <c r="B412" t="s">
        <v>222</v>
      </c>
      <c r="C412" s="1">
        <v>45342</v>
      </c>
      <c r="D412" s="1">
        <v>45616</v>
      </c>
      <c r="E412">
        <v>9</v>
      </c>
      <c r="F412">
        <v>11.99</v>
      </c>
      <c r="G412">
        <f t="shared" si="6"/>
        <v>107.91</v>
      </c>
      <c r="H412">
        <v>386</v>
      </c>
      <c r="I412" t="s">
        <v>64</v>
      </c>
      <c r="J412">
        <v>3</v>
      </c>
      <c r="K412">
        <v>3</v>
      </c>
      <c r="L412" t="b">
        <v>0</v>
      </c>
      <c r="M412">
        <v>693</v>
      </c>
      <c r="N412">
        <v>61</v>
      </c>
      <c r="O412" t="s">
        <v>46</v>
      </c>
      <c r="P412" t="s">
        <v>66</v>
      </c>
      <c r="Q412" t="s">
        <v>29</v>
      </c>
      <c r="R412">
        <v>48</v>
      </c>
      <c r="S412">
        <v>3.8</v>
      </c>
      <c r="T412" t="b">
        <v>0</v>
      </c>
      <c r="U412" t="s">
        <v>30</v>
      </c>
      <c r="V412">
        <v>4942</v>
      </c>
      <c r="W412" t="s">
        <v>53</v>
      </c>
      <c r="X412" t="s">
        <v>32</v>
      </c>
      <c r="Y412" t="s">
        <v>77</v>
      </c>
    </row>
    <row r="413" spans="1:25" x14ac:dyDescent="0.35">
      <c r="A413">
        <v>9628</v>
      </c>
      <c r="B413" t="s">
        <v>141</v>
      </c>
      <c r="C413" s="1">
        <v>45226</v>
      </c>
      <c r="D413" s="1">
        <v>45637</v>
      </c>
      <c r="E413">
        <v>13</v>
      </c>
      <c r="F413">
        <v>7.99</v>
      </c>
      <c r="G413">
        <f t="shared" si="6"/>
        <v>103.87</v>
      </c>
      <c r="H413">
        <v>401</v>
      </c>
      <c r="I413" t="s">
        <v>64</v>
      </c>
      <c r="J413">
        <v>5</v>
      </c>
      <c r="K413">
        <v>6</v>
      </c>
      <c r="L413" t="b">
        <v>0</v>
      </c>
      <c r="M413">
        <v>308</v>
      </c>
      <c r="N413">
        <v>103</v>
      </c>
      <c r="O413" t="s">
        <v>27</v>
      </c>
      <c r="P413" t="s">
        <v>51</v>
      </c>
      <c r="Q413" t="s">
        <v>43</v>
      </c>
      <c r="R413">
        <v>98</v>
      </c>
      <c r="S413">
        <v>3.1</v>
      </c>
      <c r="T413" t="b">
        <v>1</v>
      </c>
      <c r="U413" t="s">
        <v>30</v>
      </c>
      <c r="V413">
        <v>1813</v>
      </c>
      <c r="W413" t="s">
        <v>59</v>
      </c>
      <c r="X413" t="s">
        <v>32</v>
      </c>
      <c r="Y413" t="s">
        <v>55</v>
      </c>
    </row>
    <row r="414" spans="1:25" x14ac:dyDescent="0.35">
      <c r="A414">
        <v>4024</v>
      </c>
      <c r="B414" t="s">
        <v>159</v>
      </c>
      <c r="C414" s="1">
        <v>45037</v>
      </c>
      <c r="D414" s="1">
        <v>45633</v>
      </c>
      <c r="E414">
        <v>19</v>
      </c>
      <c r="F414">
        <v>7.99</v>
      </c>
      <c r="G414">
        <f t="shared" si="6"/>
        <v>151.81</v>
      </c>
      <c r="H414">
        <v>286</v>
      </c>
      <c r="I414" t="s">
        <v>35</v>
      </c>
      <c r="J414">
        <v>3</v>
      </c>
      <c r="K414">
        <v>1</v>
      </c>
      <c r="L414" t="b">
        <v>0</v>
      </c>
      <c r="M414">
        <v>843</v>
      </c>
      <c r="N414">
        <v>26</v>
      </c>
      <c r="O414" t="s">
        <v>46</v>
      </c>
      <c r="P414" t="s">
        <v>28</v>
      </c>
      <c r="Q414" t="s">
        <v>36</v>
      </c>
      <c r="R414">
        <v>11</v>
      </c>
      <c r="S414">
        <v>3.5</v>
      </c>
      <c r="T414" t="b">
        <v>0</v>
      </c>
      <c r="U414" t="s">
        <v>30</v>
      </c>
      <c r="V414">
        <v>318</v>
      </c>
      <c r="W414" t="s">
        <v>67</v>
      </c>
      <c r="X414" t="s">
        <v>70</v>
      </c>
      <c r="Y414" t="s">
        <v>55</v>
      </c>
    </row>
    <row r="415" spans="1:25" x14ac:dyDescent="0.35">
      <c r="A415">
        <v>5321</v>
      </c>
      <c r="B415" t="s">
        <v>197</v>
      </c>
      <c r="C415" s="1">
        <v>45290</v>
      </c>
      <c r="D415" s="1">
        <v>45636</v>
      </c>
      <c r="E415">
        <v>11</v>
      </c>
      <c r="F415">
        <v>7.99</v>
      </c>
      <c r="G415">
        <f t="shared" si="6"/>
        <v>87.89</v>
      </c>
      <c r="H415">
        <v>20</v>
      </c>
      <c r="I415" t="s">
        <v>81</v>
      </c>
      <c r="J415">
        <v>5</v>
      </c>
      <c r="K415">
        <v>2</v>
      </c>
      <c r="L415" t="b">
        <v>0</v>
      </c>
      <c r="M415">
        <v>895</v>
      </c>
      <c r="N415">
        <v>40</v>
      </c>
      <c r="O415" t="s">
        <v>41</v>
      </c>
      <c r="P415" t="s">
        <v>66</v>
      </c>
      <c r="Q415" t="s">
        <v>58</v>
      </c>
      <c r="R415">
        <v>97</v>
      </c>
      <c r="S415">
        <v>3.8</v>
      </c>
      <c r="T415" t="b">
        <v>0</v>
      </c>
      <c r="U415" t="s">
        <v>30</v>
      </c>
      <c r="V415">
        <v>4216</v>
      </c>
      <c r="W415" t="s">
        <v>37</v>
      </c>
      <c r="X415" t="s">
        <v>70</v>
      </c>
      <c r="Y415" t="s">
        <v>77</v>
      </c>
    </row>
    <row r="416" spans="1:25" x14ac:dyDescent="0.35">
      <c r="A416">
        <v>3926</v>
      </c>
      <c r="B416" t="s">
        <v>276</v>
      </c>
      <c r="C416" s="1">
        <v>45616</v>
      </c>
      <c r="D416" s="1">
        <v>45621</v>
      </c>
      <c r="E416">
        <v>0</v>
      </c>
      <c r="F416">
        <v>7.99</v>
      </c>
      <c r="G416">
        <f t="shared" si="6"/>
        <v>0</v>
      </c>
      <c r="H416">
        <v>167</v>
      </c>
      <c r="I416" t="s">
        <v>81</v>
      </c>
      <c r="J416">
        <v>3</v>
      </c>
      <c r="K416">
        <v>1</v>
      </c>
      <c r="L416" t="b">
        <v>1</v>
      </c>
      <c r="M416">
        <v>466</v>
      </c>
      <c r="N416">
        <v>69</v>
      </c>
      <c r="O416" t="s">
        <v>76</v>
      </c>
      <c r="P416" t="s">
        <v>66</v>
      </c>
      <c r="Q416" t="s">
        <v>43</v>
      </c>
      <c r="R416">
        <v>86</v>
      </c>
      <c r="S416">
        <v>4.3</v>
      </c>
      <c r="T416" t="b">
        <v>0</v>
      </c>
      <c r="U416" t="s">
        <v>30</v>
      </c>
      <c r="V416">
        <v>3003</v>
      </c>
      <c r="W416" t="s">
        <v>53</v>
      </c>
      <c r="X416" t="s">
        <v>32</v>
      </c>
      <c r="Y416" t="s">
        <v>39</v>
      </c>
    </row>
    <row r="417" spans="1:25" x14ac:dyDescent="0.35">
      <c r="A417">
        <v>8738</v>
      </c>
      <c r="B417" t="s">
        <v>102</v>
      </c>
      <c r="C417" s="1">
        <v>45556</v>
      </c>
      <c r="D417" s="1">
        <v>45625</v>
      </c>
      <c r="E417">
        <v>2</v>
      </c>
      <c r="F417">
        <v>7.99</v>
      </c>
      <c r="G417">
        <f t="shared" si="6"/>
        <v>15.98</v>
      </c>
      <c r="H417">
        <v>427</v>
      </c>
      <c r="I417" t="s">
        <v>81</v>
      </c>
      <c r="J417">
        <v>1</v>
      </c>
      <c r="K417">
        <v>1</v>
      </c>
      <c r="L417" t="b">
        <v>1</v>
      </c>
      <c r="M417">
        <v>886</v>
      </c>
      <c r="N417">
        <v>17</v>
      </c>
      <c r="O417" t="s">
        <v>46</v>
      </c>
      <c r="P417" t="s">
        <v>42</v>
      </c>
      <c r="Q417" t="s">
        <v>43</v>
      </c>
      <c r="R417">
        <v>41</v>
      </c>
      <c r="S417">
        <v>4.0999999999999996</v>
      </c>
      <c r="T417" t="b">
        <v>0</v>
      </c>
      <c r="U417" t="s">
        <v>30</v>
      </c>
      <c r="V417">
        <v>342</v>
      </c>
      <c r="W417" t="s">
        <v>53</v>
      </c>
      <c r="X417" t="s">
        <v>62</v>
      </c>
      <c r="Y417" t="s">
        <v>77</v>
      </c>
    </row>
    <row r="418" spans="1:25" x14ac:dyDescent="0.35">
      <c r="A418">
        <v>2701</v>
      </c>
      <c r="B418" t="s">
        <v>221</v>
      </c>
      <c r="C418" s="1">
        <v>45417</v>
      </c>
      <c r="D418" s="1">
        <v>45627</v>
      </c>
      <c r="E418">
        <v>6</v>
      </c>
      <c r="F418">
        <v>11.99</v>
      </c>
      <c r="G418">
        <f t="shared" si="6"/>
        <v>71.94</v>
      </c>
      <c r="H418">
        <v>13</v>
      </c>
      <c r="I418" t="s">
        <v>35</v>
      </c>
      <c r="J418">
        <v>4</v>
      </c>
      <c r="K418">
        <v>6</v>
      </c>
      <c r="L418" t="b">
        <v>1</v>
      </c>
      <c r="M418">
        <v>537</v>
      </c>
      <c r="N418">
        <v>121</v>
      </c>
      <c r="O418" t="s">
        <v>61</v>
      </c>
      <c r="P418" t="s">
        <v>66</v>
      </c>
      <c r="Q418" t="s">
        <v>52</v>
      </c>
      <c r="R418">
        <v>17</v>
      </c>
      <c r="S418">
        <v>3.1</v>
      </c>
      <c r="T418" t="b">
        <v>1</v>
      </c>
      <c r="U418" t="s">
        <v>30</v>
      </c>
      <c r="V418">
        <v>2124</v>
      </c>
      <c r="W418" t="s">
        <v>37</v>
      </c>
      <c r="X418" t="s">
        <v>70</v>
      </c>
      <c r="Y418" t="s">
        <v>55</v>
      </c>
    </row>
    <row r="419" spans="1:25" x14ac:dyDescent="0.35">
      <c r="A419">
        <v>5339</v>
      </c>
      <c r="B419" t="s">
        <v>277</v>
      </c>
      <c r="C419" s="1">
        <v>45341</v>
      </c>
      <c r="D419" s="1">
        <v>45640</v>
      </c>
      <c r="E419">
        <v>9</v>
      </c>
      <c r="F419">
        <v>15.99</v>
      </c>
      <c r="G419">
        <f t="shared" si="6"/>
        <v>143.91</v>
      </c>
      <c r="H419">
        <v>53</v>
      </c>
      <c r="I419" t="s">
        <v>26</v>
      </c>
      <c r="J419">
        <v>5</v>
      </c>
      <c r="K419">
        <v>5</v>
      </c>
      <c r="L419" t="b">
        <v>0</v>
      </c>
      <c r="M419">
        <v>524</v>
      </c>
      <c r="N419">
        <v>161</v>
      </c>
      <c r="O419" t="s">
        <v>76</v>
      </c>
      <c r="P419" t="s">
        <v>66</v>
      </c>
      <c r="Q419" t="s">
        <v>36</v>
      </c>
      <c r="R419">
        <v>65</v>
      </c>
      <c r="S419">
        <v>4.9000000000000004</v>
      </c>
      <c r="T419" t="b">
        <v>0</v>
      </c>
      <c r="U419" t="s">
        <v>30</v>
      </c>
      <c r="V419">
        <v>1016</v>
      </c>
      <c r="W419" t="s">
        <v>37</v>
      </c>
      <c r="X419" t="s">
        <v>62</v>
      </c>
      <c r="Y419" t="s">
        <v>77</v>
      </c>
    </row>
    <row r="420" spans="1:25" x14ac:dyDescent="0.35">
      <c r="A420">
        <v>1612</v>
      </c>
      <c r="B420" t="s">
        <v>278</v>
      </c>
      <c r="C420" s="1">
        <v>45069</v>
      </c>
      <c r="D420" s="1">
        <v>45630</v>
      </c>
      <c r="E420">
        <v>18</v>
      </c>
      <c r="F420">
        <v>7.99</v>
      </c>
      <c r="G420">
        <f t="shared" si="6"/>
        <v>143.82</v>
      </c>
      <c r="H420">
        <v>197</v>
      </c>
      <c r="I420" t="s">
        <v>26</v>
      </c>
      <c r="J420">
        <v>1</v>
      </c>
      <c r="K420">
        <v>2</v>
      </c>
      <c r="L420" t="b">
        <v>1</v>
      </c>
      <c r="M420">
        <v>409</v>
      </c>
      <c r="N420">
        <v>22</v>
      </c>
      <c r="O420" t="s">
        <v>50</v>
      </c>
      <c r="P420" t="s">
        <v>42</v>
      </c>
      <c r="Q420" t="s">
        <v>36</v>
      </c>
      <c r="R420">
        <v>64</v>
      </c>
      <c r="S420">
        <v>4.3</v>
      </c>
      <c r="T420" t="b">
        <v>1</v>
      </c>
      <c r="U420" t="s">
        <v>30</v>
      </c>
      <c r="V420">
        <v>1925</v>
      </c>
      <c r="W420" t="s">
        <v>67</v>
      </c>
      <c r="X420" t="s">
        <v>32</v>
      </c>
      <c r="Y420" t="s">
        <v>55</v>
      </c>
    </row>
    <row r="421" spans="1:25" x14ac:dyDescent="0.35">
      <c r="A421">
        <v>5407</v>
      </c>
      <c r="B421" t="s">
        <v>82</v>
      </c>
      <c r="C421" s="1">
        <v>45212</v>
      </c>
      <c r="D421" s="1">
        <v>45630</v>
      </c>
      <c r="E421">
        <v>13</v>
      </c>
      <c r="F421">
        <v>7.99</v>
      </c>
      <c r="G421">
        <f t="shared" si="6"/>
        <v>103.87</v>
      </c>
      <c r="H421">
        <v>429</v>
      </c>
      <c r="I421" t="s">
        <v>57</v>
      </c>
      <c r="J421">
        <v>3</v>
      </c>
      <c r="K421">
        <v>5</v>
      </c>
      <c r="L421" t="b">
        <v>0</v>
      </c>
      <c r="M421">
        <v>988</v>
      </c>
      <c r="N421">
        <v>115</v>
      </c>
      <c r="O421" t="s">
        <v>27</v>
      </c>
      <c r="P421" t="s">
        <v>51</v>
      </c>
      <c r="Q421" t="s">
        <v>52</v>
      </c>
      <c r="R421">
        <v>19</v>
      </c>
      <c r="S421">
        <v>4.3</v>
      </c>
      <c r="T421" t="b">
        <v>1</v>
      </c>
      <c r="U421" t="s">
        <v>30</v>
      </c>
      <c r="V421">
        <v>3773</v>
      </c>
      <c r="W421" t="s">
        <v>59</v>
      </c>
      <c r="X421" t="s">
        <v>38</v>
      </c>
      <c r="Y421" t="s">
        <v>33</v>
      </c>
    </row>
    <row r="422" spans="1:25" x14ac:dyDescent="0.35">
      <c r="A422">
        <v>8225</v>
      </c>
      <c r="B422" t="s">
        <v>236</v>
      </c>
      <c r="C422" s="1">
        <v>45420</v>
      </c>
      <c r="D422" s="1">
        <v>45620</v>
      </c>
      <c r="E422">
        <v>6</v>
      </c>
      <c r="F422">
        <v>15.99</v>
      </c>
      <c r="G422">
        <f t="shared" si="6"/>
        <v>95.94</v>
      </c>
      <c r="H422">
        <v>282</v>
      </c>
      <c r="I422" t="s">
        <v>57</v>
      </c>
      <c r="J422">
        <v>1</v>
      </c>
      <c r="K422">
        <v>1</v>
      </c>
      <c r="L422" t="b">
        <v>1</v>
      </c>
      <c r="M422">
        <v>386</v>
      </c>
      <c r="N422">
        <v>177</v>
      </c>
      <c r="O422" t="s">
        <v>65</v>
      </c>
      <c r="P422" t="s">
        <v>28</v>
      </c>
      <c r="Q422" t="s">
        <v>52</v>
      </c>
      <c r="R422">
        <v>17</v>
      </c>
      <c r="S422">
        <v>3.4</v>
      </c>
      <c r="T422" t="b">
        <v>1</v>
      </c>
      <c r="U422" t="s">
        <v>30</v>
      </c>
      <c r="V422">
        <v>1231</v>
      </c>
      <c r="W422" t="s">
        <v>59</v>
      </c>
      <c r="X422" t="s">
        <v>70</v>
      </c>
      <c r="Y422" t="s">
        <v>77</v>
      </c>
    </row>
    <row r="423" spans="1:25" x14ac:dyDescent="0.35">
      <c r="A423">
        <v>4714</v>
      </c>
      <c r="B423" t="s">
        <v>279</v>
      </c>
      <c r="C423" s="1">
        <v>45578</v>
      </c>
      <c r="D423" s="1">
        <v>45616</v>
      </c>
      <c r="E423">
        <v>1</v>
      </c>
      <c r="F423">
        <v>11.99</v>
      </c>
      <c r="G423">
        <f t="shared" si="6"/>
        <v>11.99</v>
      </c>
      <c r="H423">
        <v>248</v>
      </c>
      <c r="I423" t="s">
        <v>45</v>
      </c>
      <c r="J423">
        <v>5</v>
      </c>
      <c r="K423">
        <v>6</v>
      </c>
      <c r="L423" t="b">
        <v>0</v>
      </c>
      <c r="M423">
        <v>996</v>
      </c>
      <c r="N423">
        <v>24</v>
      </c>
      <c r="O423" t="s">
        <v>61</v>
      </c>
      <c r="P423" t="s">
        <v>42</v>
      </c>
      <c r="Q423" t="s">
        <v>36</v>
      </c>
      <c r="R423">
        <v>53</v>
      </c>
      <c r="S423">
        <v>3.3</v>
      </c>
      <c r="T423" t="b">
        <v>1</v>
      </c>
      <c r="U423" t="s">
        <v>30</v>
      </c>
      <c r="V423">
        <v>62</v>
      </c>
      <c r="W423" t="s">
        <v>37</v>
      </c>
      <c r="X423" t="s">
        <v>38</v>
      </c>
      <c r="Y423" t="s">
        <v>39</v>
      </c>
    </row>
    <row r="424" spans="1:25" x14ac:dyDescent="0.35">
      <c r="A424">
        <v>3826</v>
      </c>
      <c r="B424" t="s">
        <v>222</v>
      </c>
      <c r="C424" s="1">
        <v>45567</v>
      </c>
      <c r="D424" s="1">
        <v>45642</v>
      </c>
      <c r="E424">
        <v>2</v>
      </c>
      <c r="F424">
        <v>11.99</v>
      </c>
      <c r="G424">
        <f t="shared" si="6"/>
        <v>23.98</v>
      </c>
      <c r="H424">
        <v>406</v>
      </c>
      <c r="I424" t="s">
        <v>48</v>
      </c>
      <c r="J424">
        <v>3</v>
      </c>
      <c r="K424">
        <v>3</v>
      </c>
      <c r="L424" t="b">
        <v>0</v>
      </c>
      <c r="M424">
        <v>369</v>
      </c>
      <c r="N424">
        <v>13</v>
      </c>
      <c r="O424" t="s">
        <v>27</v>
      </c>
      <c r="P424" t="s">
        <v>66</v>
      </c>
      <c r="Q424" t="s">
        <v>43</v>
      </c>
      <c r="R424">
        <v>82</v>
      </c>
      <c r="S424">
        <v>4.7</v>
      </c>
      <c r="T424" t="b">
        <v>0</v>
      </c>
      <c r="U424" t="s">
        <v>30</v>
      </c>
      <c r="V424">
        <v>1580</v>
      </c>
      <c r="W424" t="s">
        <v>67</v>
      </c>
      <c r="X424" t="s">
        <v>70</v>
      </c>
      <c r="Y424" t="s">
        <v>33</v>
      </c>
    </row>
    <row r="425" spans="1:25" x14ac:dyDescent="0.35">
      <c r="A425">
        <v>3781</v>
      </c>
      <c r="B425" t="s">
        <v>280</v>
      </c>
      <c r="C425" s="1">
        <v>45643</v>
      </c>
      <c r="D425" s="1">
        <v>45625</v>
      </c>
      <c r="E425">
        <v>0</v>
      </c>
      <c r="F425">
        <v>15.99</v>
      </c>
      <c r="G425">
        <f t="shared" si="6"/>
        <v>0</v>
      </c>
      <c r="H425">
        <v>249</v>
      </c>
      <c r="I425" t="s">
        <v>81</v>
      </c>
      <c r="J425">
        <v>1</v>
      </c>
      <c r="K425">
        <v>4</v>
      </c>
      <c r="L425" t="b">
        <v>1</v>
      </c>
      <c r="M425">
        <v>713</v>
      </c>
      <c r="N425">
        <v>125</v>
      </c>
      <c r="O425" t="s">
        <v>46</v>
      </c>
      <c r="P425" t="s">
        <v>28</v>
      </c>
      <c r="Q425" t="s">
        <v>36</v>
      </c>
      <c r="R425">
        <v>95</v>
      </c>
      <c r="S425">
        <v>4.8</v>
      </c>
      <c r="T425" t="b">
        <v>0</v>
      </c>
      <c r="U425" t="s">
        <v>30</v>
      </c>
      <c r="V425">
        <v>74</v>
      </c>
      <c r="W425" t="s">
        <v>59</v>
      </c>
      <c r="X425" t="s">
        <v>54</v>
      </c>
      <c r="Y425" t="s">
        <v>55</v>
      </c>
    </row>
    <row r="426" spans="1:25" x14ac:dyDescent="0.35">
      <c r="A426">
        <v>5635</v>
      </c>
      <c r="B426" t="s">
        <v>281</v>
      </c>
      <c r="C426" s="1">
        <v>45217</v>
      </c>
      <c r="D426" s="1">
        <v>45620</v>
      </c>
      <c r="E426">
        <v>13</v>
      </c>
      <c r="F426">
        <v>7.99</v>
      </c>
      <c r="G426">
        <f t="shared" si="6"/>
        <v>103.87</v>
      </c>
      <c r="H426">
        <v>12</v>
      </c>
      <c r="I426" t="s">
        <v>57</v>
      </c>
      <c r="J426">
        <v>2</v>
      </c>
      <c r="K426">
        <v>4</v>
      </c>
      <c r="L426" t="b">
        <v>0</v>
      </c>
      <c r="M426">
        <v>928</v>
      </c>
      <c r="N426">
        <v>147</v>
      </c>
      <c r="O426" t="s">
        <v>61</v>
      </c>
      <c r="P426" t="s">
        <v>42</v>
      </c>
      <c r="Q426" t="s">
        <v>58</v>
      </c>
      <c r="R426">
        <v>92</v>
      </c>
      <c r="S426">
        <v>4.7</v>
      </c>
      <c r="T426" t="b">
        <v>0</v>
      </c>
      <c r="U426" t="s">
        <v>30</v>
      </c>
      <c r="V426">
        <v>3452</v>
      </c>
      <c r="W426" t="s">
        <v>67</v>
      </c>
      <c r="X426" t="s">
        <v>38</v>
      </c>
      <c r="Y426" t="s">
        <v>33</v>
      </c>
    </row>
    <row r="427" spans="1:25" x14ac:dyDescent="0.35">
      <c r="A427">
        <v>2291</v>
      </c>
      <c r="B427" t="s">
        <v>134</v>
      </c>
      <c r="C427" s="1">
        <v>45028</v>
      </c>
      <c r="D427" s="1">
        <v>45627</v>
      </c>
      <c r="E427">
        <v>19</v>
      </c>
      <c r="F427">
        <v>7.99</v>
      </c>
      <c r="G427">
        <f t="shared" si="6"/>
        <v>151.81</v>
      </c>
      <c r="H427">
        <v>57</v>
      </c>
      <c r="I427" t="s">
        <v>26</v>
      </c>
      <c r="J427">
        <v>2</v>
      </c>
      <c r="K427">
        <v>6</v>
      </c>
      <c r="L427" t="b">
        <v>1</v>
      </c>
      <c r="M427">
        <v>869</v>
      </c>
      <c r="N427">
        <v>107</v>
      </c>
      <c r="O427" t="s">
        <v>61</v>
      </c>
      <c r="P427" t="s">
        <v>51</v>
      </c>
      <c r="Q427" t="s">
        <v>52</v>
      </c>
      <c r="R427">
        <v>67</v>
      </c>
      <c r="S427">
        <v>4.3</v>
      </c>
      <c r="T427" t="b">
        <v>0</v>
      </c>
      <c r="U427" t="s">
        <v>30</v>
      </c>
      <c r="V427">
        <v>4792</v>
      </c>
      <c r="W427" t="s">
        <v>37</v>
      </c>
      <c r="X427" t="s">
        <v>54</v>
      </c>
      <c r="Y427" t="s">
        <v>77</v>
      </c>
    </row>
    <row r="428" spans="1:25" x14ac:dyDescent="0.35">
      <c r="A428">
        <v>3119</v>
      </c>
      <c r="B428" t="s">
        <v>267</v>
      </c>
      <c r="C428" s="1">
        <v>45553</v>
      </c>
      <c r="D428" s="1">
        <v>45639</v>
      </c>
      <c r="E428">
        <v>2</v>
      </c>
      <c r="F428">
        <v>7.99</v>
      </c>
      <c r="G428">
        <f t="shared" si="6"/>
        <v>15.98</v>
      </c>
      <c r="H428">
        <v>247</v>
      </c>
      <c r="I428" t="s">
        <v>81</v>
      </c>
      <c r="J428">
        <v>5</v>
      </c>
      <c r="K428">
        <v>6</v>
      </c>
      <c r="L428" t="b">
        <v>1</v>
      </c>
      <c r="M428">
        <v>563</v>
      </c>
      <c r="N428">
        <v>185</v>
      </c>
      <c r="O428" t="s">
        <v>61</v>
      </c>
      <c r="P428" t="s">
        <v>42</v>
      </c>
      <c r="Q428" t="s">
        <v>43</v>
      </c>
      <c r="R428">
        <v>3</v>
      </c>
      <c r="S428">
        <v>4.8</v>
      </c>
      <c r="T428" t="b">
        <v>0</v>
      </c>
      <c r="U428" t="s">
        <v>30</v>
      </c>
      <c r="V428">
        <v>4378</v>
      </c>
      <c r="W428" t="s">
        <v>53</v>
      </c>
      <c r="X428" t="s">
        <v>62</v>
      </c>
      <c r="Y428" t="s">
        <v>39</v>
      </c>
    </row>
    <row r="429" spans="1:25" x14ac:dyDescent="0.35">
      <c r="A429">
        <v>5280</v>
      </c>
      <c r="B429" t="s">
        <v>282</v>
      </c>
      <c r="C429" s="1">
        <v>45010</v>
      </c>
      <c r="D429" s="1">
        <v>45625</v>
      </c>
      <c r="E429">
        <v>20</v>
      </c>
      <c r="F429">
        <v>7.99</v>
      </c>
      <c r="G429">
        <f t="shared" si="6"/>
        <v>159.80000000000001</v>
      </c>
      <c r="H429">
        <v>25</v>
      </c>
      <c r="I429" t="s">
        <v>57</v>
      </c>
      <c r="J429">
        <v>5</v>
      </c>
      <c r="K429">
        <v>2</v>
      </c>
      <c r="L429" t="b">
        <v>1</v>
      </c>
      <c r="M429">
        <v>429</v>
      </c>
      <c r="N429">
        <v>138</v>
      </c>
      <c r="O429" t="s">
        <v>61</v>
      </c>
      <c r="P429" t="s">
        <v>51</v>
      </c>
      <c r="Q429" t="s">
        <v>58</v>
      </c>
      <c r="R429">
        <v>40</v>
      </c>
      <c r="S429">
        <v>3.5</v>
      </c>
      <c r="T429" t="b">
        <v>0</v>
      </c>
      <c r="U429" t="s">
        <v>30</v>
      </c>
      <c r="V429">
        <v>1713</v>
      </c>
      <c r="W429" t="s">
        <v>31</v>
      </c>
      <c r="X429" t="s">
        <v>70</v>
      </c>
      <c r="Y429" t="s">
        <v>33</v>
      </c>
    </row>
    <row r="430" spans="1:25" x14ac:dyDescent="0.35">
      <c r="A430">
        <v>2546</v>
      </c>
      <c r="B430" t="s">
        <v>283</v>
      </c>
      <c r="C430" s="1">
        <v>45063</v>
      </c>
      <c r="D430" s="1">
        <v>45629</v>
      </c>
      <c r="E430">
        <v>18</v>
      </c>
      <c r="F430">
        <v>15.99</v>
      </c>
      <c r="G430">
        <f t="shared" si="6"/>
        <v>287.82</v>
      </c>
      <c r="H430">
        <v>425</v>
      </c>
      <c r="I430" t="s">
        <v>64</v>
      </c>
      <c r="J430">
        <v>3</v>
      </c>
      <c r="K430">
        <v>6</v>
      </c>
      <c r="L430" t="b">
        <v>0</v>
      </c>
      <c r="M430">
        <v>236</v>
      </c>
      <c r="N430">
        <v>37</v>
      </c>
      <c r="O430" t="s">
        <v>61</v>
      </c>
      <c r="P430" t="s">
        <v>42</v>
      </c>
      <c r="Q430" t="s">
        <v>58</v>
      </c>
      <c r="R430">
        <v>49</v>
      </c>
      <c r="S430">
        <v>4</v>
      </c>
      <c r="T430" t="b">
        <v>0</v>
      </c>
      <c r="U430" t="s">
        <v>30</v>
      </c>
      <c r="V430">
        <v>1201</v>
      </c>
      <c r="W430" t="s">
        <v>31</v>
      </c>
      <c r="X430" t="s">
        <v>38</v>
      </c>
      <c r="Y430" t="s">
        <v>39</v>
      </c>
    </row>
    <row r="431" spans="1:25" x14ac:dyDescent="0.35">
      <c r="A431">
        <v>5975</v>
      </c>
      <c r="B431" t="s">
        <v>104</v>
      </c>
      <c r="C431" s="1">
        <v>45193</v>
      </c>
      <c r="D431" s="1">
        <v>45643</v>
      </c>
      <c r="E431">
        <v>14</v>
      </c>
      <c r="F431">
        <v>7.99</v>
      </c>
      <c r="G431">
        <f t="shared" si="6"/>
        <v>111.86</v>
      </c>
      <c r="H431">
        <v>315</v>
      </c>
      <c r="I431" t="s">
        <v>48</v>
      </c>
      <c r="J431">
        <v>2</v>
      </c>
      <c r="K431">
        <v>5</v>
      </c>
      <c r="L431" t="b">
        <v>1</v>
      </c>
      <c r="M431">
        <v>889</v>
      </c>
      <c r="N431">
        <v>80</v>
      </c>
      <c r="O431" t="s">
        <v>65</v>
      </c>
      <c r="P431" t="s">
        <v>51</v>
      </c>
      <c r="Q431" t="s">
        <v>36</v>
      </c>
      <c r="R431">
        <v>52</v>
      </c>
      <c r="S431">
        <v>4.4000000000000004</v>
      </c>
      <c r="T431" t="b">
        <v>1</v>
      </c>
      <c r="U431" t="s">
        <v>30</v>
      </c>
      <c r="V431">
        <v>416</v>
      </c>
      <c r="W431" t="s">
        <v>53</v>
      </c>
      <c r="X431" t="s">
        <v>70</v>
      </c>
      <c r="Y431" t="s">
        <v>77</v>
      </c>
    </row>
    <row r="432" spans="1:25" x14ac:dyDescent="0.35">
      <c r="A432">
        <v>9113</v>
      </c>
      <c r="B432" t="s">
        <v>154</v>
      </c>
      <c r="C432" s="1">
        <v>45548</v>
      </c>
      <c r="D432" s="1">
        <v>45626</v>
      </c>
      <c r="E432">
        <v>2</v>
      </c>
      <c r="F432">
        <v>7.99</v>
      </c>
      <c r="G432">
        <f t="shared" si="6"/>
        <v>15.98</v>
      </c>
      <c r="H432">
        <v>466</v>
      </c>
      <c r="I432" t="s">
        <v>64</v>
      </c>
      <c r="J432">
        <v>4</v>
      </c>
      <c r="K432">
        <v>4</v>
      </c>
      <c r="L432" t="b">
        <v>0</v>
      </c>
      <c r="M432">
        <v>785</v>
      </c>
      <c r="N432">
        <v>12</v>
      </c>
      <c r="O432" t="s">
        <v>46</v>
      </c>
      <c r="P432" t="s">
        <v>42</v>
      </c>
      <c r="Q432" t="s">
        <v>52</v>
      </c>
      <c r="R432">
        <v>94</v>
      </c>
      <c r="S432">
        <v>4.9000000000000004</v>
      </c>
      <c r="T432" t="b">
        <v>0</v>
      </c>
      <c r="U432" t="s">
        <v>30</v>
      </c>
      <c r="V432">
        <v>17</v>
      </c>
      <c r="W432" t="s">
        <v>37</v>
      </c>
      <c r="X432" t="s">
        <v>70</v>
      </c>
      <c r="Y432" t="s">
        <v>39</v>
      </c>
    </row>
    <row r="433" spans="1:25" x14ac:dyDescent="0.35">
      <c r="A433">
        <v>6250</v>
      </c>
      <c r="B433" t="s">
        <v>284</v>
      </c>
      <c r="C433" s="1">
        <v>45481</v>
      </c>
      <c r="D433" s="1">
        <v>45618</v>
      </c>
      <c r="E433">
        <v>4</v>
      </c>
      <c r="F433">
        <v>15.99</v>
      </c>
      <c r="G433">
        <f t="shared" si="6"/>
        <v>63.96</v>
      </c>
      <c r="H433">
        <v>207</v>
      </c>
      <c r="I433" t="s">
        <v>45</v>
      </c>
      <c r="J433">
        <v>3</v>
      </c>
      <c r="K433">
        <v>6</v>
      </c>
      <c r="L433" t="b">
        <v>0</v>
      </c>
      <c r="M433">
        <v>909</v>
      </c>
      <c r="N433">
        <v>164</v>
      </c>
      <c r="O433" t="s">
        <v>41</v>
      </c>
      <c r="P433" t="s">
        <v>51</v>
      </c>
      <c r="Q433" t="s">
        <v>29</v>
      </c>
      <c r="R433">
        <v>75</v>
      </c>
      <c r="S433">
        <v>4.2</v>
      </c>
      <c r="T433" t="b">
        <v>1</v>
      </c>
      <c r="U433" t="s">
        <v>30</v>
      </c>
      <c r="V433">
        <v>4820</v>
      </c>
      <c r="W433" t="s">
        <v>59</v>
      </c>
      <c r="X433" t="s">
        <v>62</v>
      </c>
      <c r="Y433" t="s">
        <v>77</v>
      </c>
    </row>
    <row r="434" spans="1:25" x14ac:dyDescent="0.35">
      <c r="A434">
        <v>6190</v>
      </c>
      <c r="B434" t="s">
        <v>285</v>
      </c>
      <c r="C434" s="1">
        <v>45613</v>
      </c>
      <c r="D434" s="1">
        <v>45634</v>
      </c>
      <c r="E434">
        <v>0</v>
      </c>
      <c r="F434">
        <v>7.99</v>
      </c>
      <c r="G434">
        <f t="shared" si="6"/>
        <v>0</v>
      </c>
      <c r="H434">
        <v>248</v>
      </c>
      <c r="I434" t="s">
        <v>35</v>
      </c>
      <c r="J434">
        <v>5</v>
      </c>
      <c r="K434">
        <v>2</v>
      </c>
      <c r="L434" t="b">
        <v>0</v>
      </c>
      <c r="M434">
        <v>142</v>
      </c>
      <c r="N434">
        <v>22</v>
      </c>
      <c r="O434" t="s">
        <v>27</v>
      </c>
      <c r="P434" t="s">
        <v>42</v>
      </c>
      <c r="Q434" t="s">
        <v>43</v>
      </c>
      <c r="R434">
        <v>94</v>
      </c>
      <c r="S434">
        <v>4.2</v>
      </c>
      <c r="T434" t="b">
        <v>0</v>
      </c>
      <c r="U434" t="s">
        <v>30</v>
      </c>
      <c r="V434">
        <v>1758</v>
      </c>
      <c r="W434" t="s">
        <v>67</v>
      </c>
      <c r="X434" t="s">
        <v>70</v>
      </c>
      <c r="Y434" t="s">
        <v>33</v>
      </c>
    </row>
    <row r="435" spans="1:25" x14ac:dyDescent="0.35">
      <c r="A435">
        <v>5713</v>
      </c>
      <c r="B435" t="s">
        <v>286</v>
      </c>
      <c r="C435" s="1">
        <v>45399</v>
      </c>
      <c r="D435" s="1">
        <v>45620</v>
      </c>
      <c r="E435">
        <v>7</v>
      </c>
      <c r="F435">
        <v>7.99</v>
      </c>
      <c r="G435">
        <f t="shared" si="6"/>
        <v>55.93</v>
      </c>
      <c r="H435">
        <v>278</v>
      </c>
      <c r="I435" t="s">
        <v>35</v>
      </c>
      <c r="J435">
        <v>5</v>
      </c>
      <c r="K435">
        <v>1</v>
      </c>
      <c r="L435" t="b">
        <v>0</v>
      </c>
      <c r="M435">
        <v>743</v>
      </c>
      <c r="N435">
        <v>180</v>
      </c>
      <c r="O435" t="s">
        <v>27</v>
      </c>
      <c r="P435" t="s">
        <v>66</v>
      </c>
      <c r="Q435" t="s">
        <v>29</v>
      </c>
      <c r="R435">
        <v>0</v>
      </c>
      <c r="S435">
        <v>4.3</v>
      </c>
      <c r="T435" t="b">
        <v>1</v>
      </c>
      <c r="U435" t="s">
        <v>30</v>
      </c>
      <c r="V435">
        <v>2568</v>
      </c>
      <c r="W435" t="s">
        <v>37</v>
      </c>
      <c r="X435" t="s">
        <v>62</v>
      </c>
      <c r="Y435" t="s">
        <v>55</v>
      </c>
    </row>
    <row r="436" spans="1:25" x14ac:dyDescent="0.35">
      <c r="A436">
        <v>1932</v>
      </c>
      <c r="B436" t="s">
        <v>116</v>
      </c>
      <c r="C436" s="1">
        <v>45312</v>
      </c>
      <c r="D436" s="1">
        <v>45643</v>
      </c>
      <c r="E436">
        <v>10</v>
      </c>
      <c r="F436">
        <v>7.99</v>
      </c>
      <c r="G436">
        <f t="shared" si="6"/>
        <v>79.900000000000006</v>
      </c>
      <c r="H436">
        <v>315</v>
      </c>
      <c r="I436" t="s">
        <v>48</v>
      </c>
      <c r="J436">
        <v>1</v>
      </c>
      <c r="K436">
        <v>2</v>
      </c>
      <c r="L436" t="b">
        <v>0</v>
      </c>
      <c r="M436">
        <v>40</v>
      </c>
      <c r="N436">
        <v>188</v>
      </c>
      <c r="O436" t="s">
        <v>76</v>
      </c>
      <c r="P436" t="s">
        <v>42</v>
      </c>
      <c r="Q436" t="s">
        <v>69</v>
      </c>
      <c r="R436">
        <v>86</v>
      </c>
      <c r="S436">
        <v>3.7</v>
      </c>
      <c r="T436" t="b">
        <v>1</v>
      </c>
      <c r="U436" t="s">
        <v>30</v>
      </c>
      <c r="V436">
        <v>4235</v>
      </c>
      <c r="W436" t="s">
        <v>31</v>
      </c>
      <c r="X436" t="s">
        <v>62</v>
      </c>
      <c r="Y436" t="s">
        <v>33</v>
      </c>
    </row>
    <row r="437" spans="1:25" x14ac:dyDescent="0.35">
      <c r="A437">
        <v>6527</v>
      </c>
      <c r="B437" t="s">
        <v>287</v>
      </c>
      <c r="C437" s="1">
        <v>45071</v>
      </c>
      <c r="D437" s="1">
        <v>45619</v>
      </c>
      <c r="E437">
        <v>17</v>
      </c>
      <c r="F437">
        <v>7.99</v>
      </c>
      <c r="G437">
        <f t="shared" si="6"/>
        <v>135.83000000000001</v>
      </c>
      <c r="H437">
        <v>190</v>
      </c>
      <c r="I437" t="s">
        <v>81</v>
      </c>
      <c r="J437">
        <v>4</v>
      </c>
      <c r="K437">
        <v>1</v>
      </c>
      <c r="L437" t="b">
        <v>1</v>
      </c>
      <c r="M437">
        <v>400</v>
      </c>
      <c r="N437">
        <v>151</v>
      </c>
      <c r="O437" t="s">
        <v>61</v>
      </c>
      <c r="P437" t="s">
        <v>28</v>
      </c>
      <c r="Q437" t="s">
        <v>36</v>
      </c>
      <c r="R437">
        <v>52</v>
      </c>
      <c r="S437">
        <v>4.3</v>
      </c>
      <c r="T437" t="b">
        <v>0</v>
      </c>
      <c r="U437" t="s">
        <v>30</v>
      </c>
      <c r="V437">
        <v>3775</v>
      </c>
      <c r="W437" t="s">
        <v>37</v>
      </c>
      <c r="X437" t="s">
        <v>70</v>
      </c>
      <c r="Y437" t="s">
        <v>33</v>
      </c>
    </row>
    <row r="438" spans="1:25" x14ac:dyDescent="0.35">
      <c r="A438">
        <v>9363</v>
      </c>
      <c r="B438" t="s">
        <v>102</v>
      </c>
      <c r="C438" s="1">
        <v>45570</v>
      </c>
      <c r="D438" s="1">
        <v>45619</v>
      </c>
      <c r="E438">
        <v>1</v>
      </c>
      <c r="F438">
        <v>11.99</v>
      </c>
      <c r="G438">
        <f t="shared" si="6"/>
        <v>11.99</v>
      </c>
      <c r="H438">
        <v>190</v>
      </c>
      <c r="I438" t="s">
        <v>57</v>
      </c>
      <c r="J438">
        <v>2</v>
      </c>
      <c r="K438">
        <v>1</v>
      </c>
      <c r="L438" t="b">
        <v>0</v>
      </c>
      <c r="M438">
        <v>359</v>
      </c>
      <c r="N438">
        <v>192</v>
      </c>
      <c r="O438" t="s">
        <v>65</v>
      </c>
      <c r="P438" t="s">
        <v>28</v>
      </c>
      <c r="Q438" t="s">
        <v>58</v>
      </c>
      <c r="R438">
        <v>38</v>
      </c>
      <c r="S438">
        <v>4.4000000000000004</v>
      </c>
      <c r="T438" t="b">
        <v>1</v>
      </c>
      <c r="U438" t="s">
        <v>30</v>
      </c>
      <c r="V438">
        <v>92</v>
      </c>
      <c r="W438" t="s">
        <v>31</v>
      </c>
      <c r="X438" t="s">
        <v>62</v>
      </c>
      <c r="Y438" t="s">
        <v>77</v>
      </c>
    </row>
    <row r="439" spans="1:25" x14ac:dyDescent="0.35">
      <c r="A439">
        <v>5019</v>
      </c>
      <c r="B439" t="s">
        <v>106</v>
      </c>
      <c r="C439" s="1">
        <v>45567</v>
      </c>
      <c r="D439" s="1">
        <v>45638</v>
      </c>
      <c r="E439">
        <v>2</v>
      </c>
      <c r="F439">
        <v>15.99</v>
      </c>
      <c r="G439">
        <f t="shared" si="6"/>
        <v>31.98</v>
      </c>
      <c r="H439">
        <v>408</v>
      </c>
      <c r="I439" t="s">
        <v>48</v>
      </c>
      <c r="J439">
        <v>4</v>
      </c>
      <c r="K439">
        <v>3</v>
      </c>
      <c r="L439" t="b">
        <v>0</v>
      </c>
      <c r="M439">
        <v>711</v>
      </c>
      <c r="N439">
        <v>23</v>
      </c>
      <c r="O439" t="s">
        <v>65</v>
      </c>
      <c r="P439" t="s">
        <v>51</v>
      </c>
      <c r="Q439" t="s">
        <v>69</v>
      </c>
      <c r="R439">
        <v>65</v>
      </c>
      <c r="S439">
        <v>3.6</v>
      </c>
      <c r="T439" t="b">
        <v>1</v>
      </c>
      <c r="U439" t="s">
        <v>30</v>
      </c>
      <c r="V439">
        <v>72</v>
      </c>
      <c r="W439" t="s">
        <v>59</v>
      </c>
      <c r="X439" t="s">
        <v>38</v>
      </c>
      <c r="Y439" t="s">
        <v>39</v>
      </c>
    </row>
    <row r="440" spans="1:25" x14ac:dyDescent="0.35">
      <c r="A440">
        <v>9258</v>
      </c>
      <c r="B440" t="s">
        <v>288</v>
      </c>
      <c r="C440" s="1">
        <v>45348</v>
      </c>
      <c r="D440" s="1">
        <v>45632</v>
      </c>
      <c r="E440">
        <v>9</v>
      </c>
      <c r="F440">
        <v>15.99</v>
      </c>
      <c r="G440">
        <f t="shared" si="6"/>
        <v>143.91</v>
      </c>
      <c r="H440">
        <v>227</v>
      </c>
      <c r="I440" t="s">
        <v>48</v>
      </c>
      <c r="J440">
        <v>2</v>
      </c>
      <c r="K440">
        <v>1</v>
      </c>
      <c r="L440" t="b">
        <v>0</v>
      </c>
      <c r="M440">
        <v>581</v>
      </c>
      <c r="N440">
        <v>146</v>
      </c>
      <c r="O440" t="s">
        <v>65</v>
      </c>
      <c r="P440" t="s">
        <v>28</v>
      </c>
      <c r="Q440" t="s">
        <v>52</v>
      </c>
      <c r="R440">
        <v>37</v>
      </c>
      <c r="S440">
        <v>4.4000000000000004</v>
      </c>
      <c r="T440" t="b">
        <v>0</v>
      </c>
      <c r="U440" t="s">
        <v>30</v>
      </c>
      <c r="V440">
        <v>2488</v>
      </c>
      <c r="W440" t="s">
        <v>31</v>
      </c>
      <c r="X440" t="s">
        <v>54</v>
      </c>
      <c r="Y440" t="s">
        <v>39</v>
      </c>
    </row>
    <row r="441" spans="1:25" x14ac:dyDescent="0.35">
      <c r="A441">
        <v>7512</v>
      </c>
      <c r="B441" t="s">
        <v>289</v>
      </c>
      <c r="C441" s="1">
        <v>45273</v>
      </c>
      <c r="D441" s="1">
        <v>45620</v>
      </c>
      <c r="E441">
        <v>11</v>
      </c>
      <c r="F441">
        <v>11.99</v>
      </c>
      <c r="G441">
        <f t="shared" si="6"/>
        <v>131.89000000000001</v>
      </c>
      <c r="H441">
        <v>479</v>
      </c>
      <c r="I441" t="s">
        <v>64</v>
      </c>
      <c r="J441">
        <v>2</v>
      </c>
      <c r="K441">
        <v>4</v>
      </c>
      <c r="L441" t="b">
        <v>1</v>
      </c>
      <c r="M441">
        <v>923</v>
      </c>
      <c r="N441">
        <v>182</v>
      </c>
      <c r="O441" t="s">
        <v>50</v>
      </c>
      <c r="P441" t="s">
        <v>42</v>
      </c>
      <c r="Q441" t="s">
        <v>29</v>
      </c>
      <c r="R441">
        <v>14</v>
      </c>
      <c r="S441">
        <v>4.9000000000000004</v>
      </c>
      <c r="T441" t="b">
        <v>1</v>
      </c>
      <c r="U441" t="s">
        <v>30</v>
      </c>
      <c r="V441">
        <v>2666</v>
      </c>
      <c r="W441" t="s">
        <v>59</v>
      </c>
      <c r="X441" t="s">
        <v>70</v>
      </c>
      <c r="Y441" t="s">
        <v>77</v>
      </c>
    </row>
    <row r="442" spans="1:25" x14ac:dyDescent="0.35">
      <c r="A442">
        <v>8195</v>
      </c>
      <c r="B442" t="s">
        <v>290</v>
      </c>
      <c r="C442" s="1">
        <v>45033</v>
      </c>
      <c r="D442" s="1">
        <v>45616</v>
      </c>
      <c r="E442">
        <v>19</v>
      </c>
      <c r="F442">
        <v>11.99</v>
      </c>
      <c r="G442">
        <f t="shared" si="6"/>
        <v>227.81</v>
      </c>
      <c r="H442">
        <v>415</v>
      </c>
      <c r="I442" t="s">
        <v>35</v>
      </c>
      <c r="J442">
        <v>3</v>
      </c>
      <c r="K442">
        <v>1</v>
      </c>
      <c r="L442" t="b">
        <v>0</v>
      </c>
      <c r="M442">
        <v>381</v>
      </c>
      <c r="N442">
        <v>78</v>
      </c>
      <c r="O442" t="s">
        <v>65</v>
      </c>
      <c r="P442" t="s">
        <v>42</v>
      </c>
      <c r="Q442" t="s">
        <v>43</v>
      </c>
      <c r="R442">
        <v>84</v>
      </c>
      <c r="S442">
        <v>4.4000000000000004</v>
      </c>
      <c r="T442" t="b">
        <v>1</v>
      </c>
      <c r="U442" t="s">
        <v>30</v>
      </c>
      <c r="V442">
        <v>4221</v>
      </c>
      <c r="W442" t="s">
        <v>67</v>
      </c>
      <c r="X442" t="s">
        <v>70</v>
      </c>
      <c r="Y442" t="s">
        <v>55</v>
      </c>
    </row>
    <row r="443" spans="1:25" x14ac:dyDescent="0.35">
      <c r="A443">
        <v>8242</v>
      </c>
      <c r="B443" t="s">
        <v>169</v>
      </c>
      <c r="C443" s="1">
        <v>44914</v>
      </c>
      <c r="D443" s="1">
        <v>45630</v>
      </c>
      <c r="E443">
        <v>23</v>
      </c>
      <c r="F443">
        <v>11.99</v>
      </c>
      <c r="G443">
        <f t="shared" si="6"/>
        <v>275.77</v>
      </c>
      <c r="H443">
        <v>204</v>
      </c>
      <c r="I443" t="s">
        <v>81</v>
      </c>
      <c r="J443">
        <v>4</v>
      </c>
      <c r="K443">
        <v>4</v>
      </c>
      <c r="L443" t="b">
        <v>1</v>
      </c>
      <c r="M443">
        <v>706</v>
      </c>
      <c r="N443">
        <v>153</v>
      </c>
      <c r="O443" t="s">
        <v>41</v>
      </c>
      <c r="P443" t="s">
        <v>28</v>
      </c>
      <c r="Q443" t="s">
        <v>29</v>
      </c>
      <c r="R443">
        <v>94</v>
      </c>
      <c r="S443">
        <v>3.7</v>
      </c>
      <c r="T443" t="b">
        <v>1</v>
      </c>
      <c r="U443" t="s">
        <v>30</v>
      </c>
      <c r="V443">
        <v>4569</v>
      </c>
      <c r="W443" t="s">
        <v>31</v>
      </c>
      <c r="X443" t="s">
        <v>70</v>
      </c>
      <c r="Y443" t="s">
        <v>33</v>
      </c>
    </row>
    <row r="444" spans="1:25" x14ac:dyDescent="0.35">
      <c r="A444">
        <v>2220</v>
      </c>
      <c r="B444" t="s">
        <v>266</v>
      </c>
      <c r="C444" s="1">
        <v>45220</v>
      </c>
      <c r="D444" s="1">
        <v>45624</v>
      </c>
      <c r="E444">
        <v>13</v>
      </c>
      <c r="F444">
        <v>15.99</v>
      </c>
      <c r="G444">
        <f t="shared" si="6"/>
        <v>207.87</v>
      </c>
      <c r="H444">
        <v>205</v>
      </c>
      <c r="I444" t="s">
        <v>64</v>
      </c>
      <c r="J444">
        <v>3</v>
      </c>
      <c r="K444">
        <v>1</v>
      </c>
      <c r="L444" t="b">
        <v>1</v>
      </c>
      <c r="M444">
        <v>792</v>
      </c>
      <c r="N444">
        <v>103</v>
      </c>
      <c r="O444" t="s">
        <v>65</v>
      </c>
      <c r="P444" t="s">
        <v>28</v>
      </c>
      <c r="Q444" t="s">
        <v>43</v>
      </c>
      <c r="R444">
        <v>24</v>
      </c>
      <c r="S444">
        <v>3.9</v>
      </c>
      <c r="T444" t="b">
        <v>1</v>
      </c>
      <c r="U444" t="s">
        <v>30</v>
      </c>
      <c r="V444">
        <v>2695</v>
      </c>
      <c r="W444" t="s">
        <v>59</v>
      </c>
      <c r="X444" t="s">
        <v>70</v>
      </c>
      <c r="Y444" t="s">
        <v>39</v>
      </c>
    </row>
    <row r="445" spans="1:25" x14ac:dyDescent="0.35">
      <c r="A445">
        <v>9308</v>
      </c>
      <c r="B445" t="s">
        <v>74</v>
      </c>
      <c r="C445" s="1">
        <v>45565</v>
      </c>
      <c r="D445" s="1">
        <v>45621</v>
      </c>
      <c r="E445">
        <v>1</v>
      </c>
      <c r="F445">
        <v>11.99</v>
      </c>
      <c r="G445">
        <f t="shared" si="6"/>
        <v>11.99</v>
      </c>
      <c r="H445">
        <v>64</v>
      </c>
      <c r="I445" t="s">
        <v>48</v>
      </c>
      <c r="J445">
        <v>2</v>
      </c>
      <c r="K445">
        <v>3</v>
      </c>
      <c r="L445" t="b">
        <v>1</v>
      </c>
      <c r="M445">
        <v>221</v>
      </c>
      <c r="N445">
        <v>4</v>
      </c>
      <c r="O445" t="s">
        <v>27</v>
      </c>
      <c r="P445" t="s">
        <v>28</v>
      </c>
      <c r="Q445" t="s">
        <v>43</v>
      </c>
      <c r="R445">
        <v>88</v>
      </c>
      <c r="S445">
        <v>3.7</v>
      </c>
      <c r="T445" t="b">
        <v>1</v>
      </c>
      <c r="U445" t="s">
        <v>30</v>
      </c>
      <c r="V445">
        <v>48</v>
      </c>
      <c r="W445" t="s">
        <v>67</v>
      </c>
      <c r="X445" t="s">
        <v>54</v>
      </c>
      <c r="Y445" t="s">
        <v>77</v>
      </c>
    </row>
    <row r="446" spans="1:25" x14ac:dyDescent="0.35">
      <c r="A446">
        <v>3437</v>
      </c>
      <c r="B446" t="s">
        <v>143</v>
      </c>
      <c r="C446" s="1">
        <v>44950</v>
      </c>
      <c r="D446" s="1">
        <v>45631</v>
      </c>
      <c r="E446">
        <v>22</v>
      </c>
      <c r="F446">
        <v>7.99</v>
      </c>
      <c r="G446">
        <f t="shared" si="6"/>
        <v>175.78</v>
      </c>
      <c r="H446">
        <v>281</v>
      </c>
      <c r="I446" t="s">
        <v>45</v>
      </c>
      <c r="J446">
        <v>2</v>
      </c>
      <c r="K446">
        <v>4</v>
      </c>
      <c r="L446" t="b">
        <v>0</v>
      </c>
      <c r="M446">
        <v>770</v>
      </c>
      <c r="N446">
        <v>74</v>
      </c>
      <c r="O446" t="s">
        <v>61</v>
      </c>
      <c r="P446" t="s">
        <v>42</v>
      </c>
      <c r="Q446" t="s">
        <v>36</v>
      </c>
      <c r="R446">
        <v>12</v>
      </c>
      <c r="S446">
        <v>4</v>
      </c>
      <c r="T446" t="b">
        <v>0</v>
      </c>
      <c r="U446" t="s">
        <v>30</v>
      </c>
      <c r="V446">
        <v>1526</v>
      </c>
      <c r="W446" t="s">
        <v>59</v>
      </c>
      <c r="X446" t="s">
        <v>32</v>
      </c>
      <c r="Y446" t="s">
        <v>33</v>
      </c>
    </row>
    <row r="447" spans="1:25" x14ac:dyDescent="0.35">
      <c r="A447">
        <v>8305</v>
      </c>
      <c r="B447" t="s">
        <v>102</v>
      </c>
      <c r="C447" s="1">
        <v>44952</v>
      </c>
      <c r="D447" s="1">
        <v>45632</v>
      </c>
      <c r="E447">
        <v>22</v>
      </c>
      <c r="F447">
        <v>11.99</v>
      </c>
      <c r="G447">
        <f t="shared" si="6"/>
        <v>263.78000000000003</v>
      </c>
      <c r="H447">
        <v>78</v>
      </c>
      <c r="I447" t="s">
        <v>64</v>
      </c>
      <c r="J447">
        <v>4</v>
      </c>
      <c r="K447">
        <v>5</v>
      </c>
      <c r="L447" t="b">
        <v>0</v>
      </c>
      <c r="M447">
        <v>914</v>
      </c>
      <c r="N447">
        <v>22</v>
      </c>
      <c r="O447" t="s">
        <v>76</v>
      </c>
      <c r="P447" t="s">
        <v>42</v>
      </c>
      <c r="Q447" t="s">
        <v>36</v>
      </c>
      <c r="R447">
        <v>14</v>
      </c>
      <c r="S447">
        <v>4.5</v>
      </c>
      <c r="T447" t="b">
        <v>0</v>
      </c>
      <c r="U447" t="s">
        <v>30</v>
      </c>
      <c r="V447">
        <v>4934</v>
      </c>
      <c r="W447" t="s">
        <v>31</v>
      </c>
      <c r="X447" t="s">
        <v>32</v>
      </c>
      <c r="Y447" t="s">
        <v>33</v>
      </c>
    </row>
    <row r="448" spans="1:25" x14ac:dyDescent="0.35">
      <c r="A448">
        <v>6773</v>
      </c>
      <c r="B448" t="s">
        <v>273</v>
      </c>
      <c r="C448" s="1">
        <v>45328</v>
      </c>
      <c r="D448" s="1">
        <v>45625</v>
      </c>
      <c r="E448">
        <v>9</v>
      </c>
      <c r="F448">
        <v>7.99</v>
      </c>
      <c r="G448">
        <f t="shared" si="6"/>
        <v>71.91</v>
      </c>
      <c r="H448">
        <v>343</v>
      </c>
      <c r="I448" t="s">
        <v>35</v>
      </c>
      <c r="J448">
        <v>4</v>
      </c>
      <c r="K448">
        <v>1</v>
      </c>
      <c r="L448" t="b">
        <v>1</v>
      </c>
      <c r="M448">
        <v>492</v>
      </c>
      <c r="N448">
        <v>187</v>
      </c>
      <c r="O448" t="s">
        <v>27</v>
      </c>
      <c r="P448" t="s">
        <v>28</v>
      </c>
      <c r="Q448" t="s">
        <v>69</v>
      </c>
      <c r="R448">
        <v>75</v>
      </c>
      <c r="S448">
        <v>4.9000000000000004</v>
      </c>
      <c r="T448" t="b">
        <v>1</v>
      </c>
      <c r="U448" t="s">
        <v>30</v>
      </c>
      <c r="V448">
        <v>628</v>
      </c>
      <c r="W448" t="s">
        <v>37</v>
      </c>
      <c r="X448" t="s">
        <v>62</v>
      </c>
      <c r="Y448" t="s">
        <v>33</v>
      </c>
    </row>
    <row r="449" spans="1:25" x14ac:dyDescent="0.35">
      <c r="A449">
        <v>3010</v>
      </c>
      <c r="B449" t="s">
        <v>183</v>
      </c>
      <c r="C449" s="1">
        <v>45599</v>
      </c>
      <c r="D449" s="1">
        <v>45620</v>
      </c>
      <c r="E449">
        <v>0</v>
      </c>
      <c r="F449">
        <v>11.99</v>
      </c>
      <c r="G449">
        <f t="shared" si="6"/>
        <v>0</v>
      </c>
      <c r="H449">
        <v>318</v>
      </c>
      <c r="I449" t="s">
        <v>45</v>
      </c>
      <c r="J449">
        <v>1</v>
      </c>
      <c r="K449">
        <v>5</v>
      </c>
      <c r="L449" t="b">
        <v>0</v>
      </c>
      <c r="M449">
        <v>925</v>
      </c>
      <c r="N449">
        <v>191</v>
      </c>
      <c r="O449" t="s">
        <v>61</v>
      </c>
      <c r="P449" t="s">
        <v>28</v>
      </c>
      <c r="Q449" t="s">
        <v>43</v>
      </c>
      <c r="R449">
        <v>38</v>
      </c>
      <c r="S449">
        <v>4.5999999999999996</v>
      </c>
      <c r="T449" t="b">
        <v>1</v>
      </c>
      <c r="U449" t="s">
        <v>30</v>
      </c>
      <c r="V449">
        <v>167</v>
      </c>
      <c r="W449" t="s">
        <v>67</v>
      </c>
      <c r="X449" t="s">
        <v>38</v>
      </c>
      <c r="Y449" t="s">
        <v>77</v>
      </c>
    </row>
    <row r="450" spans="1:25" x14ac:dyDescent="0.35">
      <c r="A450">
        <v>3622</v>
      </c>
      <c r="B450" t="s">
        <v>186</v>
      </c>
      <c r="C450" s="1">
        <v>45520</v>
      </c>
      <c r="D450" s="1">
        <v>45635</v>
      </c>
      <c r="E450">
        <v>3</v>
      </c>
      <c r="F450">
        <v>7.99</v>
      </c>
      <c r="G450">
        <f t="shared" si="6"/>
        <v>23.97</v>
      </c>
      <c r="H450">
        <v>444</v>
      </c>
      <c r="I450" t="s">
        <v>35</v>
      </c>
      <c r="J450">
        <v>3</v>
      </c>
      <c r="K450">
        <v>5</v>
      </c>
      <c r="L450" t="b">
        <v>0</v>
      </c>
      <c r="M450">
        <v>183</v>
      </c>
      <c r="N450">
        <v>195</v>
      </c>
      <c r="O450" t="s">
        <v>76</v>
      </c>
      <c r="P450" t="s">
        <v>66</v>
      </c>
      <c r="Q450" t="s">
        <v>43</v>
      </c>
      <c r="R450">
        <v>36</v>
      </c>
      <c r="S450">
        <v>4.7</v>
      </c>
      <c r="T450" t="b">
        <v>0</v>
      </c>
      <c r="U450" t="s">
        <v>30</v>
      </c>
      <c r="V450">
        <v>1309</v>
      </c>
      <c r="W450" t="s">
        <v>53</v>
      </c>
      <c r="X450" t="s">
        <v>38</v>
      </c>
      <c r="Y450" t="s">
        <v>55</v>
      </c>
    </row>
    <row r="451" spans="1:25" x14ac:dyDescent="0.35">
      <c r="A451">
        <v>6006</v>
      </c>
      <c r="B451" t="s">
        <v>84</v>
      </c>
      <c r="C451" s="1">
        <v>45542</v>
      </c>
      <c r="D451" s="1">
        <v>45615</v>
      </c>
      <c r="E451">
        <v>2</v>
      </c>
      <c r="F451">
        <v>11.99</v>
      </c>
      <c r="G451">
        <f t="shared" ref="G451:G514" si="7">F451*E451</f>
        <v>23.98</v>
      </c>
      <c r="H451">
        <v>171</v>
      </c>
      <c r="I451" t="s">
        <v>57</v>
      </c>
      <c r="J451">
        <v>3</v>
      </c>
      <c r="K451">
        <v>1</v>
      </c>
      <c r="L451" t="b">
        <v>1</v>
      </c>
      <c r="M451">
        <v>889</v>
      </c>
      <c r="N451">
        <v>54</v>
      </c>
      <c r="O451" t="s">
        <v>76</v>
      </c>
      <c r="P451" t="s">
        <v>66</v>
      </c>
      <c r="Q451" t="s">
        <v>36</v>
      </c>
      <c r="R451">
        <v>1</v>
      </c>
      <c r="S451">
        <v>3.3</v>
      </c>
      <c r="T451" t="b">
        <v>1</v>
      </c>
      <c r="U451" t="s">
        <v>30</v>
      </c>
      <c r="V451">
        <v>710</v>
      </c>
      <c r="W451" t="s">
        <v>31</v>
      </c>
      <c r="X451" t="s">
        <v>62</v>
      </c>
      <c r="Y451" t="s">
        <v>33</v>
      </c>
    </row>
    <row r="452" spans="1:25" x14ac:dyDescent="0.35">
      <c r="A452">
        <v>1338</v>
      </c>
      <c r="B452" t="s">
        <v>107</v>
      </c>
      <c r="C452" s="1">
        <v>45011</v>
      </c>
      <c r="D452" s="1">
        <v>45628</v>
      </c>
      <c r="E452">
        <v>20</v>
      </c>
      <c r="F452">
        <v>15.99</v>
      </c>
      <c r="G452">
        <f t="shared" si="7"/>
        <v>319.8</v>
      </c>
      <c r="H452">
        <v>309</v>
      </c>
      <c r="I452" t="s">
        <v>81</v>
      </c>
      <c r="J452">
        <v>5</v>
      </c>
      <c r="K452">
        <v>4</v>
      </c>
      <c r="L452" t="b">
        <v>0</v>
      </c>
      <c r="M452">
        <v>174</v>
      </c>
      <c r="N452">
        <v>172</v>
      </c>
      <c r="O452" t="s">
        <v>61</v>
      </c>
      <c r="P452" t="s">
        <v>66</v>
      </c>
      <c r="Q452" t="s">
        <v>58</v>
      </c>
      <c r="R452">
        <v>71</v>
      </c>
      <c r="S452">
        <v>3.1</v>
      </c>
      <c r="T452" t="b">
        <v>1</v>
      </c>
      <c r="U452" t="s">
        <v>30</v>
      </c>
      <c r="V452">
        <v>106</v>
      </c>
      <c r="W452" t="s">
        <v>53</v>
      </c>
      <c r="X452" t="s">
        <v>70</v>
      </c>
      <c r="Y452" t="s">
        <v>55</v>
      </c>
    </row>
    <row r="453" spans="1:25" x14ac:dyDescent="0.35">
      <c r="A453">
        <v>6722</v>
      </c>
      <c r="B453" t="s">
        <v>101</v>
      </c>
      <c r="C453" s="1">
        <v>45054</v>
      </c>
      <c r="D453" s="1">
        <v>45623</v>
      </c>
      <c r="E453">
        <v>18</v>
      </c>
      <c r="F453">
        <v>15.99</v>
      </c>
      <c r="G453">
        <f t="shared" si="7"/>
        <v>287.82</v>
      </c>
      <c r="H453">
        <v>447</v>
      </c>
      <c r="I453" t="s">
        <v>64</v>
      </c>
      <c r="J453">
        <v>5</v>
      </c>
      <c r="K453">
        <v>2</v>
      </c>
      <c r="L453" t="b">
        <v>0</v>
      </c>
      <c r="M453">
        <v>709</v>
      </c>
      <c r="N453">
        <v>93</v>
      </c>
      <c r="O453" t="s">
        <v>50</v>
      </c>
      <c r="P453" t="s">
        <v>42</v>
      </c>
      <c r="Q453" t="s">
        <v>36</v>
      </c>
      <c r="R453">
        <v>35</v>
      </c>
      <c r="S453">
        <v>4.8</v>
      </c>
      <c r="T453" t="b">
        <v>1</v>
      </c>
      <c r="U453" t="s">
        <v>30</v>
      </c>
      <c r="V453">
        <v>2652</v>
      </c>
      <c r="W453" t="s">
        <v>53</v>
      </c>
      <c r="X453" t="s">
        <v>38</v>
      </c>
      <c r="Y453" t="s">
        <v>39</v>
      </c>
    </row>
    <row r="454" spans="1:25" x14ac:dyDescent="0.35">
      <c r="A454">
        <v>5871</v>
      </c>
      <c r="B454" t="s">
        <v>291</v>
      </c>
      <c r="C454" s="1">
        <v>45486</v>
      </c>
      <c r="D454" s="1">
        <v>45630</v>
      </c>
      <c r="E454">
        <v>4</v>
      </c>
      <c r="F454">
        <v>7.99</v>
      </c>
      <c r="G454">
        <f t="shared" si="7"/>
        <v>31.96</v>
      </c>
      <c r="H454">
        <v>120</v>
      </c>
      <c r="I454" t="s">
        <v>81</v>
      </c>
      <c r="J454">
        <v>3</v>
      </c>
      <c r="K454">
        <v>5</v>
      </c>
      <c r="L454" t="b">
        <v>1</v>
      </c>
      <c r="M454">
        <v>783</v>
      </c>
      <c r="N454">
        <v>81</v>
      </c>
      <c r="O454" t="s">
        <v>41</v>
      </c>
      <c r="P454" t="s">
        <v>28</v>
      </c>
      <c r="Q454" t="s">
        <v>43</v>
      </c>
      <c r="R454">
        <v>52</v>
      </c>
      <c r="S454">
        <v>4.3</v>
      </c>
      <c r="T454" t="b">
        <v>0</v>
      </c>
      <c r="U454" t="s">
        <v>30</v>
      </c>
      <c r="V454">
        <v>4879</v>
      </c>
      <c r="W454" t="s">
        <v>59</v>
      </c>
      <c r="X454" t="s">
        <v>70</v>
      </c>
      <c r="Y454" t="s">
        <v>77</v>
      </c>
    </row>
    <row r="455" spans="1:25" x14ac:dyDescent="0.35">
      <c r="A455">
        <v>9290</v>
      </c>
      <c r="B455" t="s">
        <v>292</v>
      </c>
      <c r="C455" s="1">
        <v>45239</v>
      </c>
      <c r="D455" s="1">
        <v>45634</v>
      </c>
      <c r="E455">
        <v>12</v>
      </c>
      <c r="F455">
        <v>15.99</v>
      </c>
      <c r="G455">
        <f t="shared" si="7"/>
        <v>191.88</v>
      </c>
      <c r="H455">
        <v>168</v>
      </c>
      <c r="I455" t="s">
        <v>26</v>
      </c>
      <c r="J455">
        <v>5</v>
      </c>
      <c r="K455">
        <v>4</v>
      </c>
      <c r="L455" t="b">
        <v>1</v>
      </c>
      <c r="M455">
        <v>304</v>
      </c>
      <c r="N455">
        <v>196</v>
      </c>
      <c r="O455" t="s">
        <v>27</v>
      </c>
      <c r="P455" t="s">
        <v>42</v>
      </c>
      <c r="Q455" t="s">
        <v>52</v>
      </c>
      <c r="R455">
        <v>44</v>
      </c>
      <c r="S455">
        <v>4.0999999999999996</v>
      </c>
      <c r="T455" t="b">
        <v>0</v>
      </c>
      <c r="U455" t="s">
        <v>30</v>
      </c>
      <c r="V455">
        <v>1426</v>
      </c>
      <c r="W455" t="s">
        <v>53</v>
      </c>
      <c r="X455" t="s">
        <v>32</v>
      </c>
      <c r="Y455" t="s">
        <v>77</v>
      </c>
    </row>
    <row r="456" spans="1:25" x14ac:dyDescent="0.35">
      <c r="A456">
        <v>8567</v>
      </c>
      <c r="B456" t="s">
        <v>74</v>
      </c>
      <c r="C456" s="1">
        <v>45430</v>
      </c>
      <c r="D456" s="1">
        <v>45639</v>
      </c>
      <c r="E456">
        <v>6</v>
      </c>
      <c r="F456">
        <v>7.99</v>
      </c>
      <c r="G456">
        <f t="shared" si="7"/>
        <v>47.94</v>
      </c>
      <c r="H456">
        <v>203</v>
      </c>
      <c r="I456" t="s">
        <v>45</v>
      </c>
      <c r="J456">
        <v>1</v>
      </c>
      <c r="K456">
        <v>3</v>
      </c>
      <c r="L456" t="b">
        <v>1</v>
      </c>
      <c r="M456">
        <v>738</v>
      </c>
      <c r="N456">
        <v>96</v>
      </c>
      <c r="O456" t="s">
        <v>61</v>
      </c>
      <c r="P456" t="s">
        <v>66</v>
      </c>
      <c r="Q456" t="s">
        <v>69</v>
      </c>
      <c r="R456">
        <v>10</v>
      </c>
      <c r="S456">
        <v>4</v>
      </c>
      <c r="T456" t="b">
        <v>0</v>
      </c>
      <c r="U456" t="s">
        <v>30</v>
      </c>
      <c r="V456">
        <v>1504</v>
      </c>
      <c r="W456" t="s">
        <v>59</v>
      </c>
      <c r="X456" t="s">
        <v>54</v>
      </c>
      <c r="Y456" t="s">
        <v>77</v>
      </c>
    </row>
    <row r="457" spans="1:25" x14ac:dyDescent="0.35">
      <c r="A457">
        <v>5253</v>
      </c>
      <c r="B457" t="s">
        <v>287</v>
      </c>
      <c r="C457" s="1">
        <v>45267</v>
      </c>
      <c r="D457" s="1">
        <v>45620</v>
      </c>
      <c r="E457">
        <v>11</v>
      </c>
      <c r="F457">
        <v>11.99</v>
      </c>
      <c r="G457">
        <f t="shared" si="7"/>
        <v>131.89000000000001</v>
      </c>
      <c r="H457">
        <v>436</v>
      </c>
      <c r="I457" t="s">
        <v>64</v>
      </c>
      <c r="J457">
        <v>5</v>
      </c>
      <c r="K457">
        <v>5</v>
      </c>
      <c r="L457" t="b">
        <v>1</v>
      </c>
      <c r="M457">
        <v>228</v>
      </c>
      <c r="N457">
        <v>110</v>
      </c>
      <c r="O457" t="s">
        <v>61</v>
      </c>
      <c r="P457" t="s">
        <v>66</v>
      </c>
      <c r="Q457" t="s">
        <v>29</v>
      </c>
      <c r="R457">
        <v>78</v>
      </c>
      <c r="S457">
        <v>4.5</v>
      </c>
      <c r="T457" t="b">
        <v>1</v>
      </c>
      <c r="U457" t="s">
        <v>30</v>
      </c>
      <c r="V457">
        <v>1518</v>
      </c>
      <c r="W457" t="s">
        <v>37</v>
      </c>
      <c r="X457" t="s">
        <v>32</v>
      </c>
      <c r="Y457" t="s">
        <v>55</v>
      </c>
    </row>
    <row r="458" spans="1:25" x14ac:dyDescent="0.35">
      <c r="A458">
        <v>8172</v>
      </c>
      <c r="B458" t="s">
        <v>293</v>
      </c>
      <c r="C458" s="1">
        <v>45372</v>
      </c>
      <c r="D458" s="1">
        <v>45643</v>
      </c>
      <c r="E458">
        <v>8</v>
      </c>
      <c r="F458">
        <v>11.99</v>
      </c>
      <c r="G458">
        <f t="shared" si="7"/>
        <v>95.92</v>
      </c>
      <c r="H458">
        <v>195</v>
      </c>
      <c r="I458" t="s">
        <v>81</v>
      </c>
      <c r="J458">
        <v>5</v>
      </c>
      <c r="K458">
        <v>6</v>
      </c>
      <c r="L458" t="b">
        <v>1</v>
      </c>
      <c r="M458">
        <v>997</v>
      </c>
      <c r="N458">
        <v>107</v>
      </c>
      <c r="O458" t="s">
        <v>41</v>
      </c>
      <c r="P458" t="s">
        <v>51</v>
      </c>
      <c r="Q458" t="s">
        <v>69</v>
      </c>
      <c r="R458">
        <v>78</v>
      </c>
      <c r="S458">
        <v>4.9000000000000004</v>
      </c>
      <c r="T458" t="b">
        <v>0</v>
      </c>
      <c r="U458" t="s">
        <v>30</v>
      </c>
      <c r="V458">
        <v>708</v>
      </c>
      <c r="W458" t="s">
        <v>67</v>
      </c>
      <c r="X458" t="s">
        <v>62</v>
      </c>
      <c r="Y458" t="s">
        <v>39</v>
      </c>
    </row>
    <row r="459" spans="1:25" x14ac:dyDescent="0.35">
      <c r="A459">
        <v>2154</v>
      </c>
      <c r="B459" t="s">
        <v>79</v>
      </c>
      <c r="C459" s="1">
        <v>45271</v>
      </c>
      <c r="D459" s="1">
        <v>45631</v>
      </c>
      <c r="E459">
        <v>11</v>
      </c>
      <c r="F459">
        <v>7.99</v>
      </c>
      <c r="G459">
        <f t="shared" si="7"/>
        <v>87.89</v>
      </c>
      <c r="H459">
        <v>454</v>
      </c>
      <c r="I459" t="s">
        <v>35</v>
      </c>
      <c r="J459">
        <v>5</v>
      </c>
      <c r="K459">
        <v>1</v>
      </c>
      <c r="L459" t="b">
        <v>1</v>
      </c>
      <c r="M459">
        <v>722</v>
      </c>
      <c r="N459">
        <v>98</v>
      </c>
      <c r="O459" t="s">
        <v>46</v>
      </c>
      <c r="P459" t="s">
        <v>51</v>
      </c>
      <c r="Q459" t="s">
        <v>43</v>
      </c>
      <c r="R459">
        <v>36</v>
      </c>
      <c r="S459">
        <v>3.4</v>
      </c>
      <c r="T459" t="b">
        <v>0</v>
      </c>
      <c r="U459" t="s">
        <v>30</v>
      </c>
      <c r="V459">
        <v>4651</v>
      </c>
      <c r="W459" t="s">
        <v>67</v>
      </c>
      <c r="X459" t="s">
        <v>32</v>
      </c>
      <c r="Y459" t="s">
        <v>39</v>
      </c>
    </row>
    <row r="460" spans="1:25" x14ac:dyDescent="0.35">
      <c r="A460">
        <v>5013</v>
      </c>
      <c r="B460" t="s">
        <v>294</v>
      </c>
      <c r="C460" s="1">
        <v>45164</v>
      </c>
      <c r="D460" s="1">
        <v>45620</v>
      </c>
      <c r="E460">
        <v>14</v>
      </c>
      <c r="F460">
        <v>15.99</v>
      </c>
      <c r="G460">
        <f t="shared" si="7"/>
        <v>223.86</v>
      </c>
      <c r="H460">
        <v>187</v>
      </c>
      <c r="I460" t="s">
        <v>35</v>
      </c>
      <c r="J460">
        <v>1</v>
      </c>
      <c r="K460">
        <v>1</v>
      </c>
      <c r="L460" t="b">
        <v>0</v>
      </c>
      <c r="M460">
        <v>316</v>
      </c>
      <c r="N460">
        <v>10</v>
      </c>
      <c r="O460" t="s">
        <v>46</v>
      </c>
      <c r="P460" t="s">
        <v>28</v>
      </c>
      <c r="Q460" t="s">
        <v>58</v>
      </c>
      <c r="R460">
        <v>8</v>
      </c>
      <c r="S460">
        <v>4.7</v>
      </c>
      <c r="T460" t="b">
        <v>0</v>
      </c>
      <c r="U460" t="s">
        <v>30</v>
      </c>
      <c r="V460">
        <v>4397</v>
      </c>
      <c r="W460" t="s">
        <v>31</v>
      </c>
      <c r="X460" t="s">
        <v>70</v>
      </c>
      <c r="Y460" t="s">
        <v>33</v>
      </c>
    </row>
    <row r="461" spans="1:25" x14ac:dyDescent="0.35">
      <c r="A461">
        <v>4211</v>
      </c>
      <c r="B461" t="s">
        <v>295</v>
      </c>
      <c r="C461" s="1">
        <v>45572</v>
      </c>
      <c r="D461" s="1">
        <v>45627</v>
      </c>
      <c r="E461">
        <v>1</v>
      </c>
      <c r="F461">
        <v>7.99</v>
      </c>
      <c r="G461">
        <f t="shared" si="7"/>
        <v>7.99</v>
      </c>
      <c r="H461">
        <v>277</v>
      </c>
      <c r="I461" t="s">
        <v>81</v>
      </c>
      <c r="J461">
        <v>1</v>
      </c>
      <c r="K461">
        <v>3</v>
      </c>
      <c r="L461" t="b">
        <v>1</v>
      </c>
      <c r="M461">
        <v>455</v>
      </c>
      <c r="N461">
        <v>120</v>
      </c>
      <c r="O461" t="s">
        <v>76</v>
      </c>
      <c r="P461" t="s">
        <v>28</v>
      </c>
      <c r="Q461" t="s">
        <v>52</v>
      </c>
      <c r="R461">
        <v>92</v>
      </c>
      <c r="S461">
        <v>4.7</v>
      </c>
      <c r="T461" t="b">
        <v>0</v>
      </c>
      <c r="U461" t="s">
        <v>30</v>
      </c>
      <c r="V461">
        <v>1360</v>
      </c>
      <c r="W461" t="s">
        <v>59</v>
      </c>
      <c r="X461" t="s">
        <v>54</v>
      </c>
      <c r="Y461" t="s">
        <v>77</v>
      </c>
    </row>
    <row r="462" spans="1:25" x14ac:dyDescent="0.35">
      <c r="A462">
        <v>4408</v>
      </c>
      <c r="B462" t="s">
        <v>155</v>
      </c>
      <c r="C462" s="1">
        <v>45197</v>
      </c>
      <c r="D462" s="1">
        <v>45626</v>
      </c>
      <c r="E462">
        <v>14</v>
      </c>
      <c r="F462">
        <v>7.99</v>
      </c>
      <c r="G462">
        <f t="shared" si="7"/>
        <v>111.86</v>
      </c>
      <c r="H462">
        <v>257</v>
      </c>
      <c r="I462" t="s">
        <v>81</v>
      </c>
      <c r="J462">
        <v>3</v>
      </c>
      <c r="K462">
        <v>6</v>
      </c>
      <c r="L462" t="b">
        <v>1</v>
      </c>
      <c r="M462">
        <v>985</v>
      </c>
      <c r="N462">
        <v>97</v>
      </c>
      <c r="O462" t="s">
        <v>46</v>
      </c>
      <c r="P462" t="s">
        <v>51</v>
      </c>
      <c r="Q462" t="s">
        <v>43</v>
      </c>
      <c r="R462">
        <v>88</v>
      </c>
      <c r="S462">
        <v>3.9</v>
      </c>
      <c r="T462" t="b">
        <v>1</v>
      </c>
      <c r="U462" t="s">
        <v>30</v>
      </c>
      <c r="V462">
        <v>4155</v>
      </c>
      <c r="W462" t="s">
        <v>37</v>
      </c>
      <c r="X462" t="s">
        <v>54</v>
      </c>
      <c r="Y462" t="s">
        <v>55</v>
      </c>
    </row>
    <row r="463" spans="1:25" x14ac:dyDescent="0.35">
      <c r="A463">
        <v>8473</v>
      </c>
      <c r="B463" t="s">
        <v>296</v>
      </c>
      <c r="C463" s="1">
        <v>44982</v>
      </c>
      <c r="D463" s="1">
        <v>45638</v>
      </c>
      <c r="E463">
        <v>21</v>
      </c>
      <c r="F463">
        <v>11.99</v>
      </c>
      <c r="G463">
        <f t="shared" si="7"/>
        <v>251.79</v>
      </c>
      <c r="H463">
        <v>12</v>
      </c>
      <c r="I463" t="s">
        <v>48</v>
      </c>
      <c r="J463">
        <v>4</v>
      </c>
      <c r="K463">
        <v>6</v>
      </c>
      <c r="L463" t="b">
        <v>0</v>
      </c>
      <c r="M463">
        <v>718</v>
      </c>
      <c r="N463">
        <v>100</v>
      </c>
      <c r="O463" t="s">
        <v>76</v>
      </c>
      <c r="P463" t="s">
        <v>42</v>
      </c>
      <c r="Q463" t="s">
        <v>43</v>
      </c>
      <c r="R463">
        <v>24</v>
      </c>
      <c r="S463">
        <v>4.0999999999999996</v>
      </c>
      <c r="T463" t="b">
        <v>0</v>
      </c>
      <c r="U463" t="s">
        <v>30</v>
      </c>
      <c r="V463">
        <v>1289</v>
      </c>
      <c r="W463" t="s">
        <v>31</v>
      </c>
      <c r="X463" t="s">
        <v>54</v>
      </c>
      <c r="Y463" t="s">
        <v>55</v>
      </c>
    </row>
    <row r="464" spans="1:25" x14ac:dyDescent="0.35">
      <c r="A464">
        <v>7510</v>
      </c>
      <c r="B464" t="s">
        <v>297</v>
      </c>
      <c r="C464" s="1">
        <v>44941</v>
      </c>
      <c r="D464" s="1">
        <v>45625</v>
      </c>
      <c r="E464">
        <v>22</v>
      </c>
      <c r="F464">
        <v>7.99</v>
      </c>
      <c r="G464">
        <f t="shared" si="7"/>
        <v>175.78</v>
      </c>
      <c r="H464">
        <v>362</v>
      </c>
      <c r="I464" t="s">
        <v>81</v>
      </c>
      <c r="J464">
        <v>2</v>
      </c>
      <c r="K464">
        <v>4</v>
      </c>
      <c r="L464" t="b">
        <v>1</v>
      </c>
      <c r="M464">
        <v>923</v>
      </c>
      <c r="N464">
        <v>57</v>
      </c>
      <c r="O464" t="s">
        <v>76</v>
      </c>
      <c r="P464" t="s">
        <v>28</v>
      </c>
      <c r="Q464" t="s">
        <v>36</v>
      </c>
      <c r="R464">
        <v>38</v>
      </c>
      <c r="S464">
        <v>4.8</v>
      </c>
      <c r="T464" t="b">
        <v>0</v>
      </c>
      <c r="U464" t="s">
        <v>30</v>
      </c>
      <c r="V464">
        <v>2922</v>
      </c>
      <c r="W464" t="s">
        <v>59</v>
      </c>
      <c r="X464" t="s">
        <v>32</v>
      </c>
      <c r="Y464" t="s">
        <v>77</v>
      </c>
    </row>
    <row r="465" spans="1:25" x14ac:dyDescent="0.35">
      <c r="A465">
        <v>5376</v>
      </c>
      <c r="B465" t="s">
        <v>148</v>
      </c>
      <c r="C465" s="1">
        <v>45023</v>
      </c>
      <c r="D465" s="1">
        <v>45622</v>
      </c>
      <c r="E465">
        <v>19</v>
      </c>
      <c r="F465">
        <v>7.99</v>
      </c>
      <c r="G465">
        <f t="shared" si="7"/>
        <v>151.81</v>
      </c>
      <c r="H465">
        <v>89</v>
      </c>
      <c r="I465" t="s">
        <v>81</v>
      </c>
      <c r="J465">
        <v>2</v>
      </c>
      <c r="K465">
        <v>4</v>
      </c>
      <c r="L465" t="b">
        <v>1</v>
      </c>
      <c r="M465">
        <v>174</v>
      </c>
      <c r="N465">
        <v>178</v>
      </c>
      <c r="O465" t="s">
        <v>65</v>
      </c>
      <c r="P465" t="s">
        <v>28</v>
      </c>
      <c r="Q465" t="s">
        <v>69</v>
      </c>
      <c r="R465">
        <v>7</v>
      </c>
      <c r="S465">
        <v>3.7</v>
      </c>
      <c r="T465" t="b">
        <v>0</v>
      </c>
      <c r="U465" t="s">
        <v>30</v>
      </c>
      <c r="V465">
        <v>28</v>
      </c>
      <c r="W465" t="s">
        <v>59</v>
      </c>
      <c r="X465" t="s">
        <v>32</v>
      </c>
      <c r="Y465" t="s">
        <v>55</v>
      </c>
    </row>
    <row r="466" spans="1:25" x14ac:dyDescent="0.35">
      <c r="A466">
        <v>8005</v>
      </c>
      <c r="B466" t="s">
        <v>167</v>
      </c>
      <c r="C466" s="1">
        <v>44993</v>
      </c>
      <c r="D466" s="1">
        <v>45640</v>
      </c>
      <c r="E466">
        <v>21</v>
      </c>
      <c r="F466">
        <v>7.99</v>
      </c>
      <c r="G466">
        <f t="shared" si="7"/>
        <v>167.79</v>
      </c>
      <c r="H466">
        <v>123</v>
      </c>
      <c r="I466" t="s">
        <v>48</v>
      </c>
      <c r="J466">
        <v>5</v>
      </c>
      <c r="K466">
        <v>5</v>
      </c>
      <c r="L466" t="b">
        <v>1</v>
      </c>
      <c r="M466">
        <v>253</v>
      </c>
      <c r="N466">
        <v>157</v>
      </c>
      <c r="O466" t="s">
        <v>46</v>
      </c>
      <c r="P466" t="s">
        <v>28</v>
      </c>
      <c r="Q466" t="s">
        <v>52</v>
      </c>
      <c r="R466">
        <v>85</v>
      </c>
      <c r="S466">
        <v>4</v>
      </c>
      <c r="T466" t="b">
        <v>0</v>
      </c>
      <c r="U466" t="s">
        <v>30</v>
      </c>
      <c r="V466">
        <v>3083</v>
      </c>
      <c r="W466" t="s">
        <v>53</v>
      </c>
      <c r="X466" t="s">
        <v>62</v>
      </c>
      <c r="Y466" t="s">
        <v>33</v>
      </c>
    </row>
    <row r="467" spans="1:25" x14ac:dyDescent="0.35">
      <c r="A467">
        <v>7439</v>
      </c>
      <c r="B467" t="s">
        <v>135</v>
      </c>
      <c r="C467" s="1">
        <v>45163</v>
      </c>
      <c r="D467" s="1">
        <v>45631</v>
      </c>
      <c r="E467">
        <v>15</v>
      </c>
      <c r="F467">
        <v>15.99</v>
      </c>
      <c r="G467">
        <f t="shared" si="7"/>
        <v>239.85</v>
      </c>
      <c r="H467">
        <v>427</v>
      </c>
      <c r="I467" t="s">
        <v>64</v>
      </c>
      <c r="J467">
        <v>1</v>
      </c>
      <c r="K467">
        <v>1</v>
      </c>
      <c r="L467" t="b">
        <v>0</v>
      </c>
      <c r="M467">
        <v>479</v>
      </c>
      <c r="N467">
        <v>98</v>
      </c>
      <c r="O467" t="s">
        <v>27</v>
      </c>
      <c r="P467" t="s">
        <v>28</v>
      </c>
      <c r="Q467" t="s">
        <v>58</v>
      </c>
      <c r="R467">
        <v>18</v>
      </c>
      <c r="S467">
        <v>3.8</v>
      </c>
      <c r="T467" t="b">
        <v>1</v>
      </c>
      <c r="U467" t="s">
        <v>30</v>
      </c>
      <c r="V467">
        <v>547</v>
      </c>
      <c r="W467" t="s">
        <v>67</v>
      </c>
      <c r="X467" t="s">
        <v>70</v>
      </c>
      <c r="Y467" t="s">
        <v>33</v>
      </c>
    </row>
    <row r="468" spans="1:25" x14ac:dyDescent="0.35">
      <c r="A468">
        <v>3699</v>
      </c>
      <c r="B468" t="s">
        <v>252</v>
      </c>
      <c r="C468" s="1">
        <v>45072</v>
      </c>
      <c r="D468" s="1">
        <v>45620</v>
      </c>
      <c r="E468">
        <v>17</v>
      </c>
      <c r="F468">
        <v>15.99</v>
      </c>
      <c r="G468">
        <f t="shared" si="7"/>
        <v>271.83</v>
      </c>
      <c r="H468">
        <v>439</v>
      </c>
      <c r="I468" t="s">
        <v>81</v>
      </c>
      <c r="J468">
        <v>2</v>
      </c>
      <c r="K468">
        <v>4</v>
      </c>
      <c r="L468" t="b">
        <v>0</v>
      </c>
      <c r="M468">
        <v>932</v>
      </c>
      <c r="N468">
        <v>98</v>
      </c>
      <c r="O468" t="s">
        <v>76</v>
      </c>
      <c r="P468" t="s">
        <v>66</v>
      </c>
      <c r="Q468" t="s">
        <v>29</v>
      </c>
      <c r="R468">
        <v>58</v>
      </c>
      <c r="S468">
        <v>4.9000000000000004</v>
      </c>
      <c r="T468" t="b">
        <v>0</v>
      </c>
      <c r="U468" t="s">
        <v>30</v>
      </c>
      <c r="V468">
        <v>239</v>
      </c>
      <c r="W468" t="s">
        <v>67</v>
      </c>
      <c r="X468" t="s">
        <v>32</v>
      </c>
      <c r="Y468" t="s">
        <v>77</v>
      </c>
    </row>
    <row r="469" spans="1:25" x14ac:dyDescent="0.35">
      <c r="A469">
        <v>3162</v>
      </c>
      <c r="B469" t="s">
        <v>111</v>
      </c>
      <c r="C469" s="1">
        <v>44914</v>
      </c>
      <c r="D469" s="1">
        <v>45639</v>
      </c>
      <c r="E469">
        <v>23</v>
      </c>
      <c r="F469">
        <v>15.99</v>
      </c>
      <c r="G469">
        <f t="shared" si="7"/>
        <v>367.77</v>
      </c>
      <c r="H469">
        <v>396</v>
      </c>
      <c r="I469" t="s">
        <v>57</v>
      </c>
      <c r="J469">
        <v>3</v>
      </c>
      <c r="K469">
        <v>3</v>
      </c>
      <c r="L469" t="b">
        <v>1</v>
      </c>
      <c r="M469">
        <v>175</v>
      </c>
      <c r="N469">
        <v>17</v>
      </c>
      <c r="O469" t="s">
        <v>27</v>
      </c>
      <c r="P469" t="s">
        <v>51</v>
      </c>
      <c r="Q469" t="s">
        <v>69</v>
      </c>
      <c r="R469">
        <v>11</v>
      </c>
      <c r="S469">
        <v>3.4</v>
      </c>
      <c r="T469" t="b">
        <v>0</v>
      </c>
      <c r="U469" t="s">
        <v>30</v>
      </c>
      <c r="V469">
        <v>3516</v>
      </c>
      <c r="W469" t="s">
        <v>31</v>
      </c>
      <c r="X469" t="s">
        <v>32</v>
      </c>
      <c r="Y469" t="s">
        <v>39</v>
      </c>
    </row>
    <row r="470" spans="1:25" x14ac:dyDescent="0.35">
      <c r="A470">
        <v>8798</v>
      </c>
      <c r="B470" t="s">
        <v>298</v>
      </c>
      <c r="C470" s="1">
        <v>45036</v>
      </c>
      <c r="D470" s="1">
        <v>45641</v>
      </c>
      <c r="E470">
        <v>19</v>
      </c>
      <c r="F470">
        <v>15.99</v>
      </c>
      <c r="G470">
        <f t="shared" si="7"/>
        <v>303.81</v>
      </c>
      <c r="H470">
        <v>453</v>
      </c>
      <c r="I470" t="s">
        <v>57</v>
      </c>
      <c r="J470">
        <v>5</v>
      </c>
      <c r="K470">
        <v>2</v>
      </c>
      <c r="L470" t="b">
        <v>1</v>
      </c>
      <c r="M470">
        <v>591</v>
      </c>
      <c r="N470">
        <v>169</v>
      </c>
      <c r="O470" t="s">
        <v>41</v>
      </c>
      <c r="P470" t="s">
        <v>28</v>
      </c>
      <c r="Q470" t="s">
        <v>58</v>
      </c>
      <c r="R470">
        <v>72</v>
      </c>
      <c r="S470">
        <v>4.0999999999999996</v>
      </c>
      <c r="T470" t="b">
        <v>1</v>
      </c>
      <c r="U470" t="s">
        <v>30</v>
      </c>
      <c r="V470">
        <v>4031</v>
      </c>
      <c r="W470" t="s">
        <v>67</v>
      </c>
      <c r="X470" t="s">
        <v>38</v>
      </c>
      <c r="Y470" t="s">
        <v>39</v>
      </c>
    </row>
    <row r="471" spans="1:25" x14ac:dyDescent="0.35">
      <c r="A471">
        <v>6400</v>
      </c>
      <c r="B471" t="s">
        <v>122</v>
      </c>
      <c r="C471" s="1">
        <v>45349</v>
      </c>
      <c r="D471" s="1">
        <v>45640</v>
      </c>
      <c r="E471">
        <v>9</v>
      </c>
      <c r="F471">
        <v>11.99</v>
      </c>
      <c r="G471">
        <f t="shared" si="7"/>
        <v>107.91</v>
      </c>
      <c r="H471">
        <v>356</v>
      </c>
      <c r="I471" t="s">
        <v>57</v>
      </c>
      <c r="J471">
        <v>3</v>
      </c>
      <c r="K471">
        <v>2</v>
      </c>
      <c r="L471" t="b">
        <v>1</v>
      </c>
      <c r="M471">
        <v>776</v>
      </c>
      <c r="N471">
        <v>40</v>
      </c>
      <c r="O471" t="s">
        <v>27</v>
      </c>
      <c r="P471" t="s">
        <v>51</v>
      </c>
      <c r="Q471" t="s">
        <v>43</v>
      </c>
      <c r="R471">
        <v>56</v>
      </c>
      <c r="S471">
        <v>3.4</v>
      </c>
      <c r="T471" t="b">
        <v>1</v>
      </c>
      <c r="U471" t="s">
        <v>30</v>
      </c>
      <c r="V471">
        <v>3408</v>
      </c>
      <c r="W471" t="s">
        <v>67</v>
      </c>
      <c r="X471" t="s">
        <v>32</v>
      </c>
      <c r="Y471" t="s">
        <v>39</v>
      </c>
    </row>
    <row r="472" spans="1:25" x14ac:dyDescent="0.35">
      <c r="A472">
        <v>9404</v>
      </c>
      <c r="B472" t="s">
        <v>111</v>
      </c>
      <c r="C472" s="1">
        <v>45179</v>
      </c>
      <c r="D472" s="1">
        <v>45629</v>
      </c>
      <c r="E472">
        <v>14</v>
      </c>
      <c r="F472">
        <v>15.99</v>
      </c>
      <c r="G472">
        <f t="shared" si="7"/>
        <v>223.86</v>
      </c>
      <c r="H472">
        <v>192</v>
      </c>
      <c r="I472" t="s">
        <v>45</v>
      </c>
      <c r="J472">
        <v>1</v>
      </c>
      <c r="K472">
        <v>3</v>
      </c>
      <c r="L472" t="b">
        <v>1</v>
      </c>
      <c r="M472">
        <v>229</v>
      </c>
      <c r="N472">
        <v>54</v>
      </c>
      <c r="O472" t="s">
        <v>65</v>
      </c>
      <c r="P472" t="s">
        <v>28</v>
      </c>
      <c r="Q472" t="s">
        <v>52</v>
      </c>
      <c r="R472">
        <v>87</v>
      </c>
      <c r="S472">
        <v>3.1</v>
      </c>
      <c r="T472" t="b">
        <v>0</v>
      </c>
      <c r="U472" t="s">
        <v>30</v>
      </c>
      <c r="V472">
        <v>3849</v>
      </c>
      <c r="W472" t="s">
        <v>53</v>
      </c>
      <c r="X472" t="s">
        <v>62</v>
      </c>
      <c r="Y472" t="s">
        <v>77</v>
      </c>
    </row>
    <row r="473" spans="1:25" x14ac:dyDescent="0.35">
      <c r="A473">
        <v>8151</v>
      </c>
      <c r="B473" t="s">
        <v>84</v>
      </c>
      <c r="C473" s="1">
        <v>45465</v>
      </c>
      <c r="D473" s="1">
        <v>45620</v>
      </c>
      <c r="E473">
        <v>5</v>
      </c>
      <c r="F473">
        <v>11.99</v>
      </c>
      <c r="G473">
        <f t="shared" si="7"/>
        <v>59.95</v>
      </c>
      <c r="H473">
        <v>483</v>
      </c>
      <c r="I473" t="s">
        <v>81</v>
      </c>
      <c r="J473">
        <v>3</v>
      </c>
      <c r="K473">
        <v>6</v>
      </c>
      <c r="L473" t="b">
        <v>0</v>
      </c>
      <c r="M473">
        <v>730</v>
      </c>
      <c r="N473">
        <v>98</v>
      </c>
      <c r="O473" t="s">
        <v>41</v>
      </c>
      <c r="P473" t="s">
        <v>66</v>
      </c>
      <c r="Q473" t="s">
        <v>43</v>
      </c>
      <c r="R473">
        <v>29</v>
      </c>
      <c r="S473">
        <v>3.8</v>
      </c>
      <c r="T473" t="b">
        <v>0</v>
      </c>
      <c r="U473" t="s">
        <v>30</v>
      </c>
      <c r="V473">
        <v>1813</v>
      </c>
      <c r="W473" t="s">
        <v>37</v>
      </c>
      <c r="X473" t="s">
        <v>32</v>
      </c>
      <c r="Y473" t="s">
        <v>39</v>
      </c>
    </row>
    <row r="474" spans="1:25" x14ac:dyDescent="0.35">
      <c r="A474">
        <v>7742</v>
      </c>
      <c r="B474" t="s">
        <v>110</v>
      </c>
      <c r="C474" s="1">
        <v>45562</v>
      </c>
      <c r="D474" s="1">
        <v>45618</v>
      </c>
      <c r="E474">
        <v>1</v>
      </c>
      <c r="F474">
        <v>11.99</v>
      </c>
      <c r="G474">
        <f t="shared" si="7"/>
        <v>11.99</v>
      </c>
      <c r="H474">
        <v>17</v>
      </c>
      <c r="I474" t="s">
        <v>64</v>
      </c>
      <c r="J474">
        <v>2</v>
      </c>
      <c r="K474">
        <v>3</v>
      </c>
      <c r="L474" t="b">
        <v>1</v>
      </c>
      <c r="M474">
        <v>312</v>
      </c>
      <c r="N474">
        <v>114</v>
      </c>
      <c r="O474" t="s">
        <v>27</v>
      </c>
      <c r="P474" t="s">
        <v>28</v>
      </c>
      <c r="Q474" t="s">
        <v>36</v>
      </c>
      <c r="R474">
        <v>15</v>
      </c>
      <c r="S474">
        <v>3.6</v>
      </c>
      <c r="T474" t="b">
        <v>1</v>
      </c>
      <c r="U474" t="s">
        <v>30</v>
      </c>
      <c r="V474">
        <v>2084</v>
      </c>
      <c r="W474" t="s">
        <v>67</v>
      </c>
      <c r="X474" t="s">
        <v>54</v>
      </c>
      <c r="Y474" t="s">
        <v>55</v>
      </c>
    </row>
    <row r="475" spans="1:25" x14ac:dyDescent="0.35">
      <c r="A475">
        <v>4553</v>
      </c>
      <c r="B475" t="s">
        <v>240</v>
      </c>
      <c r="C475" s="1">
        <v>45092</v>
      </c>
      <c r="D475" s="1">
        <v>45623</v>
      </c>
      <c r="E475">
        <v>17</v>
      </c>
      <c r="F475">
        <v>7.99</v>
      </c>
      <c r="G475">
        <f t="shared" si="7"/>
        <v>135.83000000000001</v>
      </c>
      <c r="H475">
        <v>272</v>
      </c>
      <c r="I475" t="s">
        <v>48</v>
      </c>
      <c r="J475">
        <v>1</v>
      </c>
      <c r="K475">
        <v>6</v>
      </c>
      <c r="L475" t="b">
        <v>0</v>
      </c>
      <c r="M475">
        <v>356</v>
      </c>
      <c r="N475">
        <v>126</v>
      </c>
      <c r="O475" t="s">
        <v>50</v>
      </c>
      <c r="P475" t="s">
        <v>42</v>
      </c>
      <c r="Q475" t="s">
        <v>43</v>
      </c>
      <c r="R475">
        <v>40</v>
      </c>
      <c r="S475">
        <v>4.3</v>
      </c>
      <c r="T475" t="b">
        <v>1</v>
      </c>
      <c r="U475" t="s">
        <v>30</v>
      </c>
      <c r="V475">
        <v>749</v>
      </c>
      <c r="W475" t="s">
        <v>53</v>
      </c>
      <c r="X475" t="s">
        <v>38</v>
      </c>
      <c r="Y475" t="s">
        <v>55</v>
      </c>
    </row>
    <row r="476" spans="1:25" x14ac:dyDescent="0.35">
      <c r="A476">
        <v>6919</v>
      </c>
      <c r="B476" t="s">
        <v>299</v>
      </c>
      <c r="C476" s="1">
        <v>44982</v>
      </c>
      <c r="D476" s="1">
        <v>45620</v>
      </c>
      <c r="E476">
        <v>20</v>
      </c>
      <c r="F476">
        <v>7.99</v>
      </c>
      <c r="G476">
        <f t="shared" si="7"/>
        <v>159.80000000000001</v>
      </c>
      <c r="H476">
        <v>195</v>
      </c>
      <c r="I476" t="s">
        <v>26</v>
      </c>
      <c r="J476">
        <v>4</v>
      </c>
      <c r="K476">
        <v>3</v>
      </c>
      <c r="L476" t="b">
        <v>1</v>
      </c>
      <c r="M476">
        <v>49</v>
      </c>
      <c r="N476">
        <v>30</v>
      </c>
      <c r="O476" t="s">
        <v>41</v>
      </c>
      <c r="P476" t="s">
        <v>28</v>
      </c>
      <c r="Q476" t="s">
        <v>36</v>
      </c>
      <c r="R476">
        <v>68</v>
      </c>
      <c r="S476">
        <v>4.4000000000000004</v>
      </c>
      <c r="T476" t="b">
        <v>0</v>
      </c>
      <c r="U476" t="s">
        <v>30</v>
      </c>
      <c r="V476">
        <v>3157</v>
      </c>
      <c r="W476" t="s">
        <v>53</v>
      </c>
      <c r="X476" t="s">
        <v>54</v>
      </c>
      <c r="Y476" t="s">
        <v>55</v>
      </c>
    </row>
    <row r="477" spans="1:25" x14ac:dyDescent="0.35">
      <c r="A477">
        <v>7168</v>
      </c>
      <c r="B477" t="s">
        <v>229</v>
      </c>
      <c r="C477" s="1">
        <v>45301</v>
      </c>
      <c r="D477" s="1">
        <v>45617</v>
      </c>
      <c r="E477">
        <v>10</v>
      </c>
      <c r="F477">
        <v>11.99</v>
      </c>
      <c r="G477">
        <f t="shared" si="7"/>
        <v>119.9</v>
      </c>
      <c r="H477">
        <v>416</v>
      </c>
      <c r="I477" t="s">
        <v>45</v>
      </c>
      <c r="J477">
        <v>3</v>
      </c>
      <c r="K477">
        <v>1</v>
      </c>
      <c r="L477" t="b">
        <v>1</v>
      </c>
      <c r="M477">
        <v>774</v>
      </c>
      <c r="N477">
        <v>55</v>
      </c>
      <c r="O477" t="s">
        <v>76</v>
      </c>
      <c r="P477" t="s">
        <v>28</v>
      </c>
      <c r="Q477" t="s">
        <v>69</v>
      </c>
      <c r="R477">
        <v>41</v>
      </c>
      <c r="S477">
        <v>3.3</v>
      </c>
      <c r="T477" t="b">
        <v>0</v>
      </c>
      <c r="U477" t="s">
        <v>30</v>
      </c>
      <c r="V477">
        <v>173</v>
      </c>
      <c r="W477" t="s">
        <v>31</v>
      </c>
      <c r="X477" t="s">
        <v>54</v>
      </c>
      <c r="Y477" t="s">
        <v>39</v>
      </c>
    </row>
    <row r="478" spans="1:25" x14ac:dyDescent="0.35">
      <c r="A478">
        <v>6474</v>
      </c>
      <c r="B478" t="s">
        <v>178</v>
      </c>
      <c r="C478" s="1">
        <v>45230</v>
      </c>
      <c r="D478" s="1">
        <v>45615</v>
      </c>
      <c r="E478">
        <v>12</v>
      </c>
      <c r="F478">
        <v>15.99</v>
      </c>
      <c r="G478">
        <f t="shared" si="7"/>
        <v>191.88</v>
      </c>
      <c r="H478">
        <v>459</v>
      </c>
      <c r="I478" t="s">
        <v>48</v>
      </c>
      <c r="J478">
        <v>5</v>
      </c>
      <c r="K478">
        <v>5</v>
      </c>
      <c r="L478" t="b">
        <v>1</v>
      </c>
      <c r="M478">
        <v>961</v>
      </c>
      <c r="N478">
        <v>173</v>
      </c>
      <c r="O478" t="s">
        <v>46</v>
      </c>
      <c r="P478" t="s">
        <v>28</v>
      </c>
      <c r="Q478" t="s">
        <v>36</v>
      </c>
      <c r="R478">
        <v>92</v>
      </c>
      <c r="S478">
        <v>3.7</v>
      </c>
      <c r="T478" t="b">
        <v>0</v>
      </c>
      <c r="U478" t="s">
        <v>30</v>
      </c>
      <c r="V478">
        <v>2925</v>
      </c>
      <c r="W478" t="s">
        <v>37</v>
      </c>
      <c r="X478" t="s">
        <v>70</v>
      </c>
      <c r="Y478" t="s">
        <v>33</v>
      </c>
    </row>
    <row r="479" spans="1:25" x14ac:dyDescent="0.35">
      <c r="A479">
        <v>4242</v>
      </c>
      <c r="B479" t="s">
        <v>40</v>
      </c>
      <c r="C479" s="1">
        <v>45236</v>
      </c>
      <c r="D479" s="1">
        <v>45641</v>
      </c>
      <c r="E479">
        <v>13</v>
      </c>
      <c r="F479">
        <v>7.99</v>
      </c>
      <c r="G479">
        <f t="shared" si="7"/>
        <v>103.87</v>
      </c>
      <c r="H479">
        <v>168</v>
      </c>
      <c r="I479" t="s">
        <v>57</v>
      </c>
      <c r="J479">
        <v>5</v>
      </c>
      <c r="K479">
        <v>3</v>
      </c>
      <c r="L479" t="b">
        <v>1</v>
      </c>
      <c r="M479">
        <v>539</v>
      </c>
      <c r="N479">
        <v>48</v>
      </c>
      <c r="O479" t="s">
        <v>41</v>
      </c>
      <c r="P479" t="s">
        <v>51</v>
      </c>
      <c r="Q479" t="s">
        <v>29</v>
      </c>
      <c r="R479">
        <v>82</v>
      </c>
      <c r="S479">
        <v>4.3</v>
      </c>
      <c r="T479" t="b">
        <v>0</v>
      </c>
      <c r="U479" t="s">
        <v>30</v>
      </c>
      <c r="V479">
        <v>3182</v>
      </c>
      <c r="W479" t="s">
        <v>67</v>
      </c>
      <c r="X479" t="s">
        <v>38</v>
      </c>
      <c r="Y479" t="s">
        <v>33</v>
      </c>
    </row>
    <row r="480" spans="1:25" x14ac:dyDescent="0.35">
      <c r="A480">
        <v>3395</v>
      </c>
      <c r="B480" t="s">
        <v>111</v>
      </c>
      <c r="C480" s="1">
        <v>45377</v>
      </c>
      <c r="D480" s="1">
        <v>45625</v>
      </c>
      <c r="E480">
        <v>8</v>
      </c>
      <c r="F480">
        <v>7.99</v>
      </c>
      <c r="G480">
        <f t="shared" si="7"/>
        <v>63.92</v>
      </c>
      <c r="H480">
        <v>307</v>
      </c>
      <c r="I480" t="s">
        <v>81</v>
      </c>
      <c r="J480">
        <v>5</v>
      </c>
      <c r="K480">
        <v>6</v>
      </c>
      <c r="L480" t="b">
        <v>0</v>
      </c>
      <c r="M480">
        <v>340</v>
      </c>
      <c r="N480">
        <v>174</v>
      </c>
      <c r="O480" t="s">
        <v>50</v>
      </c>
      <c r="P480" t="s">
        <v>66</v>
      </c>
      <c r="Q480" t="s">
        <v>43</v>
      </c>
      <c r="R480">
        <v>11</v>
      </c>
      <c r="S480">
        <v>4.5</v>
      </c>
      <c r="T480" t="b">
        <v>1</v>
      </c>
      <c r="U480" t="s">
        <v>30</v>
      </c>
      <c r="V480">
        <v>2432</v>
      </c>
      <c r="W480" t="s">
        <v>53</v>
      </c>
      <c r="X480" t="s">
        <v>54</v>
      </c>
      <c r="Y480" t="s">
        <v>39</v>
      </c>
    </row>
    <row r="481" spans="1:25" x14ac:dyDescent="0.35">
      <c r="A481">
        <v>8694</v>
      </c>
      <c r="B481" t="s">
        <v>300</v>
      </c>
      <c r="C481" s="1">
        <v>45274</v>
      </c>
      <c r="D481" s="1">
        <v>45629</v>
      </c>
      <c r="E481">
        <v>11</v>
      </c>
      <c r="F481">
        <v>15.99</v>
      </c>
      <c r="G481">
        <f t="shared" si="7"/>
        <v>175.89000000000001</v>
      </c>
      <c r="H481">
        <v>270</v>
      </c>
      <c r="I481" t="s">
        <v>64</v>
      </c>
      <c r="J481">
        <v>2</v>
      </c>
      <c r="K481">
        <v>3</v>
      </c>
      <c r="L481" t="b">
        <v>1</v>
      </c>
      <c r="M481">
        <v>836</v>
      </c>
      <c r="N481">
        <v>67</v>
      </c>
      <c r="O481" t="s">
        <v>61</v>
      </c>
      <c r="P481" t="s">
        <v>28</v>
      </c>
      <c r="Q481" t="s">
        <v>69</v>
      </c>
      <c r="R481">
        <v>51</v>
      </c>
      <c r="S481">
        <v>4.5</v>
      </c>
      <c r="T481" t="b">
        <v>1</v>
      </c>
      <c r="U481" t="s">
        <v>30</v>
      </c>
      <c r="V481">
        <v>414</v>
      </c>
      <c r="W481" t="s">
        <v>53</v>
      </c>
      <c r="X481" t="s">
        <v>54</v>
      </c>
      <c r="Y481" t="s">
        <v>55</v>
      </c>
    </row>
    <row r="482" spans="1:25" x14ac:dyDescent="0.35">
      <c r="A482">
        <v>7150</v>
      </c>
      <c r="B482" t="s">
        <v>101</v>
      </c>
      <c r="C482" s="1">
        <v>45029</v>
      </c>
      <c r="D482" s="1">
        <v>45633</v>
      </c>
      <c r="E482">
        <v>19</v>
      </c>
      <c r="F482">
        <v>7.99</v>
      </c>
      <c r="G482">
        <f t="shared" si="7"/>
        <v>151.81</v>
      </c>
      <c r="H482">
        <v>358</v>
      </c>
      <c r="I482" t="s">
        <v>26</v>
      </c>
      <c r="J482">
        <v>4</v>
      </c>
      <c r="K482">
        <v>6</v>
      </c>
      <c r="L482" t="b">
        <v>1</v>
      </c>
      <c r="M482">
        <v>746</v>
      </c>
      <c r="N482">
        <v>200</v>
      </c>
      <c r="O482" t="s">
        <v>50</v>
      </c>
      <c r="P482" t="s">
        <v>42</v>
      </c>
      <c r="Q482" t="s">
        <v>58</v>
      </c>
      <c r="R482">
        <v>35</v>
      </c>
      <c r="S482">
        <v>3.9</v>
      </c>
      <c r="T482" t="b">
        <v>1</v>
      </c>
      <c r="U482" t="s">
        <v>30</v>
      </c>
      <c r="V482">
        <v>888</v>
      </c>
      <c r="W482" t="s">
        <v>59</v>
      </c>
      <c r="X482" t="s">
        <v>62</v>
      </c>
      <c r="Y482" t="s">
        <v>33</v>
      </c>
    </row>
    <row r="483" spans="1:25" x14ac:dyDescent="0.35">
      <c r="A483">
        <v>4111</v>
      </c>
      <c r="B483" t="s">
        <v>223</v>
      </c>
      <c r="C483" s="1">
        <v>45405</v>
      </c>
      <c r="D483" s="1">
        <v>45623</v>
      </c>
      <c r="E483">
        <v>7</v>
      </c>
      <c r="F483">
        <v>11.99</v>
      </c>
      <c r="G483">
        <f t="shared" si="7"/>
        <v>83.93</v>
      </c>
      <c r="H483">
        <v>301</v>
      </c>
      <c r="I483" t="s">
        <v>45</v>
      </c>
      <c r="J483">
        <v>2</v>
      </c>
      <c r="K483">
        <v>2</v>
      </c>
      <c r="L483" t="b">
        <v>1</v>
      </c>
      <c r="M483">
        <v>939</v>
      </c>
      <c r="N483">
        <v>21</v>
      </c>
      <c r="O483" t="s">
        <v>65</v>
      </c>
      <c r="P483" t="s">
        <v>51</v>
      </c>
      <c r="Q483" t="s">
        <v>43</v>
      </c>
      <c r="R483">
        <v>83</v>
      </c>
      <c r="S483">
        <v>4.9000000000000004</v>
      </c>
      <c r="T483" t="b">
        <v>0</v>
      </c>
      <c r="U483" t="s">
        <v>30</v>
      </c>
      <c r="V483">
        <v>1058</v>
      </c>
      <c r="W483" t="s">
        <v>53</v>
      </c>
      <c r="X483" t="s">
        <v>70</v>
      </c>
      <c r="Y483" t="s">
        <v>55</v>
      </c>
    </row>
    <row r="484" spans="1:25" x14ac:dyDescent="0.35">
      <c r="A484">
        <v>3532</v>
      </c>
      <c r="B484" t="s">
        <v>222</v>
      </c>
      <c r="C484" s="1">
        <v>44955</v>
      </c>
      <c r="D484" s="1">
        <v>45641</v>
      </c>
      <c r="E484">
        <v>22</v>
      </c>
      <c r="F484">
        <v>7.99</v>
      </c>
      <c r="G484">
        <f t="shared" si="7"/>
        <v>175.78</v>
      </c>
      <c r="H484">
        <v>277</v>
      </c>
      <c r="I484" t="s">
        <v>26</v>
      </c>
      <c r="J484">
        <v>2</v>
      </c>
      <c r="K484">
        <v>4</v>
      </c>
      <c r="L484" t="b">
        <v>0</v>
      </c>
      <c r="M484">
        <v>659</v>
      </c>
      <c r="N484">
        <v>150</v>
      </c>
      <c r="O484" t="s">
        <v>27</v>
      </c>
      <c r="P484" t="s">
        <v>42</v>
      </c>
      <c r="Q484" t="s">
        <v>58</v>
      </c>
      <c r="R484">
        <v>79</v>
      </c>
      <c r="S484">
        <v>3.9</v>
      </c>
      <c r="T484" t="b">
        <v>1</v>
      </c>
      <c r="U484" t="s">
        <v>30</v>
      </c>
      <c r="V484">
        <v>2067</v>
      </c>
      <c r="W484" t="s">
        <v>53</v>
      </c>
      <c r="X484" t="s">
        <v>62</v>
      </c>
      <c r="Y484" t="s">
        <v>39</v>
      </c>
    </row>
    <row r="485" spans="1:25" x14ac:dyDescent="0.35">
      <c r="A485">
        <v>5375</v>
      </c>
      <c r="B485" t="s">
        <v>301</v>
      </c>
      <c r="C485" s="1">
        <v>44926</v>
      </c>
      <c r="D485" s="1">
        <v>45626</v>
      </c>
      <c r="E485">
        <v>22</v>
      </c>
      <c r="F485">
        <v>15.99</v>
      </c>
      <c r="G485">
        <f t="shared" si="7"/>
        <v>351.78000000000003</v>
      </c>
      <c r="H485">
        <v>423</v>
      </c>
      <c r="I485" t="s">
        <v>45</v>
      </c>
      <c r="J485">
        <v>5</v>
      </c>
      <c r="K485">
        <v>2</v>
      </c>
      <c r="L485" t="b">
        <v>1</v>
      </c>
      <c r="M485">
        <v>435</v>
      </c>
      <c r="N485">
        <v>108</v>
      </c>
      <c r="O485" t="s">
        <v>46</v>
      </c>
      <c r="P485" t="s">
        <v>42</v>
      </c>
      <c r="Q485" t="s">
        <v>58</v>
      </c>
      <c r="R485">
        <v>44</v>
      </c>
      <c r="S485">
        <v>4.5999999999999996</v>
      </c>
      <c r="T485" t="b">
        <v>0</v>
      </c>
      <c r="U485" t="s">
        <v>30</v>
      </c>
      <c r="V485">
        <v>3763</v>
      </c>
      <c r="W485" t="s">
        <v>59</v>
      </c>
      <c r="X485" t="s">
        <v>62</v>
      </c>
      <c r="Y485" t="s">
        <v>55</v>
      </c>
    </row>
    <row r="486" spans="1:25" x14ac:dyDescent="0.35">
      <c r="A486">
        <v>8881</v>
      </c>
      <c r="B486" t="s">
        <v>180</v>
      </c>
      <c r="C486" s="1">
        <v>45551</v>
      </c>
      <c r="D486" s="1">
        <v>45620</v>
      </c>
      <c r="E486">
        <v>2</v>
      </c>
      <c r="F486">
        <v>11.99</v>
      </c>
      <c r="G486">
        <f t="shared" si="7"/>
        <v>23.98</v>
      </c>
      <c r="H486">
        <v>197</v>
      </c>
      <c r="I486" t="s">
        <v>35</v>
      </c>
      <c r="J486">
        <v>1</v>
      </c>
      <c r="K486">
        <v>5</v>
      </c>
      <c r="L486" t="b">
        <v>0</v>
      </c>
      <c r="M486">
        <v>292</v>
      </c>
      <c r="N486">
        <v>169</v>
      </c>
      <c r="O486" t="s">
        <v>76</v>
      </c>
      <c r="P486" t="s">
        <v>66</v>
      </c>
      <c r="Q486" t="s">
        <v>58</v>
      </c>
      <c r="R486">
        <v>3</v>
      </c>
      <c r="S486">
        <v>4.5</v>
      </c>
      <c r="T486" t="b">
        <v>0</v>
      </c>
      <c r="U486" t="s">
        <v>30</v>
      </c>
      <c r="V486">
        <v>957</v>
      </c>
      <c r="W486" t="s">
        <v>37</v>
      </c>
      <c r="X486" t="s">
        <v>62</v>
      </c>
      <c r="Y486" t="s">
        <v>55</v>
      </c>
    </row>
    <row r="487" spans="1:25" x14ac:dyDescent="0.35">
      <c r="A487">
        <v>1235</v>
      </c>
      <c r="B487" t="s">
        <v>82</v>
      </c>
      <c r="C487" s="1">
        <v>45230</v>
      </c>
      <c r="D487" s="1">
        <v>45623</v>
      </c>
      <c r="E487">
        <v>12</v>
      </c>
      <c r="F487">
        <v>15.99</v>
      </c>
      <c r="G487">
        <f t="shared" si="7"/>
        <v>191.88</v>
      </c>
      <c r="H487">
        <v>100</v>
      </c>
      <c r="I487" t="s">
        <v>48</v>
      </c>
      <c r="J487">
        <v>2</v>
      </c>
      <c r="K487">
        <v>6</v>
      </c>
      <c r="L487" t="b">
        <v>1</v>
      </c>
      <c r="M487">
        <v>103</v>
      </c>
      <c r="N487">
        <v>36</v>
      </c>
      <c r="O487" t="s">
        <v>50</v>
      </c>
      <c r="P487" t="s">
        <v>42</v>
      </c>
      <c r="Q487" t="s">
        <v>43</v>
      </c>
      <c r="R487">
        <v>68</v>
      </c>
      <c r="S487">
        <v>3.7</v>
      </c>
      <c r="T487" t="b">
        <v>0</v>
      </c>
      <c r="U487" t="s">
        <v>30</v>
      </c>
      <c r="V487">
        <v>3003</v>
      </c>
      <c r="W487" t="s">
        <v>67</v>
      </c>
      <c r="X487" t="s">
        <v>70</v>
      </c>
      <c r="Y487" t="s">
        <v>33</v>
      </c>
    </row>
    <row r="488" spans="1:25" x14ac:dyDescent="0.35">
      <c r="A488">
        <v>2533</v>
      </c>
      <c r="B488" t="s">
        <v>199</v>
      </c>
      <c r="C488" s="1">
        <v>45233</v>
      </c>
      <c r="D488" s="1">
        <v>45619</v>
      </c>
      <c r="E488">
        <v>12</v>
      </c>
      <c r="F488">
        <v>15.99</v>
      </c>
      <c r="G488">
        <f t="shared" si="7"/>
        <v>191.88</v>
      </c>
      <c r="H488">
        <v>338</v>
      </c>
      <c r="I488" t="s">
        <v>26</v>
      </c>
      <c r="J488">
        <v>4</v>
      </c>
      <c r="K488">
        <v>2</v>
      </c>
      <c r="L488" t="b">
        <v>0</v>
      </c>
      <c r="M488">
        <v>525</v>
      </c>
      <c r="N488">
        <v>140</v>
      </c>
      <c r="O488" t="s">
        <v>61</v>
      </c>
      <c r="P488" t="s">
        <v>51</v>
      </c>
      <c r="Q488" t="s">
        <v>69</v>
      </c>
      <c r="R488">
        <v>75</v>
      </c>
      <c r="S488">
        <v>4.5999999999999996</v>
      </c>
      <c r="T488" t="b">
        <v>1</v>
      </c>
      <c r="U488" t="s">
        <v>30</v>
      </c>
      <c r="V488">
        <v>354</v>
      </c>
      <c r="W488" t="s">
        <v>53</v>
      </c>
      <c r="X488" t="s">
        <v>54</v>
      </c>
      <c r="Y488" t="s">
        <v>77</v>
      </c>
    </row>
    <row r="489" spans="1:25" x14ac:dyDescent="0.35">
      <c r="A489">
        <v>2734</v>
      </c>
      <c r="B489" t="s">
        <v>188</v>
      </c>
      <c r="C489" s="1">
        <v>45449</v>
      </c>
      <c r="D489" s="1">
        <v>45627</v>
      </c>
      <c r="E489">
        <v>5</v>
      </c>
      <c r="F489">
        <v>11.99</v>
      </c>
      <c r="G489">
        <f t="shared" si="7"/>
        <v>59.95</v>
      </c>
      <c r="H489">
        <v>130</v>
      </c>
      <c r="I489" t="s">
        <v>48</v>
      </c>
      <c r="J489">
        <v>1</v>
      </c>
      <c r="K489">
        <v>1</v>
      </c>
      <c r="L489" t="b">
        <v>1</v>
      </c>
      <c r="M489">
        <v>428</v>
      </c>
      <c r="N489">
        <v>119</v>
      </c>
      <c r="O489" t="s">
        <v>76</v>
      </c>
      <c r="P489" t="s">
        <v>51</v>
      </c>
      <c r="Q489" t="s">
        <v>69</v>
      </c>
      <c r="R489">
        <v>53</v>
      </c>
      <c r="S489">
        <v>4.5</v>
      </c>
      <c r="T489" t="b">
        <v>1</v>
      </c>
      <c r="U489" t="s">
        <v>30</v>
      </c>
      <c r="V489">
        <v>4922</v>
      </c>
      <c r="W489" t="s">
        <v>67</v>
      </c>
      <c r="X489" t="s">
        <v>32</v>
      </c>
      <c r="Y489" t="s">
        <v>77</v>
      </c>
    </row>
    <row r="490" spans="1:25" x14ac:dyDescent="0.35">
      <c r="A490">
        <v>4129</v>
      </c>
      <c r="B490" t="s">
        <v>156</v>
      </c>
      <c r="C490" s="1">
        <v>45291</v>
      </c>
      <c r="D490" s="1">
        <v>45621</v>
      </c>
      <c r="E490">
        <v>10</v>
      </c>
      <c r="F490">
        <v>11.99</v>
      </c>
      <c r="G490">
        <f t="shared" si="7"/>
        <v>119.9</v>
      </c>
      <c r="H490">
        <v>383</v>
      </c>
      <c r="I490" t="s">
        <v>57</v>
      </c>
      <c r="J490">
        <v>5</v>
      </c>
      <c r="K490">
        <v>4</v>
      </c>
      <c r="L490" t="b">
        <v>1</v>
      </c>
      <c r="M490">
        <v>711</v>
      </c>
      <c r="N490">
        <v>147</v>
      </c>
      <c r="O490" t="s">
        <v>76</v>
      </c>
      <c r="P490" t="s">
        <v>28</v>
      </c>
      <c r="Q490" t="s">
        <v>43</v>
      </c>
      <c r="R490">
        <v>68</v>
      </c>
      <c r="S490">
        <v>3.9</v>
      </c>
      <c r="T490" t="b">
        <v>1</v>
      </c>
      <c r="U490" t="s">
        <v>30</v>
      </c>
      <c r="V490">
        <v>2083</v>
      </c>
      <c r="W490" t="s">
        <v>59</v>
      </c>
      <c r="X490" t="s">
        <v>54</v>
      </c>
      <c r="Y490" t="s">
        <v>39</v>
      </c>
    </row>
    <row r="491" spans="1:25" x14ac:dyDescent="0.35">
      <c r="A491">
        <v>3762</v>
      </c>
      <c r="B491" t="s">
        <v>202</v>
      </c>
      <c r="C491" s="1">
        <v>45288</v>
      </c>
      <c r="D491" s="1">
        <v>45626</v>
      </c>
      <c r="E491">
        <v>11</v>
      </c>
      <c r="F491">
        <v>11.99</v>
      </c>
      <c r="G491">
        <f t="shared" si="7"/>
        <v>131.89000000000001</v>
      </c>
      <c r="H491">
        <v>411</v>
      </c>
      <c r="I491" t="s">
        <v>26</v>
      </c>
      <c r="J491">
        <v>5</v>
      </c>
      <c r="K491">
        <v>6</v>
      </c>
      <c r="L491" t="b">
        <v>1</v>
      </c>
      <c r="M491">
        <v>887</v>
      </c>
      <c r="N491">
        <v>37</v>
      </c>
      <c r="O491" t="s">
        <v>61</v>
      </c>
      <c r="P491" t="s">
        <v>28</v>
      </c>
      <c r="Q491" t="s">
        <v>69</v>
      </c>
      <c r="R491">
        <v>66</v>
      </c>
      <c r="S491">
        <v>3.9</v>
      </c>
      <c r="T491" t="b">
        <v>1</v>
      </c>
      <c r="U491" t="s">
        <v>30</v>
      </c>
      <c r="V491">
        <v>2098</v>
      </c>
      <c r="W491" t="s">
        <v>37</v>
      </c>
      <c r="X491" t="s">
        <v>62</v>
      </c>
      <c r="Y491" t="s">
        <v>33</v>
      </c>
    </row>
    <row r="492" spans="1:25" x14ac:dyDescent="0.35">
      <c r="A492">
        <v>4341</v>
      </c>
      <c r="B492" t="s">
        <v>302</v>
      </c>
      <c r="C492" s="1">
        <v>45078</v>
      </c>
      <c r="D492" s="1">
        <v>45633</v>
      </c>
      <c r="E492">
        <v>18</v>
      </c>
      <c r="F492">
        <v>11.99</v>
      </c>
      <c r="G492">
        <f t="shared" si="7"/>
        <v>215.82</v>
      </c>
      <c r="H492">
        <v>347</v>
      </c>
      <c r="I492" t="s">
        <v>57</v>
      </c>
      <c r="J492">
        <v>4</v>
      </c>
      <c r="K492">
        <v>2</v>
      </c>
      <c r="L492" t="b">
        <v>1</v>
      </c>
      <c r="M492">
        <v>546</v>
      </c>
      <c r="N492">
        <v>12</v>
      </c>
      <c r="O492" t="s">
        <v>61</v>
      </c>
      <c r="P492" t="s">
        <v>28</v>
      </c>
      <c r="Q492" t="s">
        <v>52</v>
      </c>
      <c r="R492">
        <v>31</v>
      </c>
      <c r="S492">
        <v>3.1</v>
      </c>
      <c r="T492" t="b">
        <v>0</v>
      </c>
      <c r="U492" t="s">
        <v>30</v>
      </c>
      <c r="V492">
        <v>2022</v>
      </c>
      <c r="W492" t="s">
        <v>31</v>
      </c>
      <c r="X492" t="s">
        <v>32</v>
      </c>
      <c r="Y492" t="s">
        <v>39</v>
      </c>
    </row>
    <row r="493" spans="1:25" x14ac:dyDescent="0.35">
      <c r="A493">
        <v>6638</v>
      </c>
      <c r="B493" t="s">
        <v>303</v>
      </c>
      <c r="C493" s="1">
        <v>45201</v>
      </c>
      <c r="D493" s="1">
        <v>45637</v>
      </c>
      <c r="E493">
        <v>14</v>
      </c>
      <c r="F493">
        <v>11.99</v>
      </c>
      <c r="G493">
        <f t="shared" si="7"/>
        <v>167.86</v>
      </c>
      <c r="H493">
        <v>302</v>
      </c>
      <c r="I493" t="s">
        <v>64</v>
      </c>
      <c r="J493">
        <v>4</v>
      </c>
      <c r="K493">
        <v>2</v>
      </c>
      <c r="L493" t="b">
        <v>1</v>
      </c>
      <c r="M493">
        <v>417</v>
      </c>
      <c r="N493">
        <v>143</v>
      </c>
      <c r="O493" t="s">
        <v>41</v>
      </c>
      <c r="P493" t="s">
        <v>42</v>
      </c>
      <c r="Q493" t="s">
        <v>43</v>
      </c>
      <c r="R493">
        <v>14</v>
      </c>
      <c r="S493">
        <v>4.7</v>
      </c>
      <c r="T493" t="b">
        <v>0</v>
      </c>
      <c r="U493" t="s">
        <v>30</v>
      </c>
      <c r="V493">
        <v>3791</v>
      </c>
      <c r="W493" t="s">
        <v>31</v>
      </c>
      <c r="X493" t="s">
        <v>70</v>
      </c>
      <c r="Y493" t="s">
        <v>77</v>
      </c>
    </row>
    <row r="494" spans="1:25" x14ac:dyDescent="0.35">
      <c r="A494">
        <v>5861</v>
      </c>
      <c r="B494" t="s">
        <v>205</v>
      </c>
      <c r="C494" s="1">
        <v>45054</v>
      </c>
      <c r="D494" s="1">
        <v>45629</v>
      </c>
      <c r="E494">
        <v>18</v>
      </c>
      <c r="F494">
        <v>15.99</v>
      </c>
      <c r="G494">
        <f t="shared" si="7"/>
        <v>287.82</v>
      </c>
      <c r="H494">
        <v>361</v>
      </c>
      <c r="I494" t="s">
        <v>81</v>
      </c>
      <c r="J494">
        <v>3</v>
      </c>
      <c r="K494">
        <v>6</v>
      </c>
      <c r="L494" t="b">
        <v>0</v>
      </c>
      <c r="M494">
        <v>407</v>
      </c>
      <c r="N494">
        <v>126</v>
      </c>
      <c r="O494" t="s">
        <v>65</v>
      </c>
      <c r="P494" t="s">
        <v>42</v>
      </c>
      <c r="Q494" t="s">
        <v>52</v>
      </c>
      <c r="R494">
        <v>80</v>
      </c>
      <c r="S494">
        <v>4.3</v>
      </c>
      <c r="T494" t="b">
        <v>0</v>
      </c>
      <c r="U494" t="s">
        <v>30</v>
      </c>
      <c r="V494">
        <v>728</v>
      </c>
      <c r="W494" t="s">
        <v>59</v>
      </c>
      <c r="X494" t="s">
        <v>32</v>
      </c>
      <c r="Y494" t="s">
        <v>33</v>
      </c>
    </row>
    <row r="495" spans="1:25" x14ac:dyDescent="0.35">
      <c r="A495">
        <v>8815</v>
      </c>
      <c r="B495" t="s">
        <v>216</v>
      </c>
      <c r="C495" s="1">
        <v>45243</v>
      </c>
      <c r="D495" s="1">
        <v>45627</v>
      </c>
      <c r="E495">
        <v>12</v>
      </c>
      <c r="F495">
        <v>7.99</v>
      </c>
      <c r="G495">
        <f t="shared" si="7"/>
        <v>95.88</v>
      </c>
      <c r="H495">
        <v>148</v>
      </c>
      <c r="I495" t="s">
        <v>48</v>
      </c>
      <c r="J495">
        <v>1</v>
      </c>
      <c r="K495">
        <v>1</v>
      </c>
      <c r="L495" t="b">
        <v>1</v>
      </c>
      <c r="M495">
        <v>579</v>
      </c>
      <c r="N495">
        <v>121</v>
      </c>
      <c r="O495" t="s">
        <v>76</v>
      </c>
      <c r="P495" t="s">
        <v>66</v>
      </c>
      <c r="Q495" t="s">
        <v>52</v>
      </c>
      <c r="R495">
        <v>8</v>
      </c>
      <c r="S495">
        <v>3.6</v>
      </c>
      <c r="T495" t="b">
        <v>0</v>
      </c>
      <c r="U495" t="s">
        <v>30</v>
      </c>
      <c r="V495">
        <v>3448</v>
      </c>
      <c r="W495" t="s">
        <v>53</v>
      </c>
      <c r="X495" t="s">
        <v>62</v>
      </c>
      <c r="Y495" t="s">
        <v>39</v>
      </c>
    </row>
    <row r="496" spans="1:25" x14ac:dyDescent="0.35">
      <c r="A496">
        <v>8793</v>
      </c>
      <c r="B496" t="s">
        <v>107</v>
      </c>
      <c r="C496" s="1">
        <v>45430</v>
      </c>
      <c r="D496" s="1">
        <v>45617</v>
      </c>
      <c r="E496">
        <v>6</v>
      </c>
      <c r="F496">
        <v>7.99</v>
      </c>
      <c r="G496">
        <f t="shared" si="7"/>
        <v>47.94</v>
      </c>
      <c r="H496">
        <v>162</v>
      </c>
      <c r="I496" t="s">
        <v>45</v>
      </c>
      <c r="J496">
        <v>2</v>
      </c>
      <c r="K496">
        <v>5</v>
      </c>
      <c r="L496" t="b">
        <v>1</v>
      </c>
      <c r="M496">
        <v>672</v>
      </c>
      <c r="N496">
        <v>57</v>
      </c>
      <c r="O496" t="s">
        <v>61</v>
      </c>
      <c r="P496" t="s">
        <v>42</v>
      </c>
      <c r="Q496" t="s">
        <v>43</v>
      </c>
      <c r="R496">
        <v>16</v>
      </c>
      <c r="S496">
        <v>4.3</v>
      </c>
      <c r="T496" t="b">
        <v>0</v>
      </c>
      <c r="U496" t="s">
        <v>30</v>
      </c>
      <c r="V496">
        <v>3930</v>
      </c>
      <c r="W496" t="s">
        <v>59</v>
      </c>
      <c r="X496" t="s">
        <v>54</v>
      </c>
      <c r="Y496" t="s">
        <v>77</v>
      </c>
    </row>
    <row r="497" spans="1:25" x14ac:dyDescent="0.35">
      <c r="A497">
        <v>3469</v>
      </c>
      <c r="B497" t="s">
        <v>91</v>
      </c>
      <c r="C497" s="1">
        <v>45144</v>
      </c>
      <c r="D497" s="1">
        <v>45644</v>
      </c>
      <c r="E497">
        <v>16</v>
      </c>
      <c r="F497">
        <v>7.99</v>
      </c>
      <c r="G497">
        <f t="shared" si="7"/>
        <v>127.84</v>
      </c>
      <c r="H497">
        <v>379</v>
      </c>
      <c r="I497" t="s">
        <v>35</v>
      </c>
      <c r="J497">
        <v>3</v>
      </c>
      <c r="K497">
        <v>5</v>
      </c>
      <c r="L497" t="b">
        <v>1</v>
      </c>
      <c r="M497">
        <v>377</v>
      </c>
      <c r="N497">
        <v>153</v>
      </c>
      <c r="O497" t="s">
        <v>61</v>
      </c>
      <c r="P497" t="s">
        <v>66</v>
      </c>
      <c r="Q497" t="s">
        <v>43</v>
      </c>
      <c r="R497">
        <v>67</v>
      </c>
      <c r="S497">
        <v>3.6</v>
      </c>
      <c r="T497" t="b">
        <v>1</v>
      </c>
      <c r="U497" t="s">
        <v>30</v>
      </c>
      <c r="V497">
        <v>3702</v>
      </c>
      <c r="W497" t="s">
        <v>31</v>
      </c>
      <c r="X497" t="s">
        <v>54</v>
      </c>
      <c r="Y497" t="s">
        <v>77</v>
      </c>
    </row>
    <row r="498" spans="1:25" x14ac:dyDescent="0.35">
      <c r="A498">
        <v>3654</v>
      </c>
      <c r="B498" t="s">
        <v>110</v>
      </c>
      <c r="C498" s="1">
        <v>45346</v>
      </c>
      <c r="D498" s="1">
        <v>45640</v>
      </c>
      <c r="E498">
        <v>9</v>
      </c>
      <c r="F498">
        <v>15.99</v>
      </c>
      <c r="G498">
        <f t="shared" si="7"/>
        <v>143.91</v>
      </c>
      <c r="H498">
        <v>373</v>
      </c>
      <c r="I498" t="s">
        <v>64</v>
      </c>
      <c r="J498">
        <v>2</v>
      </c>
      <c r="K498">
        <v>6</v>
      </c>
      <c r="L498" t="b">
        <v>1</v>
      </c>
      <c r="M498">
        <v>818</v>
      </c>
      <c r="N498">
        <v>34</v>
      </c>
      <c r="O498" t="s">
        <v>41</v>
      </c>
      <c r="P498" t="s">
        <v>28</v>
      </c>
      <c r="Q498" t="s">
        <v>58</v>
      </c>
      <c r="R498">
        <v>57</v>
      </c>
      <c r="S498">
        <v>3.8</v>
      </c>
      <c r="T498" t="b">
        <v>1</v>
      </c>
      <c r="U498" t="s">
        <v>30</v>
      </c>
      <c r="V498">
        <v>2400</v>
      </c>
      <c r="W498" t="s">
        <v>37</v>
      </c>
      <c r="X498" t="s">
        <v>62</v>
      </c>
      <c r="Y498" t="s">
        <v>39</v>
      </c>
    </row>
    <row r="499" spans="1:25" x14ac:dyDescent="0.35">
      <c r="A499">
        <v>9555</v>
      </c>
      <c r="B499" t="s">
        <v>216</v>
      </c>
      <c r="C499" s="1">
        <v>45506</v>
      </c>
      <c r="D499" s="1">
        <v>45618</v>
      </c>
      <c r="E499">
        <v>3</v>
      </c>
      <c r="F499">
        <v>11.99</v>
      </c>
      <c r="G499">
        <f t="shared" si="7"/>
        <v>35.97</v>
      </c>
      <c r="H499">
        <v>354</v>
      </c>
      <c r="I499" t="s">
        <v>48</v>
      </c>
      <c r="J499">
        <v>1</v>
      </c>
      <c r="K499">
        <v>1</v>
      </c>
      <c r="L499" t="b">
        <v>1</v>
      </c>
      <c r="M499">
        <v>225</v>
      </c>
      <c r="N499">
        <v>1</v>
      </c>
      <c r="O499" t="s">
        <v>46</v>
      </c>
      <c r="P499" t="s">
        <v>66</v>
      </c>
      <c r="Q499" t="s">
        <v>29</v>
      </c>
      <c r="R499">
        <v>83</v>
      </c>
      <c r="S499">
        <v>4.3</v>
      </c>
      <c r="T499" t="b">
        <v>1</v>
      </c>
      <c r="U499" t="s">
        <v>30</v>
      </c>
      <c r="V499">
        <v>548</v>
      </c>
      <c r="W499" t="s">
        <v>67</v>
      </c>
      <c r="X499" t="s">
        <v>70</v>
      </c>
      <c r="Y499" t="s">
        <v>39</v>
      </c>
    </row>
    <row r="500" spans="1:25" x14ac:dyDescent="0.35">
      <c r="A500">
        <v>4028</v>
      </c>
      <c r="B500" t="s">
        <v>150</v>
      </c>
      <c r="C500" s="1">
        <v>45416</v>
      </c>
      <c r="D500" s="1">
        <v>45635</v>
      </c>
      <c r="E500">
        <v>7</v>
      </c>
      <c r="F500">
        <v>7.99</v>
      </c>
      <c r="G500">
        <f t="shared" si="7"/>
        <v>55.93</v>
      </c>
      <c r="H500">
        <v>76</v>
      </c>
      <c r="I500" t="s">
        <v>57</v>
      </c>
      <c r="J500">
        <v>2</v>
      </c>
      <c r="K500">
        <v>4</v>
      </c>
      <c r="L500" t="b">
        <v>1</v>
      </c>
      <c r="M500">
        <v>324</v>
      </c>
      <c r="N500">
        <v>113</v>
      </c>
      <c r="O500" t="s">
        <v>61</v>
      </c>
      <c r="P500" t="s">
        <v>51</v>
      </c>
      <c r="Q500" t="s">
        <v>69</v>
      </c>
      <c r="R500">
        <v>87</v>
      </c>
      <c r="S500">
        <v>4.9000000000000004</v>
      </c>
      <c r="T500" t="b">
        <v>0</v>
      </c>
      <c r="U500" t="s">
        <v>30</v>
      </c>
      <c r="V500">
        <v>4702</v>
      </c>
      <c r="W500" t="s">
        <v>59</v>
      </c>
      <c r="X500" t="s">
        <v>38</v>
      </c>
      <c r="Y500" t="s">
        <v>55</v>
      </c>
    </row>
    <row r="501" spans="1:25" x14ac:dyDescent="0.35">
      <c r="A501">
        <v>9499</v>
      </c>
      <c r="B501" t="s">
        <v>129</v>
      </c>
      <c r="C501" s="1">
        <v>45033</v>
      </c>
      <c r="D501" s="1">
        <v>45640</v>
      </c>
      <c r="E501">
        <v>19</v>
      </c>
      <c r="F501">
        <v>11.99</v>
      </c>
      <c r="G501">
        <f t="shared" si="7"/>
        <v>227.81</v>
      </c>
      <c r="H501">
        <v>316</v>
      </c>
      <c r="I501" t="s">
        <v>26</v>
      </c>
      <c r="J501">
        <v>1</v>
      </c>
      <c r="K501">
        <v>3</v>
      </c>
      <c r="L501" t="b">
        <v>0</v>
      </c>
      <c r="M501">
        <v>793</v>
      </c>
      <c r="N501">
        <v>141</v>
      </c>
      <c r="O501" t="s">
        <v>27</v>
      </c>
      <c r="P501" t="s">
        <v>28</v>
      </c>
      <c r="Q501" t="s">
        <v>36</v>
      </c>
      <c r="R501">
        <v>28</v>
      </c>
      <c r="S501">
        <v>3.4</v>
      </c>
      <c r="T501" t="b">
        <v>0</v>
      </c>
      <c r="U501" t="s">
        <v>30</v>
      </c>
      <c r="V501">
        <v>2821</v>
      </c>
      <c r="W501" t="s">
        <v>37</v>
      </c>
      <c r="X501" t="s">
        <v>62</v>
      </c>
      <c r="Y501" t="s">
        <v>55</v>
      </c>
    </row>
    <row r="502" spans="1:25" x14ac:dyDescent="0.35">
      <c r="A502">
        <v>8628</v>
      </c>
      <c r="B502" t="s">
        <v>114</v>
      </c>
      <c r="C502" s="1">
        <v>44921</v>
      </c>
      <c r="D502" s="1">
        <v>45625</v>
      </c>
      <c r="E502">
        <v>23</v>
      </c>
      <c r="F502">
        <v>11.99</v>
      </c>
      <c r="G502">
        <f t="shared" si="7"/>
        <v>275.77</v>
      </c>
      <c r="H502">
        <v>331</v>
      </c>
      <c r="I502" t="s">
        <v>57</v>
      </c>
      <c r="J502">
        <v>4</v>
      </c>
      <c r="K502">
        <v>2</v>
      </c>
      <c r="L502" t="b">
        <v>1</v>
      </c>
      <c r="M502">
        <v>133</v>
      </c>
      <c r="N502">
        <v>143</v>
      </c>
      <c r="O502" t="s">
        <v>46</v>
      </c>
      <c r="P502" t="s">
        <v>28</v>
      </c>
      <c r="Q502" t="s">
        <v>52</v>
      </c>
      <c r="R502">
        <v>35</v>
      </c>
      <c r="S502">
        <v>4.5999999999999996</v>
      </c>
      <c r="T502" t="b">
        <v>1</v>
      </c>
      <c r="U502" t="s">
        <v>30</v>
      </c>
      <c r="V502">
        <v>484</v>
      </c>
      <c r="W502" t="s">
        <v>59</v>
      </c>
      <c r="X502" t="s">
        <v>70</v>
      </c>
      <c r="Y502" t="s">
        <v>33</v>
      </c>
    </row>
    <row r="503" spans="1:25" x14ac:dyDescent="0.35">
      <c r="A503">
        <v>9942</v>
      </c>
      <c r="B503" t="s">
        <v>111</v>
      </c>
      <c r="C503" s="1">
        <v>45142</v>
      </c>
      <c r="D503" s="1">
        <v>45616</v>
      </c>
      <c r="E503">
        <v>15</v>
      </c>
      <c r="F503">
        <v>15.99</v>
      </c>
      <c r="G503">
        <f t="shared" si="7"/>
        <v>239.85</v>
      </c>
      <c r="H503">
        <v>418</v>
      </c>
      <c r="I503" t="s">
        <v>48</v>
      </c>
      <c r="J503">
        <v>1</v>
      </c>
      <c r="K503">
        <v>5</v>
      </c>
      <c r="L503" t="b">
        <v>1</v>
      </c>
      <c r="M503">
        <v>260</v>
      </c>
      <c r="N503">
        <v>161</v>
      </c>
      <c r="O503" t="s">
        <v>41</v>
      </c>
      <c r="P503" t="s">
        <v>66</v>
      </c>
      <c r="Q503" t="s">
        <v>58</v>
      </c>
      <c r="R503">
        <v>49</v>
      </c>
      <c r="S503">
        <v>3.6</v>
      </c>
      <c r="T503" t="b">
        <v>1</v>
      </c>
      <c r="U503" t="s">
        <v>30</v>
      </c>
      <c r="V503">
        <v>2871</v>
      </c>
      <c r="W503" t="s">
        <v>53</v>
      </c>
      <c r="X503" t="s">
        <v>38</v>
      </c>
      <c r="Y503" t="s">
        <v>33</v>
      </c>
    </row>
    <row r="504" spans="1:25" x14ac:dyDescent="0.35">
      <c r="A504">
        <v>4044</v>
      </c>
      <c r="B504" t="s">
        <v>304</v>
      </c>
      <c r="C504" s="1">
        <v>45081</v>
      </c>
      <c r="D504" s="1">
        <v>45619</v>
      </c>
      <c r="E504">
        <v>17</v>
      </c>
      <c r="F504">
        <v>15.99</v>
      </c>
      <c r="G504">
        <f t="shared" si="7"/>
        <v>271.83</v>
      </c>
      <c r="H504">
        <v>309</v>
      </c>
      <c r="I504" t="s">
        <v>81</v>
      </c>
      <c r="J504">
        <v>5</v>
      </c>
      <c r="K504">
        <v>5</v>
      </c>
      <c r="L504" t="b">
        <v>0</v>
      </c>
      <c r="M504">
        <v>851</v>
      </c>
      <c r="N504">
        <v>166</v>
      </c>
      <c r="O504" t="s">
        <v>76</v>
      </c>
      <c r="P504" t="s">
        <v>66</v>
      </c>
      <c r="Q504" t="s">
        <v>52</v>
      </c>
      <c r="R504">
        <v>66</v>
      </c>
      <c r="S504">
        <v>4</v>
      </c>
      <c r="T504" t="b">
        <v>1</v>
      </c>
      <c r="U504" t="s">
        <v>30</v>
      </c>
      <c r="V504">
        <v>4783</v>
      </c>
      <c r="W504" t="s">
        <v>59</v>
      </c>
      <c r="X504" t="s">
        <v>62</v>
      </c>
      <c r="Y504" t="s">
        <v>77</v>
      </c>
    </row>
    <row r="505" spans="1:25" x14ac:dyDescent="0.35">
      <c r="A505">
        <v>8143</v>
      </c>
      <c r="B505" t="s">
        <v>84</v>
      </c>
      <c r="C505" s="1">
        <v>45441</v>
      </c>
      <c r="D505" s="1">
        <v>45637</v>
      </c>
      <c r="E505">
        <v>6</v>
      </c>
      <c r="F505">
        <v>7.99</v>
      </c>
      <c r="G505">
        <f t="shared" si="7"/>
        <v>47.94</v>
      </c>
      <c r="H505">
        <v>252</v>
      </c>
      <c r="I505" t="s">
        <v>35</v>
      </c>
      <c r="J505">
        <v>3</v>
      </c>
      <c r="K505">
        <v>5</v>
      </c>
      <c r="L505" t="b">
        <v>1</v>
      </c>
      <c r="M505">
        <v>105</v>
      </c>
      <c r="N505">
        <v>118</v>
      </c>
      <c r="O505" t="s">
        <v>65</v>
      </c>
      <c r="P505" t="s">
        <v>42</v>
      </c>
      <c r="Q505" t="s">
        <v>36</v>
      </c>
      <c r="R505">
        <v>52</v>
      </c>
      <c r="S505">
        <v>4.4000000000000004</v>
      </c>
      <c r="T505" t="b">
        <v>1</v>
      </c>
      <c r="U505" t="s">
        <v>30</v>
      </c>
      <c r="V505">
        <v>2725</v>
      </c>
      <c r="W505" t="s">
        <v>59</v>
      </c>
      <c r="X505" t="s">
        <v>38</v>
      </c>
      <c r="Y505" t="s">
        <v>55</v>
      </c>
    </row>
    <row r="506" spans="1:25" x14ac:dyDescent="0.35">
      <c r="A506">
        <v>3984</v>
      </c>
      <c r="B506" t="s">
        <v>169</v>
      </c>
      <c r="C506" s="1">
        <v>45006</v>
      </c>
      <c r="D506" s="1">
        <v>45627</v>
      </c>
      <c r="E506">
        <v>20</v>
      </c>
      <c r="F506">
        <v>15.99</v>
      </c>
      <c r="G506">
        <f t="shared" si="7"/>
        <v>319.8</v>
      </c>
      <c r="H506">
        <v>146</v>
      </c>
      <c r="I506" t="s">
        <v>64</v>
      </c>
      <c r="J506">
        <v>4</v>
      </c>
      <c r="K506">
        <v>6</v>
      </c>
      <c r="L506" t="b">
        <v>0</v>
      </c>
      <c r="M506">
        <v>646</v>
      </c>
      <c r="N506">
        <v>139</v>
      </c>
      <c r="O506" t="s">
        <v>65</v>
      </c>
      <c r="P506" t="s">
        <v>28</v>
      </c>
      <c r="Q506" t="s">
        <v>36</v>
      </c>
      <c r="R506">
        <v>27</v>
      </c>
      <c r="S506">
        <v>3.7</v>
      </c>
      <c r="T506" t="b">
        <v>1</v>
      </c>
      <c r="U506" t="s">
        <v>30</v>
      </c>
      <c r="V506">
        <v>4400</v>
      </c>
      <c r="W506" t="s">
        <v>67</v>
      </c>
      <c r="X506" t="s">
        <v>54</v>
      </c>
      <c r="Y506" t="s">
        <v>33</v>
      </c>
    </row>
    <row r="507" spans="1:25" x14ac:dyDescent="0.35">
      <c r="A507">
        <v>9294</v>
      </c>
      <c r="B507" t="s">
        <v>305</v>
      </c>
      <c r="C507" s="1">
        <v>44977</v>
      </c>
      <c r="D507" s="1">
        <v>45617</v>
      </c>
      <c r="E507">
        <v>21</v>
      </c>
      <c r="F507">
        <v>11.99</v>
      </c>
      <c r="G507">
        <f t="shared" si="7"/>
        <v>251.79</v>
      </c>
      <c r="H507">
        <v>352</v>
      </c>
      <c r="I507" t="s">
        <v>57</v>
      </c>
      <c r="J507">
        <v>4</v>
      </c>
      <c r="K507">
        <v>4</v>
      </c>
      <c r="L507" t="b">
        <v>1</v>
      </c>
      <c r="M507">
        <v>358</v>
      </c>
      <c r="N507">
        <v>6</v>
      </c>
      <c r="O507" t="s">
        <v>41</v>
      </c>
      <c r="P507" t="s">
        <v>42</v>
      </c>
      <c r="Q507" t="s">
        <v>43</v>
      </c>
      <c r="R507">
        <v>32</v>
      </c>
      <c r="S507">
        <v>3.8</v>
      </c>
      <c r="T507" t="b">
        <v>0</v>
      </c>
      <c r="U507" t="s">
        <v>30</v>
      </c>
      <c r="V507">
        <v>2218</v>
      </c>
      <c r="W507" t="s">
        <v>31</v>
      </c>
      <c r="X507" t="s">
        <v>38</v>
      </c>
      <c r="Y507" t="s">
        <v>39</v>
      </c>
    </row>
    <row r="508" spans="1:25" x14ac:dyDescent="0.35">
      <c r="A508">
        <v>4769</v>
      </c>
      <c r="B508" t="s">
        <v>111</v>
      </c>
      <c r="C508" s="1">
        <v>45357</v>
      </c>
      <c r="D508" s="1">
        <v>45643</v>
      </c>
      <c r="E508">
        <v>9</v>
      </c>
      <c r="F508">
        <v>7.99</v>
      </c>
      <c r="G508">
        <f t="shared" si="7"/>
        <v>71.91</v>
      </c>
      <c r="H508">
        <v>43</v>
      </c>
      <c r="I508" t="s">
        <v>81</v>
      </c>
      <c r="J508">
        <v>5</v>
      </c>
      <c r="K508">
        <v>3</v>
      </c>
      <c r="L508" t="b">
        <v>1</v>
      </c>
      <c r="M508">
        <v>336</v>
      </c>
      <c r="N508">
        <v>135</v>
      </c>
      <c r="O508" t="s">
        <v>27</v>
      </c>
      <c r="P508" t="s">
        <v>28</v>
      </c>
      <c r="Q508" t="s">
        <v>58</v>
      </c>
      <c r="R508">
        <v>70</v>
      </c>
      <c r="S508">
        <v>4</v>
      </c>
      <c r="T508" t="b">
        <v>1</v>
      </c>
      <c r="U508" t="s">
        <v>30</v>
      </c>
      <c r="V508">
        <v>4552</v>
      </c>
      <c r="W508" t="s">
        <v>31</v>
      </c>
      <c r="X508" t="s">
        <v>54</v>
      </c>
      <c r="Y508" t="s">
        <v>33</v>
      </c>
    </row>
    <row r="509" spans="1:25" x14ac:dyDescent="0.35">
      <c r="A509">
        <v>8864</v>
      </c>
      <c r="B509" t="s">
        <v>111</v>
      </c>
      <c r="C509" s="1">
        <v>45371</v>
      </c>
      <c r="D509" s="1">
        <v>45625</v>
      </c>
      <c r="E509">
        <v>8</v>
      </c>
      <c r="F509">
        <v>11.99</v>
      </c>
      <c r="G509">
        <f t="shared" si="7"/>
        <v>95.92</v>
      </c>
      <c r="H509">
        <v>440</v>
      </c>
      <c r="I509" t="s">
        <v>35</v>
      </c>
      <c r="J509">
        <v>4</v>
      </c>
      <c r="K509">
        <v>3</v>
      </c>
      <c r="L509" t="b">
        <v>1</v>
      </c>
      <c r="M509">
        <v>80</v>
      </c>
      <c r="N509">
        <v>143</v>
      </c>
      <c r="O509" t="s">
        <v>46</v>
      </c>
      <c r="P509" t="s">
        <v>66</v>
      </c>
      <c r="Q509" t="s">
        <v>36</v>
      </c>
      <c r="R509">
        <v>2</v>
      </c>
      <c r="S509">
        <v>3.4</v>
      </c>
      <c r="T509" t="b">
        <v>0</v>
      </c>
      <c r="U509" t="s">
        <v>30</v>
      </c>
      <c r="V509">
        <v>4125</v>
      </c>
      <c r="W509" t="s">
        <v>67</v>
      </c>
      <c r="X509" t="s">
        <v>32</v>
      </c>
      <c r="Y509" t="s">
        <v>33</v>
      </c>
    </row>
    <row r="510" spans="1:25" x14ac:dyDescent="0.35">
      <c r="A510">
        <v>1857</v>
      </c>
      <c r="B510" t="s">
        <v>306</v>
      </c>
      <c r="C510" s="1">
        <v>45447</v>
      </c>
      <c r="D510" s="1">
        <v>45619</v>
      </c>
      <c r="E510">
        <v>5</v>
      </c>
      <c r="F510">
        <v>15.99</v>
      </c>
      <c r="G510">
        <f t="shared" si="7"/>
        <v>79.95</v>
      </c>
      <c r="H510">
        <v>376</v>
      </c>
      <c r="I510" t="s">
        <v>81</v>
      </c>
      <c r="J510">
        <v>2</v>
      </c>
      <c r="K510">
        <v>2</v>
      </c>
      <c r="L510" t="b">
        <v>0</v>
      </c>
      <c r="M510">
        <v>326</v>
      </c>
      <c r="N510">
        <v>89</v>
      </c>
      <c r="O510" t="s">
        <v>50</v>
      </c>
      <c r="P510" t="s">
        <v>66</v>
      </c>
      <c r="Q510" t="s">
        <v>52</v>
      </c>
      <c r="R510">
        <v>84</v>
      </c>
      <c r="S510">
        <v>4.5999999999999996</v>
      </c>
      <c r="T510" t="b">
        <v>1</v>
      </c>
      <c r="U510" t="s">
        <v>30</v>
      </c>
      <c r="V510">
        <v>424</v>
      </c>
      <c r="W510" t="s">
        <v>59</v>
      </c>
      <c r="X510" t="s">
        <v>70</v>
      </c>
      <c r="Y510" t="s">
        <v>33</v>
      </c>
    </row>
    <row r="511" spans="1:25" x14ac:dyDescent="0.35">
      <c r="A511">
        <v>5566</v>
      </c>
      <c r="B511" t="s">
        <v>216</v>
      </c>
      <c r="C511" s="1">
        <v>45278</v>
      </c>
      <c r="D511" s="1">
        <v>45633</v>
      </c>
      <c r="E511">
        <v>11</v>
      </c>
      <c r="F511">
        <v>11.99</v>
      </c>
      <c r="G511">
        <f t="shared" si="7"/>
        <v>131.89000000000001</v>
      </c>
      <c r="H511">
        <v>137</v>
      </c>
      <c r="I511" t="s">
        <v>26</v>
      </c>
      <c r="J511">
        <v>3</v>
      </c>
      <c r="K511">
        <v>6</v>
      </c>
      <c r="L511" t="b">
        <v>1</v>
      </c>
      <c r="M511">
        <v>699</v>
      </c>
      <c r="N511">
        <v>70</v>
      </c>
      <c r="O511" t="s">
        <v>65</v>
      </c>
      <c r="P511" t="s">
        <v>28</v>
      </c>
      <c r="Q511" t="s">
        <v>52</v>
      </c>
      <c r="R511">
        <v>25</v>
      </c>
      <c r="S511">
        <v>3.9</v>
      </c>
      <c r="T511" t="b">
        <v>1</v>
      </c>
      <c r="U511" t="s">
        <v>30</v>
      </c>
      <c r="V511">
        <v>2418</v>
      </c>
      <c r="W511" t="s">
        <v>59</v>
      </c>
      <c r="X511" t="s">
        <v>32</v>
      </c>
      <c r="Y511" t="s">
        <v>39</v>
      </c>
    </row>
    <row r="512" spans="1:25" x14ac:dyDescent="0.35">
      <c r="A512">
        <v>1373</v>
      </c>
      <c r="B512" t="s">
        <v>106</v>
      </c>
      <c r="C512" s="1">
        <v>44998</v>
      </c>
      <c r="D512" s="1">
        <v>45638</v>
      </c>
      <c r="E512">
        <v>20</v>
      </c>
      <c r="F512">
        <v>7.99</v>
      </c>
      <c r="G512">
        <f t="shared" si="7"/>
        <v>159.80000000000001</v>
      </c>
      <c r="H512">
        <v>301</v>
      </c>
      <c r="I512" t="s">
        <v>26</v>
      </c>
      <c r="J512">
        <v>2</v>
      </c>
      <c r="K512">
        <v>5</v>
      </c>
      <c r="L512" t="b">
        <v>0</v>
      </c>
      <c r="M512">
        <v>89</v>
      </c>
      <c r="N512">
        <v>55</v>
      </c>
      <c r="O512" t="s">
        <v>27</v>
      </c>
      <c r="P512" t="s">
        <v>51</v>
      </c>
      <c r="Q512" t="s">
        <v>69</v>
      </c>
      <c r="R512">
        <v>54</v>
      </c>
      <c r="S512">
        <v>4.2</v>
      </c>
      <c r="T512" t="b">
        <v>1</v>
      </c>
      <c r="U512" t="s">
        <v>30</v>
      </c>
      <c r="V512">
        <v>756</v>
      </c>
      <c r="W512" t="s">
        <v>59</v>
      </c>
      <c r="X512" t="s">
        <v>70</v>
      </c>
      <c r="Y512" t="s">
        <v>33</v>
      </c>
    </row>
    <row r="513" spans="1:25" x14ac:dyDescent="0.35">
      <c r="A513">
        <v>6345</v>
      </c>
      <c r="B513" t="s">
        <v>307</v>
      </c>
      <c r="C513" s="1">
        <v>44927</v>
      </c>
      <c r="D513" s="1">
        <v>45635</v>
      </c>
      <c r="E513">
        <v>23</v>
      </c>
      <c r="F513">
        <v>7.99</v>
      </c>
      <c r="G513">
        <f t="shared" si="7"/>
        <v>183.77</v>
      </c>
      <c r="H513">
        <v>410</v>
      </c>
      <c r="I513" t="s">
        <v>48</v>
      </c>
      <c r="J513">
        <v>1</v>
      </c>
      <c r="K513">
        <v>1</v>
      </c>
      <c r="L513" t="b">
        <v>1</v>
      </c>
      <c r="M513">
        <v>909</v>
      </c>
      <c r="N513">
        <v>99</v>
      </c>
      <c r="O513" t="s">
        <v>41</v>
      </c>
      <c r="P513" t="s">
        <v>28</v>
      </c>
      <c r="Q513" t="s">
        <v>43</v>
      </c>
      <c r="R513">
        <v>22</v>
      </c>
      <c r="S513">
        <v>3.2</v>
      </c>
      <c r="T513" t="b">
        <v>0</v>
      </c>
      <c r="U513" t="s">
        <v>30</v>
      </c>
      <c r="V513">
        <v>754</v>
      </c>
      <c r="W513" t="s">
        <v>53</v>
      </c>
      <c r="X513" t="s">
        <v>38</v>
      </c>
      <c r="Y513" t="s">
        <v>39</v>
      </c>
    </row>
    <row r="514" spans="1:25" x14ac:dyDescent="0.35">
      <c r="A514">
        <v>3234</v>
      </c>
      <c r="B514" t="s">
        <v>104</v>
      </c>
      <c r="C514" s="1">
        <v>45292</v>
      </c>
      <c r="D514" s="1">
        <v>45633</v>
      </c>
      <c r="E514">
        <v>11</v>
      </c>
      <c r="F514">
        <v>11.99</v>
      </c>
      <c r="G514">
        <f t="shared" si="7"/>
        <v>131.89000000000001</v>
      </c>
      <c r="H514">
        <v>298</v>
      </c>
      <c r="I514" t="s">
        <v>57</v>
      </c>
      <c r="J514">
        <v>2</v>
      </c>
      <c r="K514">
        <v>1</v>
      </c>
      <c r="L514" t="b">
        <v>0</v>
      </c>
      <c r="M514">
        <v>918</v>
      </c>
      <c r="N514">
        <v>153</v>
      </c>
      <c r="O514" t="s">
        <v>61</v>
      </c>
      <c r="P514" t="s">
        <v>28</v>
      </c>
      <c r="Q514" t="s">
        <v>52</v>
      </c>
      <c r="R514">
        <v>52</v>
      </c>
      <c r="S514">
        <v>4.4000000000000004</v>
      </c>
      <c r="T514" t="b">
        <v>1</v>
      </c>
      <c r="U514" t="s">
        <v>30</v>
      </c>
      <c r="V514">
        <v>3476</v>
      </c>
      <c r="W514" t="s">
        <v>53</v>
      </c>
      <c r="X514" t="s">
        <v>54</v>
      </c>
      <c r="Y514" t="s">
        <v>55</v>
      </c>
    </row>
    <row r="515" spans="1:25" x14ac:dyDescent="0.35">
      <c r="A515">
        <v>6998</v>
      </c>
      <c r="B515" t="s">
        <v>94</v>
      </c>
      <c r="C515" s="1">
        <v>45373</v>
      </c>
      <c r="D515" s="1">
        <v>45628</v>
      </c>
      <c r="E515">
        <v>8</v>
      </c>
      <c r="F515">
        <v>7.99</v>
      </c>
      <c r="G515">
        <f t="shared" ref="G515:G578" si="8">F515*E515</f>
        <v>63.92</v>
      </c>
      <c r="H515">
        <v>54</v>
      </c>
      <c r="I515" t="s">
        <v>45</v>
      </c>
      <c r="J515">
        <v>4</v>
      </c>
      <c r="K515">
        <v>5</v>
      </c>
      <c r="L515" t="b">
        <v>1</v>
      </c>
      <c r="M515">
        <v>285</v>
      </c>
      <c r="N515">
        <v>66</v>
      </c>
      <c r="O515" t="s">
        <v>50</v>
      </c>
      <c r="P515" t="s">
        <v>51</v>
      </c>
      <c r="Q515" t="s">
        <v>58</v>
      </c>
      <c r="R515">
        <v>43</v>
      </c>
      <c r="S515">
        <v>3.8</v>
      </c>
      <c r="T515" t="b">
        <v>0</v>
      </c>
      <c r="U515" t="s">
        <v>30</v>
      </c>
      <c r="V515">
        <v>290</v>
      </c>
      <c r="W515" t="s">
        <v>67</v>
      </c>
      <c r="X515" t="s">
        <v>62</v>
      </c>
      <c r="Y515" t="s">
        <v>33</v>
      </c>
    </row>
    <row r="516" spans="1:25" x14ac:dyDescent="0.35">
      <c r="A516">
        <v>5809</v>
      </c>
      <c r="B516" t="s">
        <v>155</v>
      </c>
      <c r="C516" s="1">
        <v>45548</v>
      </c>
      <c r="D516" s="1">
        <v>45615</v>
      </c>
      <c r="E516">
        <v>2</v>
      </c>
      <c r="F516">
        <v>7.99</v>
      </c>
      <c r="G516">
        <f t="shared" si="8"/>
        <v>15.98</v>
      </c>
      <c r="H516">
        <v>486</v>
      </c>
      <c r="I516" t="s">
        <v>57</v>
      </c>
      <c r="J516">
        <v>4</v>
      </c>
      <c r="K516">
        <v>3</v>
      </c>
      <c r="L516" t="b">
        <v>0</v>
      </c>
      <c r="M516">
        <v>463</v>
      </c>
      <c r="N516">
        <v>171</v>
      </c>
      <c r="O516" t="s">
        <v>46</v>
      </c>
      <c r="P516" t="s">
        <v>42</v>
      </c>
      <c r="Q516" t="s">
        <v>69</v>
      </c>
      <c r="R516">
        <v>10</v>
      </c>
      <c r="S516">
        <v>3.2</v>
      </c>
      <c r="T516" t="b">
        <v>0</v>
      </c>
      <c r="U516" t="s">
        <v>30</v>
      </c>
      <c r="V516">
        <v>987</v>
      </c>
      <c r="W516" t="s">
        <v>37</v>
      </c>
      <c r="X516" t="s">
        <v>70</v>
      </c>
      <c r="Y516" t="s">
        <v>39</v>
      </c>
    </row>
    <row r="517" spans="1:25" x14ac:dyDescent="0.35">
      <c r="A517">
        <v>6522</v>
      </c>
      <c r="B517" t="s">
        <v>308</v>
      </c>
      <c r="C517" s="1">
        <v>45179</v>
      </c>
      <c r="D517" s="1">
        <v>45623</v>
      </c>
      <c r="E517">
        <v>14</v>
      </c>
      <c r="F517">
        <v>11.99</v>
      </c>
      <c r="G517">
        <f t="shared" si="8"/>
        <v>167.86</v>
      </c>
      <c r="H517">
        <v>38</v>
      </c>
      <c r="I517" t="s">
        <v>64</v>
      </c>
      <c r="J517">
        <v>1</v>
      </c>
      <c r="K517">
        <v>4</v>
      </c>
      <c r="L517" t="b">
        <v>1</v>
      </c>
      <c r="M517">
        <v>875</v>
      </c>
      <c r="N517">
        <v>115</v>
      </c>
      <c r="O517" t="s">
        <v>41</v>
      </c>
      <c r="P517" t="s">
        <v>66</v>
      </c>
      <c r="Q517" t="s">
        <v>36</v>
      </c>
      <c r="R517">
        <v>75</v>
      </c>
      <c r="S517">
        <v>4.7</v>
      </c>
      <c r="T517" t="b">
        <v>1</v>
      </c>
      <c r="U517" t="s">
        <v>30</v>
      </c>
      <c r="V517">
        <v>4972</v>
      </c>
      <c r="W517" t="s">
        <v>53</v>
      </c>
      <c r="X517" t="s">
        <v>54</v>
      </c>
      <c r="Y517" t="s">
        <v>33</v>
      </c>
    </row>
    <row r="518" spans="1:25" x14ac:dyDescent="0.35">
      <c r="A518">
        <v>3892</v>
      </c>
      <c r="B518" t="s">
        <v>183</v>
      </c>
      <c r="C518" s="1">
        <v>45128</v>
      </c>
      <c r="D518" s="1">
        <v>45629</v>
      </c>
      <c r="E518">
        <v>16</v>
      </c>
      <c r="F518">
        <v>7.99</v>
      </c>
      <c r="G518">
        <f t="shared" si="8"/>
        <v>127.84</v>
      </c>
      <c r="H518">
        <v>442</v>
      </c>
      <c r="I518" t="s">
        <v>26</v>
      </c>
      <c r="J518">
        <v>3</v>
      </c>
      <c r="K518">
        <v>6</v>
      </c>
      <c r="L518" t="b">
        <v>1</v>
      </c>
      <c r="M518">
        <v>875</v>
      </c>
      <c r="N518">
        <v>70</v>
      </c>
      <c r="O518" t="s">
        <v>41</v>
      </c>
      <c r="P518" t="s">
        <v>28</v>
      </c>
      <c r="Q518" t="s">
        <v>36</v>
      </c>
      <c r="R518">
        <v>96</v>
      </c>
      <c r="S518">
        <v>3.7</v>
      </c>
      <c r="T518" t="b">
        <v>0</v>
      </c>
      <c r="U518" t="s">
        <v>30</v>
      </c>
      <c r="V518">
        <v>1628</v>
      </c>
      <c r="W518" t="s">
        <v>37</v>
      </c>
      <c r="X518" t="s">
        <v>32</v>
      </c>
      <c r="Y518" t="s">
        <v>39</v>
      </c>
    </row>
    <row r="519" spans="1:25" x14ac:dyDescent="0.35">
      <c r="A519">
        <v>4427</v>
      </c>
      <c r="B519" t="s">
        <v>309</v>
      </c>
      <c r="C519" s="1">
        <v>45094</v>
      </c>
      <c r="D519" s="1">
        <v>45624</v>
      </c>
      <c r="E519">
        <v>17</v>
      </c>
      <c r="F519">
        <v>7.99</v>
      </c>
      <c r="G519">
        <f t="shared" si="8"/>
        <v>135.83000000000001</v>
      </c>
      <c r="H519">
        <v>474</v>
      </c>
      <c r="I519" t="s">
        <v>57</v>
      </c>
      <c r="J519">
        <v>3</v>
      </c>
      <c r="K519">
        <v>5</v>
      </c>
      <c r="L519" t="b">
        <v>1</v>
      </c>
      <c r="M519">
        <v>341</v>
      </c>
      <c r="N519">
        <v>165</v>
      </c>
      <c r="O519" t="s">
        <v>61</v>
      </c>
      <c r="P519" t="s">
        <v>66</v>
      </c>
      <c r="Q519" t="s">
        <v>43</v>
      </c>
      <c r="R519">
        <v>30</v>
      </c>
      <c r="S519">
        <v>4.8</v>
      </c>
      <c r="T519" t="b">
        <v>0</v>
      </c>
      <c r="U519" t="s">
        <v>30</v>
      </c>
      <c r="V519">
        <v>1285</v>
      </c>
      <c r="W519" t="s">
        <v>31</v>
      </c>
      <c r="X519" t="s">
        <v>62</v>
      </c>
      <c r="Y519" t="s">
        <v>39</v>
      </c>
    </row>
    <row r="520" spans="1:25" x14ac:dyDescent="0.35">
      <c r="A520">
        <v>8145</v>
      </c>
      <c r="B520" t="s">
        <v>310</v>
      </c>
      <c r="C520" s="1">
        <v>44967</v>
      </c>
      <c r="D520" s="1">
        <v>45617</v>
      </c>
      <c r="E520">
        <v>21</v>
      </c>
      <c r="F520">
        <v>15.99</v>
      </c>
      <c r="G520">
        <f t="shared" si="8"/>
        <v>335.79</v>
      </c>
      <c r="H520">
        <v>96</v>
      </c>
      <c r="I520" t="s">
        <v>64</v>
      </c>
      <c r="J520">
        <v>5</v>
      </c>
      <c r="K520">
        <v>1</v>
      </c>
      <c r="L520" t="b">
        <v>1</v>
      </c>
      <c r="M520">
        <v>273</v>
      </c>
      <c r="N520">
        <v>79</v>
      </c>
      <c r="O520" t="s">
        <v>46</v>
      </c>
      <c r="P520" t="s">
        <v>28</v>
      </c>
      <c r="Q520" t="s">
        <v>58</v>
      </c>
      <c r="R520">
        <v>60</v>
      </c>
      <c r="S520">
        <v>4.3</v>
      </c>
      <c r="T520" t="b">
        <v>0</v>
      </c>
      <c r="U520" t="s">
        <v>30</v>
      </c>
      <c r="V520">
        <v>1960</v>
      </c>
      <c r="W520" t="s">
        <v>37</v>
      </c>
      <c r="X520" t="s">
        <v>38</v>
      </c>
      <c r="Y520" t="s">
        <v>77</v>
      </c>
    </row>
    <row r="521" spans="1:25" x14ac:dyDescent="0.35">
      <c r="A521">
        <v>1150</v>
      </c>
      <c r="B521" t="s">
        <v>148</v>
      </c>
      <c r="C521" s="1">
        <v>45222</v>
      </c>
      <c r="D521" s="1">
        <v>45625</v>
      </c>
      <c r="E521">
        <v>13</v>
      </c>
      <c r="F521">
        <v>11.99</v>
      </c>
      <c r="G521">
        <f t="shared" si="8"/>
        <v>155.87</v>
      </c>
      <c r="H521">
        <v>160</v>
      </c>
      <c r="I521" t="s">
        <v>57</v>
      </c>
      <c r="J521">
        <v>5</v>
      </c>
      <c r="K521">
        <v>5</v>
      </c>
      <c r="L521" t="b">
        <v>1</v>
      </c>
      <c r="M521">
        <v>352</v>
      </c>
      <c r="N521">
        <v>31</v>
      </c>
      <c r="O521" t="s">
        <v>50</v>
      </c>
      <c r="P521" t="s">
        <v>28</v>
      </c>
      <c r="Q521" t="s">
        <v>29</v>
      </c>
      <c r="R521">
        <v>37</v>
      </c>
      <c r="S521">
        <v>3.7</v>
      </c>
      <c r="T521" t="b">
        <v>1</v>
      </c>
      <c r="U521" t="s">
        <v>30</v>
      </c>
      <c r="V521">
        <v>771</v>
      </c>
      <c r="W521" t="s">
        <v>67</v>
      </c>
      <c r="X521" t="s">
        <v>38</v>
      </c>
      <c r="Y521" t="s">
        <v>77</v>
      </c>
    </row>
    <row r="522" spans="1:25" x14ac:dyDescent="0.35">
      <c r="A522">
        <v>7366</v>
      </c>
      <c r="B522" t="s">
        <v>311</v>
      </c>
      <c r="C522" s="1">
        <v>45465</v>
      </c>
      <c r="D522" s="1">
        <v>45641</v>
      </c>
      <c r="E522">
        <v>5</v>
      </c>
      <c r="F522">
        <v>7.99</v>
      </c>
      <c r="G522">
        <f t="shared" si="8"/>
        <v>39.950000000000003</v>
      </c>
      <c r="H522">
        <v>451</v>
      </c>
      <c r="I522" t="s">
        <v>64</v>
      </c>
      <c r="J522">
        <v>3</v>
      </c>
      <c r="K522">
        <v>3</v>
      </c>
      <c r="L522" t="b">
        <v>0</v>
      </c>
      <c r="M522">
        <v>588</v>
      </c>
      <c r="N522">
        <v>147</v>
      </c>
      <c r="O522" t="s">
        <v>65</v>
      </c>
      <c r="P522" t="s">
        <v>42</v>
      </c>
      <c r="Q522" t="s">
        <v>36</v>
      </c>
      <c r="R522">
        <v>75</v>
      </c>
      <c r="S522">
        <v>3.3</v>
      </c>
      <c r="T522" t="b">
        <v>1</v>
      </c>
      <c r="U522" t="s">
        <v>30</v>
      </c>
      <c r="V522">
        <v>1785</v>
      </c>
      <c r="W522" t="s">
        <v>67</v>
      </c>
      <c r="X522" t="s">
        <v>62</v>
      </c>
      <c r="Y522" t="s">
        <v>39</v>
      </c>
    </row>
    <row r="523" spans="1:25" x14ac:dyDescent="0.35">
      <c r="A523">
        <v>3004</v>
      </c>
      <c r="B523" t="s">
        <v>197</v>
      </c>
      <c r="C523" s="1">
        <v>45587</v>
      </c>
      <c r="D523" s="1">
        <v>45644</v>
      </c>
      <c r="E523">
        <v>1</v>
      </c>
      <c r="F523">
        <v>11.99</v>
      </c>
      <c r="G523">
        <f t="shared" si="8"/>
        <v>11.99</v>
      </c>
      <c r="H523">
        <v>184</v>
      </c>
      <c r="I523" t="s">
        <v>48</v>
      </c>
      <c r="J523">
        <v>3</v>
      </c>
      <c r="K523">
        <v>4</v>
      </c>
      <c r="L523" t="b">
        <v>0</v>
      </c>
      <c r="M523">
        <v>233</v>
      </c>
      <c r="N523">
        <v>15</v>
      </c>
      <c r="O523" t="s">
        <v>41</v>
      </c>
      <c r="P523" t="s">
        <v>66</v>
      </c>
      <c r="Q523" t="s">
        <v>43</v>
      </c>
      <c r="R523">
        <v>28</v>
      </c>
      <c r="S523">
        <v>3.5</v>
      </c>
      <c r="T523" t="b">
        <v>1</v>
      </c>
      <c r="U523" t="s">
        <v>30</v>
      </c>
      <c r="V523">
        <v>2760</v>
      </c>
      <c r="W523" t="s">
        <v>53</v>
      </c>
      <c r="X523" t="s">
        <v>62</v>
      </c>
      <c r="Y523" t="s">
        <v>33</v>
      </c>
    </row>
    <row r="524" spans="1:25" x14ac:dyDescent="0.35">
      <c r="A524">
        <v>9934</v>
      </c>
      <c r="B524" t="s">
        <v>312</v>
      </c>
      <c r="C524" s="1">
        <v>45288</v>
      </c>
      <c r="D524" s="1">
        <v>45642</v>
      </c>
      <c r="E524">
        <v>11</v>
      </c>
      <c r="F524">
        <v>15.99</v>
      </c>
      <c r="G524">
        <f t="shared" si="8"/>
        <v>175.89000000000001</v>
      </c>
      <c r="H524">
        <v>50</v>
      </c>
      <c r="I524" t="s">
        <v>35</v>
      </c>
      <c r="J524">
        <v>2</v>
      </c>
      <c r="K524">
        <v>6</v>
      </c>
      <c r="L524" t="b">
        <v>1</v>
      </c>
      <c r="M524">
        <v>159</v>
      </c>
      <c r="N524">
        <v>131</v>
      </c>
      <c r="O524" t="s">
        <v>61</v>
      </c>
      <c r="P524" t="s">
        <v>42</v>
      </c>
      <c r="Q524" t="s">
        <v>43</v>
      </c>
      <c r="R524">
        <v>49</v>
      </c>
      <c r="S524">
        <v>3.8</v>
      </c>
      <c r="T524" t="b">
        <v>0</v>
      </c>
      <c r="U524" t="s">
        <v>30</v>
      </c>
      <c r="V524">
        <v>388</v>
      </c>
      <c r="W524" t="s">
        <v>37</v>
      </c>
      <c r="X524" t="s">
        <v>38</v>
      </c>
      <c r="Y524" t="s">
        <v>77</v>
      </c>
    </row>
    <row r="525" spans="1:25" x14ac:dyDescent="0.35">
      <c r="A525">
        <v>1228</v>
      </c>
      <c r="B525" t="s">
        <v>173</v>
      </c>
      <c r="C525" s="1">
        <v>45014</v>
      </c>
      <c r="D525" s="1">
        <v>45640</v>
      </c>
      <c r="E525">
        <v>20</v>
      </c>
      <c r="F525">
        <v>7.99</v>
      </c>
      <c r="G525">
        <f t="shared" si="8"/>
        <v>159.80000000000001</v>
      </c>
      <c r="H525">
        <v>299</v>
      </c>
      <c r="I525" t="s">
        <v>57</v>
      </c>
      <c r="J525">
        <v>3</v>
      </c>
      <c r="K525">
        <v>1</v>
      </c>
      <c r="L525" t="b">
        <v>0</v>
      </c>
      <c r="M525">
        <v>488</v>
      </c>
      <c r="N525">
        <v>135</v>
      </c>
      <c r="O525" t="s">
        <v>65</v>
      </c>
      <c r="P525" t="s">
        <v>42</v>
      </c>
      <c r="Q525" t="s">
        <v>36</v>
      </c>
      <c r="R525">
        <v>100</v>
      </c>
      <c r="S525">
        <v>4.8</v>
      </c>
      <c r="T525" t="b">
        <v>0</v>
      </c>
      <c r="U525" t="s">
        <v>30</v>
      </c>
      <c r="V525">
        <v>2385</v>
      </c>
      <c r="W525" t="s">
        <v>37</v>
      </c>
      <c r="X525" t="s">
        <v>62</v>
      </c>
      <c r="Y525" t="s">
        <v>77</v>
      </c>
    </row>
    <row r="526" spans="1:25" x14ac:dyDescent="0.35">
      <c r="A526">
        <v>5806</v>
      </c>
      <c r="B526" t="s">
        <v>313</v>
      </c>
      <c r="C526" s="1">
        <v>45505</v>
      </c>
      <c r="D526" s="1">
        <v>45641</v>
      </c>
      <c r="E526">
        <v>4</v>
      </c>
      <c r="F526">
        <v>7.99</v>
      </c>
      <c r="G526">
        <f t="shared" si="8"/>
        <v>31.96</v>
      </c>
      <c r="H526">
        <v>495</v>
      </c>
      <c r="I526" t="s">
        <v>35</v>
      </c>
      <c r="J526">
        <v>5</v>
      </c>
      <c r="K526">
        <v>6</v>
      </c>
      <c r="L526" t="b">
        <v>0</v>
      </c>
      <c r="M526">
        <v>522</v>
      </c>
      <c r="N526">
        <v>32</v>
      </c>
      <c r="O526" t="s">
        <v>61</v>
      </c>
      <c r="P526" t="s">
        <v>66</v>
      </c>
      <c r="Q526" t="s">
        <v>69</v>
      </c>
      <c r="R526">
        <v>41</v>
      </c>
      <c r="S526">
        <v>3.9</v>
      </c>
      <c r="T526" t="b">
        <v>1</v>
      </c>
      <c r="U526" t="s">
        <v>30</v>
      </c>
      <c r="V526">
        <v>3714</v>
      </c>
      <c r="W526" t="s">
        <v>67</v>
      </c>
      <c r="X526" t="s">
        <v>70</v>
      </c>
      <c r="Y526" t="s">
        <v>77</v>
      </c>
    </row>
    <row r="527" spans="1:25" x14ac:dyDescent="0.35">
      <c r="A527">
        <v>7538</v>
      </c>
      <c r="B527" t="s">
        <v>152</v>
      </c>
      <c r="C527" s="1">
        <v>45424</v>
      </c>
      <c r="D527" s="1">
        <v>45622</v>
      </c>
      <c r="E527">
        <v>6</v>
      </c>
      <c r="F527">
        <v>7.99</v>
      </c>
      <c r="G527">
        <f t="shared" si="8"/>
        <v>47.94</v>
      </c>
      <c r="H527">
        <v>132</v>
      </c>
      <c r="I527" t="s">
        <v>57</v>
      </c>
      <c r="J527">
        <v>4</v>
      </c>
      <c r="K527">
        <v>5</v>
      </c>
      <c r="L527" t="b">
        <v>1</v>
      </c>
      <c r="M527">
        <v>30</v>
      </c>
      <c r="N527">
        <v>177</v>
      </c>
      <c r="O527" t="s">
        <v>27</v>
      </c>
      <c r="P527" t="s">
        <v>28</v>
      </c>
      <c r="Q527" t="s">
        <v>69</v>
      </c>
      <c r="R527">
        <v>31</v>
      </c>
      <c r="S527">
        <v>5</v>
      </c>
      <c r="T527" t="b">
        <v>0</v>
      </c>
      <c r="U527" t="s">
        <v>30</v>
      </c>
      <c r="V527">
        <v>2015</v>
      </c>
      <c r="W527" t="s">
        <v>53</v>
      </c>
      <c r="X527" t="s">
        <v>62</v>
      </c>
      <c r="Y527" t="s">
        <v>39</v>
      </c>
    </row>
    <row r="528" spans="1:25" x14ac:dyDescent="0.35">
      <c r="A528">
        <v>1035</v>
      </c>
      <c r="B528" t="s">
        <v>136</v>
      </c>
      <c r="C528" s="1">
        <v>45338</v>
      </c>
      <c r="D528" s="1">
        <v>45618</v>
      </c>
      <c r="E528">
        <v>9</v>
      </c>
      <c r="F528">
        <v>11.99</v>
      </c>
      <c r="G528">
        <f t="shared" si="8"/>
        <v>107.91</v>
      </c>
      <c r="H528">
        <v>395</v>
      </c>
      <c r="I528" t="s">
        <v>81</v>
      </c>
      <c r="J528">
        <v>2</v>
      </c>
      <c r="K528">
        <v>4</v>
      </c>
      <c r="L528" t="b">
        <v>1</v>
      </c>
      <c r="M528">
        <v>139</v>
      </c>
      <c r="N528">
        <v>29</v>
      </c>
      <c r="O528" t="s">
        <v>65</v>
      </c>
      <c r="P528" t="s">
        <v>42</v>
      </c>
      <c r="Q528" t="s">
        <v>52</v>
      </c>
      <c r="R528">
        <v>44</v>
      </c>
      <c r="S528">
        <v>3.9</v>
      </c>
      <c r="T528" t="b">
        <v>1</v>
      </c>
      <c r="U528" t="s">
        <v>30</v>
      </c>
      <c r="V528">
        <v>3201</v>
      </c>
      <c r="W528" t="s">
        <v>67</v>
      </c>
      <c r="X528" t="s">
        <v>62</v>
      </c>
      <c r="Y528" t="s">
        <v>55</v>
      </c>
    </row>
    <row r="529" spans="1:25" x14ac:dyDescent="0.35">
      <c r="A529">
        <v>8399</v>
      </c>
      <c r="B529" t="s">
        <v>237</v>
      </c>
      <c r="C529" s="1">
        <v>44990</v>
      </c>
      <c r="D529" s="1">
        <v>45629</v>
      </c>
      <c r="E529">
        <v>20</v>
      </c>
      <c r="F529">
        <v>11.99</v>
      </c>
      <c r="G529">
        <f t="shared" si="8"/>
        <v>239.8</v>
      </c>
      <c r="H529">
        <v>34</v>
      </c>
      <c r="I529" t="s">
        <v>26</v>
      </c>
      <c r="J529">
        <v>1</v>
      </c>
      <c r="K529">
        <v>2</v>
      </c>
      <c r="L529" t="b">
        <v>1</v>
      </c>
      <c r="M529">
        <v>393</v>
      </c>
      <c r="N529">
        <v>130</v>
      </c>
      <c r="O529" t="s">
        <v>46</v>
      </c>
      <c r="P529" t="s">
        <v>66</v>
      </c>
      <c r="Q529" t="s">
        <v>43</v>
      </c>
      <c r="R529">
        <v>10</v>
      </c>
      <c r="S529">
        <v>3.9</v>
      </c>
      <c r="T529" t="b">
        <v>0</v>
      </c>
      <c r="U529" t="s">
        <v>30</v>
      </c>
      <c r="V529">
        <v>3426</v>
      </c>
      <c r="W529" t="s">
        <v>59</v>
      </c>
      <c r="X529" t="s">
        <v>32</v>
      </c>
      <c r="Y529" t="s">
        <v>33</v>
      </c>
    </row>
    <row r="530" spans="1:25" x14ac:dyDescent="0.35">
      <c r="A530">
        <v>1912</v>
      </c>
      <c r="B530" t="s">
        <v>184</v>
      </c>
      <c r="C530" s="1">
        <v>45135</v>
      </c>
      <c r="D530" s="1">
        <v>45640</v>
      </c>
      <c r="E530">
        <v>16</v>
      </c>
      <c r="F530">
        <v>11.99</v>
      </c>
      <c r="G530">
        <f t="shared" si="8"/>
        <v>191.84</v>
      </c>
      <c r="H530">
        <v>348</v>
      </c>
      <c r="I530" t="s">
        <v>81</v>
      </c>
      <c r="J530">
        <v>1</v>
      </c>
      <c r="K530">
        <v>4</v>
      </c>
      <c r="L530" t="b">
        <v>0</v>
      </c>
      <c r="M530">
        <v>792</v>
      </c>
      <c r="N530">
        <v>67</v>
      </c>
      <c r="O530" t="s">
        <v>61</v>
      </c>
      <c r="P530" t="s">
        <v>66</v>
      </c>
      <c r="Q530" t="s">
        <v>69</v>
      </c>
      <c r="R530">
        <v>60</v>
      </c>
      <c r="S530">
        <v>4.0999999999999996</v>
      </c>
      <c r="T530" t="b">
        <v>0</v>
      </c>
      <c r="U530" t="s">
        <v>30</v>
      </c>
      <c r="V530">
        <v>3366</v>
      </c>
      <c r="W530" t="s">
        <v>37</v>
      </c>
      <c r="X530" t="s">
        <v>32</v>
      </c>
      <c r="Y530" t="s">
        <v>33</v>
      </c>
    </row>
    <row r="531" spans="1:25" x14ac:dyDescent="0.35">
      <c r="A531">
        <v>6604</v>
      </c>
      <c r="B531" t="s">
        <v>107</v>
      </c>
      <c r="C531" s="1">
        <v>45459</v>
      </c>
      <c r="D531" s="1">
        <v>45618</v>
      </c>
      <c r="E531">
        <v>5</v>
      </c>
      <c r="F531">
        <v>15.99</v>
      </c>
      <c r="G531">
        <f t="shared" si="8"/>
        <v>79.95</v>
      </c>
      <c r="H531">
        <v>247</v>
      </c>
      <c r="I531" t="s">
        <v>81</v>
      </c>
      <c r="J531">
        <v>5</v>
      </c>
      <c r="K531">
        <v>4</v>
      </c>
      <c r="L531" t="b">
        <v>0</v>
      </c>
      <c r="M531">
        <v>186</v>
      </c>
      <c r="N531">
        <v>158</v>
      </c>
      <c r="O531" t="s">
        <v>46</v>
      </c>
      <c r="P531" t="s">
        <v>66</v>
      </c>
      <c r="Q531" t="s">
        <v>52</v>
      </c>
      <c r="R531">
        <v>19</v>
      </c>
      <c r="S531">
        <v>3.8</v>
      </c>
      <c r="T531" t="b">
        <v>0</v>
      </c>
      <c r="U531" t="s">
        <v>30</v>
      </c>
      <c r="V531">
        <v>125</v>
      </c>
      <c r="W531" t="s">
        <v>67</v>
      </c>
      <c r="X531" t="s">
        <v>62</v>
      </c>
      <c r="Y531" t="s">
        <v>39</v>
      </c>
    </row>
    <row r="532" spans="1:25" x14ac:dyDescent="0.35">
      <c r="A532">
        <v>8952</v>
      </c>
      <c r="B532" t="s">
        <v>125</v>
      </c>
      <c r="C532" s="1">
        <v>44965</v>
      </c>
      <c r="D532" s="1">
        <v>45618</v>
      </c>
      <c r="E532">
        <v>21</v>
      </c>
      <c r="F532">
        <v>11.99</v>
      </c>
      <c r="G532">
        <f t="shared" si="8"/>
        <v>251.79</v>
      </c>
      <c r="H532">
        <v>216</v>
      </c>
      <c r="I532" t="s">
        <v>81</v>
      </c>
      <c r="J532">
        <v>1</v>
      </c>
      <c r="K532">
        <v>1</v>
      </c>
      <c r="L532" t="b">
        <v>0</v>
      </c>
      <c r="M532">
        <v>872</v>
      </c>
      <c r="N532">
        <v>150</v>
      </c>
      <c r="O532" t="s">
        <v>76</v>
      </c>
      <c r="P532" t="s">
        <v>51</v>
      </c>
      <c r="Q532" t="s">
        <v>58</v>
      </c>
      <c r="R532">
        <v>10</v>
      </c>
      <c r="S532">
        <v>3.8</v>
      </c>
      <c r="T532" t="b">
        <v>1</v>
      </c>
      <c r="U532" t="s">
        <v>30</v>
      </c>
      <c r="V532">
        <v>4037</v>
      </c>
      <c r="W532" t="s">
        <v>67</v>
      </c>
      <c r="X532" t="s">
        <v>54</v>
      </c>
      <c r="Y532" t="s">
        <v>33</v>
      </c>
    </row>
    <row r="533" spans="1:25" x14ac:dyDescent="0.35">
      <c r="A533">
        <v>2549</v>
      </c>
      <c r="B533" t="s">
        <v>109</v>
      </c>
      <c r="C533" s="1">
        <v>45520</v>
      </c>
      <c r="D533" s="1">
        <v>45622</v>
      </c>
      <c r="E533">
        <v>3</v>
      </c>
      <c r="F533">
        <v>11.99</v>
      </c>
      <c r="G533">
        <f t="shared" si="8"/>
        <v>35.97</v>
      </c>
      <c r="H533">
        <v>299</v>
      </c>
      <c r="I533" t="s">
        <v>64</v>
      </c>
      <c r="J533">
        <v>4</v>
      </c>
      <c r="K533">
        <v>6</v>
      </c>
      <c r="L533" t="b">
        <v>0</v>
      </c>
      <c r="M533">
        <v>77</v>
      </c>
      <c r="N533">
        <v>191</v>
      </c>
      <c r="O533" t="s">
        <v>61</v>
      </c>
      <c r="P533" t="s">
        <v>66</v>
      </c>
      <c r="Q533" t="s">
        <v>58</v>
      </c>
      <c r="R533">
        <v>85</v>
      </c>
      <c r="S533">
        <v>3.4</v>
      </c>
      <c r="T533" t="b">
        <v>1</v>
      </c>
      <c r="U533" t="s">
        <v>30</v>
      </c>
      <c r="V533">
        <v>4348</v>
      </c>
      <c r="W533" t="s">
        <v>37</v>
      </c>
      <c r="X533" t="s">
        <v>62</v>
      </c>
      <c r="Y533" t="s">
        <v>77</v>
      </c>
    </row>
    <row r="534" spans="1:25" x14ac:dyDescent="0.35">
      <c r="A534">
        <v>8954</v>
      </c>
      <c r="B534" t="s">
        <v>155</v>
      </c>
      <c r="C534" s="1">
        <v>45243</v>
      </c>
      <c r="D534" s="1">
        <v>45623</v>
      </c>
      <c r="E534">
        <v>12</v>
      </c>
      <c r="F534">
        <v>15.99</v>
      </c>
      <c r="G534">
        <f t="shared" si="8"/>
        <v>191.88</v>
      </c>
      <c r="H534">
        <v>315</v>
      </c>
      <c r="I534" t="s">
        <v>64</v>
      </c>
      <c r="J534">
        <v>2</v>
      </c>
      <c r="K534">
        <v>1</v>
      </c>
      <c r="L534" t="b">
        <v>1</v>
      </c>
      <c r="M534">
        <v>829</v>
      </c>
      <c r="N534">
        <v>178</v>
      </c>
      <c r="O534" t="s">
        <v>27</v>
      </c>
      <c r="P534" t="s">
        <v>42</v>
      </c>
      <c r="Q534" t="s">
        <v>52</v>
      </c>
      <c r="R534">
        <v>53</v>
      </c>
      <c r="S534">
        <v>3.1</v>
      </c>
      <c r="T534" t="b">
        <v>0</v>
      </c>
      <c r="U534" t="s">
        <v>30</v>
      </c>
      <c r="V534">
        <v>546</v>
      </c>
      <c r="W534" t="s">
        <v>31</v>
      </c>
      <c r="X534" t="s">
        <v>32</v>
      </c>
      <c r="Y534" t="s">
        <v>39</v>
      </c>
    </row>
    <row r="535" spans="1:25" x14ac:dyDescent="0.35">
      <c r="A535">
        <v>1922</v>
      </c>
      <c r="B535" t="s">
        <v>83</v>
      </c>
      <c r="C535" s="1">
        <v>45627</v>
      </c>
      <c r="D535" s="1">
        <v>45629</v>
      </c>
      <c r="E535">
        <v>0</v>
      </c>
      <c r="F535">
        <v>11.99</v>
      </c>
      <c r="G535">
        <f t="shared" si="8"/>
        <v>0</v>
      </c>
      <c r="H535">
        <v>35</v>
      </c>
      <c r="I535" t="s">
        <v>48</v>
      </c>
      <c r="J535">
        <v>2</v>
      </c>
      <c r="K535">
        <v>4</v>
      </c>
      <c r="L535" t="b">
        <v>0</v>
      </c>
      <c r="M535">
        <v>821</v>
      </c>
      <c r="N535">
        <v>7</v>
      </c>
      <c r="O535" t="s">
        <v>50</v>
      </c>
      <c r="P535" t="s">
        <v>42</v>
      </c>
      <c r="Q535" t="s">
        <v>43</v>
      </c>
      <c r="R535">
        <v>3</v>
      </c>
      <c r="S535">
        <v>3.3</v>
      </c>
      <c r="T535" t="b">
        <v>0</v>
      </c>
      <c r="U535" t="s">
        <v>30</v>
      </c>
      <c r="V535">
        <v>2785</v>
      </c>
      <c r="W535" t="s">
        <v>53</v>
      </c>
      <c r="X535" t="s">
        <v>32</v>
      </c>
      <c r="Y535" t="s">
        <v>77</v>
      </c>
    </row>
    <row r="536" spans="1:25" x14ac:dyDescent="0.35">
      <c r="A536">
        <v>9861</v>
      </c>
      <c r="B536" t="s">
        <v>102</v>
      </c>
      <c r="C536" s="1">
        <v>45267</v>
      </c>
      <c r="D536" s="1">
        <v>45642</v>
      </c>
      <c r="E536">
        <v>12</v>
      </c>
      <c r="F536">
        <v>15.99</v>
      </c>
      <c r="G536">
        <f t="shared" si="8"/>
        <v>191.88</v>
      </c>
      <c r="H536">
        <v>359</v>
      </c>
      <c r="I536" t="s">
        <v>64</v>
      </c>
      <c r="J536">
        <v>3</v>
      </c>
      <c r="K536">
        <v>1</v>
      </c>
      <c r="L536" t="b">
        <v>0</v>
      </c>
      <c r="M536">
        <v>265</v>
      </c>
      <c r="N536">
        <v>34</v>
      </c>
      <c r="O536" t="s">
        <v>61</v>
      </c>
      <c r="P536" t="s">
        <v>51</v>
      </c>
      <c r="Q536" t="s">
        <v>58</v>
      </c>
      <c r="R536">
        <v>64</v>
      </c>
      <c r="S536">
        <v>4.9000000000000004</v>
      </c>
      <c r="T536" t="b">
        <v>1</v>
      </c>
      <c r="U536" t="s">
        <v>30</v>
      </c>
      <c r="V536">
        <v>3308</v>
      </c>
      <c r="W536" t="s">
        <v>31</v>
      </c>
      <c r="X536" t="s">
        <v>38</v>
      </c>
      <c r="Y536" t="s">
        <v>55</v>
      </c>
    </row>
    <row r="537" spans="1:25" x14ac:dyDescent="0.35">
      <c r="A537">
        <v>4383</v>
      </c>
      <c r="B537" t="s">
        <v>314</v>
      </c>
      <c r="C537" s="1">
        <v>45543</v>
      </c>
      <c r="D537" s="1">
        <v>45626</v>
      </c>
      <c r="E537">
        <v>2</v>
      </c>
      <c r="F537">
        <v>15.99</v>
      </c>
      <c r="G537">
        <f t="shared" si="8"/>
        <v>31.98</v>
      </c>
      <c r="H537">
        <v>361</v>
      </c>
      <c r="I537" t="s">
        <v>26</v>
      </c>
      <c r="J537">
        <v>4</v>
      </c>
      <c r="K537">
        <v>5</v>
      </c>
      <c r="L537" t="b">
        <v>1</v>
      </c>
      <c r="M537">
        <v>416</v>
      </c>
      <c r="N537">
        <v>143</v>
      </c>
      <c r="O537" t="s">
        <v>61</v>
      </c>
      <c r="P537" t="s">
        <v>51</v>
      </c>
      <c r="Q537" t="s">
        <v>69</v>
      </c>
      <c r="R537">
        <v>99</v>
      </c>
      <c r="S537">
        <v>3.7</v>
      </c>
      <c r="T537" t="b">
        <v>0</v>
      </c>
      <c r="U537" t="s">
        <v>30</v>
      </c>
      <c r="V537">
        <v>527</v>
      </c>
      <c r="W537" t="s">
        <v>53</v>
      </c>
      <c r="X537" t="s">
        <v>54</v>
      </c>
      <c r="Y537" t="s">
        <v>55</v>
      </c>
    </row>
    <row r="538" spans="1:25" x14ac:dyDescent="0.35">
      <c r="A538">
        <v>4328</v>
      </c>
      <c r="B538" t="s">
        <v>90</v>
      </c>
      <c r="C538" s="1">
        <v>45064</v>
      </c>
      <c r="D538" s="1">
        <v>45620</v>
      </c>
      <c r="E538">
        <v>18</v>
      </c>
      <c r="F538">
        <v>11.99</v>
      </c>
      <c r="G538">
        <f t="shared" si="8"/>
        <v>215.82</v>
      </c>
      <c r="H538">
        <v>273</v>
      </c>
      <c r="I538" t="s">
        <v>26</v>
      </c>
      <c r="J538">
        <v>3</v>
      </c>
      <c r="K538">
        <v>4</v>
      </c>
      <c r="L538" t="b">
        <v>1</v>
      </c>
      <c r="M538">
        <v>253</v>
      </c>
      <c r="N538">
        <v>70</v>
      </c>
      <c r="O538" t="s">
        <v>65</v>
      </c>
      <c r="P538" t="s">
        <v>28</v>
      </c>
      <c r="Q538" t="s">
        <v>58</v>
      </c>
      <c r="R538">
        <v>42</v>
      </c>
      <c r="S538">
        <v>4.9000000000000004</v>
      </c>
      <c r="T538" t="b">
        <v>0</v>
      </c>
      <c r="U538" t="s">
        <v>30</v>
      </c>
      <c r="V538">
        <v>837</v>
      </c>
      <c r="W538" t="s">
        <v>31</v>
      </c>
      <c r="X538" t="s">
        <v>38</v>
      </c>
      <c r="Y538" t="s">
        <v>39</v>
      </c>
    </row>
    <row r="539" spans="1:25" x14ac:dyDescent="0.35">
      <c r="A539">
        <v>4622</v>
      </c>
      <c r="B539" t="s">
        <v>130</v>
      </c>
      <c r="C539" s="1">
        <v>45616</v>
      </c>
      <c r="D539" s="1">
        <v>45641</v>
      </c>
      <c r="E539">
        <v>0</v>
      </c>
      <c r="F539">
        <v>7.99</v>
      </c>
      <c r="G539">
        <f t="shared" si="8"/>
        <v>0</v>
      </c>
      <c r="H539">
        <v>47</v>
      </c>
      <c r="I539" t="s">
        <v>26</v>
      </c>
      <c r="J539">
        <v>2</v>
      </c>
      <c r="K539">
        <v>4</v>
      </c>
      <c r="L539" t="b">
        <v>1</v>
      </c>
      <c r="M539">
        <v>770</v>
      </c>
      <c r="N539">
        <v>2</v>
      </c>
      <c r="O539" t="s">
        <v>61</v>
      </c>
      <c r="P539" t="s">
        <v>51</v>
      </c>
      <c r="Q539" t="s">
        <v>58</v>
      </c>
      <c r="R539">
        <v>46</v>
      </c>
      <c r="S539">
        <v>4.7</v>
      </c>
      <c r="T539" t="b">
        <v>1</v>
      </c>
      <c r="U539" t="s">
        <v>30</v>
      </c>
      <c r="V539">
        <v>371</v>
      </c>
      <c r="W539" t="s">
        <v>37</v>
      </c>
      <c r="X539" t="s">
        <v>62</v>
      </c>
      <c r="Y539" t="s">
        <v>77</v>
      </c>
    </row>
    <row r="540" spans="1:25" x14ac:dyDescent="0.35">
      <c r="A540">
        <v>7828</v>
      </c>
      <c r="B540" t="s">
        <v>315</v>
      </c>
      <c r="C540" s="1">
        <v>45024</v>
      </c>
      <c r="D540" s="1">
        <v>45628</v>
      </c>
      <c r="E540">
        <v>19</v>
      </c>
      <c r="F540">
        <v>7.99</v>
      </c>
      <c r="G540">
        <f t="shared" si="8"/>
        <v>151.81</v>
      </c>
      <c r="H540">
        <v>477</v>
      </c>
      <c r="I540" t="s">
        <v>57</v>
      </c>
      <c r="J540">
        <v>5</v>
      </c>
      <c r="K540">
        <v>5</v>
      </c>
      <c r="L540" t="b">
        <v>0</v>
      </c>
      <c r="M540">
        <v>969</v>
      </c>
      <c r="N540">
        <v>12</v>
      </c>
      <c r="O540" t="s">
        <v>76</v>
      </c>
      <c r="P540" t="s">
        <v>42</v>
      </c>
      <c r="Q540" t="s">
        <v>58</v>
      </c>
      <c r="R540">
        <v>37</v>
      </c>
      <c r="S540">
        <v>4.7</v>
      </c>
      <c r="T540" t="b">
        <v>0</v>
      </c>
      <c r="U540" t="s">
        <v>30</v>
      </c>
      <c r="V540">
        <v>877</v>
      </c>
      <c r="W540" t="s">
        <v>67</v>
      </c>
      <c r="X540" t="s">
        <v>38</v>
      </c>
      <c r="Y540" t="s">
        <v>33</v>
      </c>
    </row>
    <row r="541" spans="1:25" x14ac:dyDescent="0.35">
      <c r="A541">
        <v>1393</v>
      </c>
      <c r="B541" t="s">
        <v>167</v>
      </c>
      <c r="C541" s="1">
        <v>44943</v>
      </c>
      <c r="D541" s="1">
        <v>45629</v>
      </c>
      <c r="E541">
        <v>22</v>
      </c>
      <c r="F541">
        <v>7.99</v>
      </c>
      <c r="G541">
        <f t="shared" si="8"/>
        <v>175.78</v>
      </c>
      <c r="H541">
        <v>418</v>
      </c>
      <c r="I541" t="s">
        <v>26</v>
      </c>
      <c r="J541">
        <v>3</v>
      </c>
      <c r="K541">
        <v>4</v>
      </c>
      <c r="L541" t="b">
        <v>1</v>
      </c>
      <c r="M541">
        <v>701</v>
      </c>
      <c r="N541">
        <v>125</v>
      </c>
      <c r="O541" t="s">
        <v>50</v>
      </c>
      <c r="P541" t="s">
        <v>42</v>
      </c>
      <c r="Q541" t="s">
        <v>29</v>
      </c>
      <c r="R541">
        <v>68</v>
      </c>
      <c r="S541">
        <v>4.8</v>
      </c>
      <c r="T541" t="b">
        <v>1</v>
      </c>
      <c r="U541" t="s">
        <v>30</v>
      </c>
      <c r="V541">
        <v>4873</v>
      </c>
      <c r="W541" t="s">
        <v>67</v>
      </c>
      <c r="X541" t="s">
        <v>38</v>
      </c>
      <c r="Y541" t="s">
        <v>39</v>
      </c>
    </row>
    <row r="542" spans="1:25" x14ac:dyDescent="0.35">
      <c r="A542">
        <v>9239</v>
      </c>
      <c r="B542" t="s">
        <v>169</v>
      </c>
      <c r="C542" s="1">
        <v>45621</v>
      </c>
      <c r="D542" s="1">
        <v>45617</v>
      </c>
      <c r="E542">
        <v>0</v>
      </c>
      <c r="F542">
        <v>15.99</v>
      </c>
      <c r="G542">
        <f t="shared" si="8"/>
        <v>0</v>
      </c>
      <c r="H542">
        <v>274</v>
      </c>
      <c r="I542" t="s">
        <v>35</v>
      </c>
      <c r="J542">
        <v>5</v>
      </c>
      <c r="K542">
        <v>6</v>
      </c>
      <c r="L542" t="b">
        <v>0</v>
      </c>
      <c r="M542">
        <v>732</v>
      </c>
      <c r="N542">
        <v>105</v>
      </c>
      <c r="O542" t="s">
        <v>46</v>
      </c>
      <c r="P542" t="s">
        <v>28</v>
      </c>
      <c r="Q542" t="s">
        <v>29</v>
      </c>
      <c r="R542">
        <v>36</v>
      </c>
      <c r="S542">
        <v>4.0999999999999996</v>
      </c>
      <c r="T542" t="b">
        <v>1</v>
      </c>
      <c r="U542" t="s">
        <v>30</v>
      </c>
      <c r="V542">
        <v>4194</v>
      </c>
      <c r="W542" t="s">
        <v>53</v>
      </c>
      <c r="X542" t="s">
        <v>62</v>
      </c>
      <c r="Y542" t="s">
        <v>39</v>
      </c>
    </row>
    <row r="543" spans="1:25" x14ac:dyDescent="0.35">
      <c r="A543">
        <v>1636</v>
      </c>
      <c r="B543" t="s">
        <v>106</v>
      </c>
      <c r="C543" s="1">
        <v>45073</v>
      </c>
      <c r="D543" s="1">
        <v>45632</v>
      </c>
      <c r="E543">
        <v>18</v>
      </c>
      <c r="F543">
        <v>11.99</v>
      </c>
      <c r="G543">
        <f t="shared" si="8"/>
        <v>215.82</v>
      </c>
      <c r="H543">
        <v>102</v>
      </c>
      <c r="I543" t="s">
        <v>81</v>
      </c>
      <c r="J543">
        <v>5</v>
      </c>
      <c r="K543">
        <v>2</v>
      </c>
      <c r="L543" t="b">
        <v>0</v>
      </c>
      <c r="M543">
        <v>989</v>
      </c>
      <c r="N543">
        <v>44</v>
      </c>
      <c r="O543" t="s">
        <v>61</v>
      </c>
      <c r="P543" t="s">
        <v>66</v>
      </c>
      <c r="Q543" t="s">
        <v>58</v>
      </c>
      <c r="R543">
        <v>63</v>
      </c>
      <c r="S543">
        <v>4.8</v>
      </c>
      <c r="T543" t="b">
        <v>0</v>
      </c>
      <c r="U543" t="s">
        <v>30</v>
      </c>
      <c r="V543">
        <v>3118</v>
      </c>
      <c r="W543" t="s">
        <v>37</v>
      </c>
      <c r="X543" t="s">
        <v>32</v>
      </c>
      <c r="Y543" t="s">
        <v>33</v>
      </c>
    </row>
    <row r="544" spans="1:25" x14ac:dyDescent="0.35">
      <c r="A544">
        <v>4401</v>
      </c>
      <c r="B544" t="s">
        <v>316</v>
      </c>
      <c r="C544" s="1">
        <v>45396</v>
      </c>
      <c r="D544" s="1">
        <v>45641</v>
      </c>
      <c r="E544">
        <v>8</v>
      </c>
      <c r="F544">
        <v>15.99</v>
      </c>
      <c r="G544">
        <f t="shared" si="8"/>
        <v>127.92</v>
      </c>
      <c r="H544">
        <v>164</v>
      </c>
      <c r="I544" t="s">
        <v>48</v>
      </c>
      <c r="J544">
        <v>3</v>
      </c>
      <c r="K544">
        <v>5</v>
      </c>
      <c r="L544" t="b">
        <v>1</v>
      </c>
      <c r="M544">
        <v>89</v>
      </c>
      <c r="N544">
        <v>32</v>
      </c>
      <c r="O544" t="s">
        <v>65</v>
      </c>
      <c r="P544" t="s">
        <v>66</v>
      </c>
      <c r="Q544" t="s">
        <v>36</v>
      </c>
      <c r="R544">
        <v>83</v>
      </c>
      <c r="S544">
        <v>3</v>
      </c>
      <c r="T544" t="b">
        <v>1</v>
      </c>
      <c r="U544" t="s">
        <v>30</v>
      </c>
      <c r="V544">
        <v>2088</v>
      </c>
      <c r="W544" t="s">
        <v>67</v>
      </c>
      <c r="X544" t="s">
        <v>70</v>
      </c>
      <c r="Y544" t="s">
        <v>39</v>
      </c>
    </row>
    <row r="545" spans="1:25" x14ac:dyDescent="0.35">
      <c r="A545">
        <v>7135</v>
      </c>
      <c r="B545" t="s">
        <v>317</v>
      </c>
      <c r="C545" s="1">
        <v>45272</v>
      </c>
      <c r="D545" s="1">
        <v>45643</v>
      </c>
      <c r="E545">
        <v>12</v>
      </c>
      <c r="F545">
        <v>15.99</v>
      </c>
      <c r="G545">
        <f t="shared" si="8"/>
        <v>191.88</v>
      </c>
      <c r="H545">
        <v>478</v>
      </c>
      <c r="I545" t="s">
        <v>35</v>
      </c>
      <c r="J545">
        <v>4</v>
      </c>
      <c r="K545">
        <v>5</v>
      </c>
      <c r="L545" t="b">
        <v>1</v>
      </c>
      <c r="M545">
        <v>578</v>
      </c>
      <c r="N545">
        <v>117</v>
      </c>
      <c r="O545" t="s">
        <v>65</v>
      </c>
      <c r="P545" t="s">
        <v>51</v>
      </c>
      <c r="Q545" t="s">
        <v>29</v>
      </c>
      <c r="R545">
        <v>27</v>
      </c>
      <c r="S545">
        <v>4.9000000000000004</v>
      </c>
      <c r="T545" t="b">
        <v>0</v>
      </c>
      <c r="U545" t="s">
        <v>30</v>
      </c>
      <c r="V545">
        <v>3468</v>
      </c>
      <c r="W545" t="s">
        <v>53</v>
      </c>
      <c r="X545" t="s">
        <v>62</v>
      </c>
      <c r="Y545" t="s">
        <v>55</v>
      </c>
    </row>
    <row r="546" spans="1:25" x14ac:dyDescent="0.35">
      <c r="A546">
        <v>8923</v>
      </c>
      <c r="B546" t="s">
        <v>126</v>
      </c>
      <c r="C546" s="1">
        <v>45637</v>
      </c>
      <c r="D546" s="1">
        <v>45636</v>
      </c>
      <c r="E546">
        <v>0</v>
      </c>
      <c r="F546">
        <v>11.99</v>
      </c>
      <c r="G546">
        <f t="shared" si="8"/>
        <v>0</v>
      </c>
      <c r="H546">
        <v>100</v>
      </c>
      <c r="I546" t="s">
        <v>81</v>
      </c>
      <c r="J546">
        <v>3</v>
      </c>
      <c r="K546">
        <v>4</v>
      </c>
      <c r="L546" t="b">
        <v>0</v>
      </c>
      <c r="M546">
        <v>417</v>
      </c>
      <c r="N546">
        <v>87</v>
      </c>
      <c r="O546" t="s">
        <v>76</v>
      </c>
      <c r="P546" t="s">
        <v>51</v>
      </c>
      <c r="Q546" t="s">
        <v>58</v>
      </c>
      <c r="R546">
        <v>14</v>
      </c>
      <c r="S546">
        <v>3.4</v>
      </c>
      <c r="T546" t="b">
        <v>0</v>
      </c>
      <c r="U546" t="s">
        <v>30</v>
      </c>
      <c r="V546">
        <v>3183</v>
      </c>
      <c r="W546" t="s">
        <v>53</v>
      </c>
      <c r="X546" t="s">
        <v>32</v>
      </c>
      <c r="Y546" t="s">
        <v>77</v>
      </c>
    </row>
    <row r="547" spans="1:25" x14ac:dyDescent="0.35">
      <c r="A547">
        <v>9748</v>
      </c>
      <c r="B547" t="s">
        <v>204</v>
      </c>
      <c r="C547" s="1">
        <v>45272</v>
      </c>
      <c r="D547" s="1">
        <v>45633</v>
      </c>
      <c r="E547">
        <v>11</v>
      </c>
      <c r="F547">
        <v>15.99</v>
      </c>
      <c r="G547">
        <f t="shared" si="8"/>
        <v>175.89000000000001</v>
      </c>
      <c r="H547">
        <v>264</v>
      </c>
      <c r="I547" t="s">
        <v>81</v>
      </c>
      <c r="J547">
        <v>2</v>
      </c>
      <c r="K547">
        <v>6</v>
      </c>
      <c r="L547" t="b">
        <v>0</v>
      </c>
      <c r="M547">
        <v>474</v>
      </c>
      <c r="N547">
        <v>10</v>
      </c>
      <c r="O547" t="s">
        <v>27</v>
      </c>
      <c r="P547" t="s">
        <v>66</v>
      </c>
      <c r="Q547" t="s">
        <v>36</v>
      </c>
      <c r="R547">
        <v>18</v>
      </c>
      <c r="S547">
        <v>4.7</v>
      </c>
      <c r="T547" t="b">
        <v>1</v>
      </c>
      <c r="U547" t="s">
        <v>30</v>
      </c>
      <c r="V547">
        <v>4070</v>
      </c>
      <c r="W547" t="s">
        <v>31</v>
      </c>
      <c r="X547" t="s">
        <v>32</v>
      </c>
      <c r="Y547" t="s">
        <v>55</v>
      </c>
    </row>
    <row r="548" spans="1:25" x14ac:dyDescent="0.35">
      <c r="A548">
        <v>7046</v>
      </c>
      <c r="B548" t="s">
        <v>215</v>
      </c>
      <c r="C548" s="1">
        <v>44983</v>
      </c>
      <c r="D548" s="1">
        <v>45636</v>
      </c>
      <c r="E548">
        <v>21</v>
      </c>
      <c r="F548">
        <v>15.99</v>
      </c>
      <c r="G548">
        <f t="shared" si="8"/>
        <v>335.79</v>
      </c>
      <c r="H548">
        <v>208</v>
      </c>
      <c r="I548" t="s">
        <v>57</v>
      </c>
      <c r="J548">
        <v>5</v>
      </c>
      <c r="K548">
        <v>6</v>
      </c>
      <c r="L548" t="b">
        <v>0</v>
      </c>
      <c r="M548">
        <v>512</v>
      </c>
      <c r="N548">
        <v>176</v>
      </c>
      <c r="O548" t="s">
        <v>61</v>
      </c>
      <c r="P548" t="s">
        <v>28</v>
      </c>
      <c r="Q548" t="s">
        <v>69</v>
      </c>
      <c r="R548">
        <v>36</v>
      </c>
      <c r="S548">
        <v>4.7</v>
      </c>
      <c r="T548" t="b">
        <v>0</v>
      </c>
      <c r="U548" t="s">
        <v>30</v>
      </c>
      <c r="V548">
        <v>4147</v>
      </c>
      <c r="W548" t="s">
        <v>31</v>
      </c>
      <c r="X548" t="s">
        <v>70</v>
      </c>
      <c r="Y548" t="s">
        <v>77</v>
      </c>
    </row>
    <row r="549" spans="1:25" x14ac:dyDescent="0.35">
      <c r="A549">
        <v>9688</v>
      </c>
      <c r="B549" t="s">
        <v>318</v>
      </c>
      <c r="C549" s="1">
        <v>45307</v>
      </c>
      <c r="D549" s="1">
        <v>45630</v>
      </c>
      <c r="E549">
        <v>10</v>
      </c>
      <c r="F549">
        <v>7.99</v>
      </c>
      <c r="G549">
        <f t="shared" si="8"/>
        <v>79.900000000000006</v>
      </c>
      <c r="H549">
        <v>56</v>
      </c>
      <c r="I549" t="s">
        <v>64</v>
      </c>
      <c r="J549">
        <v>1</v>
      </c>
      <c r="K549">
        <v>2</v>
      </c>
      <c r="L549" t="b">
        <v>1</v>
      </c>
      <c r="M549">
        <v>280</v>
      </c>
      <c r="N549">
        <v>67</v>
      </c>
      <c r="O549" t="s">
        <v>76</v>
      </c>
      <c r="P549" t="s">
        <v>66</v>
      </c>
      <c r="Q549" t="s">
        <v>52</v>
      </c>
      <c r="R549">
        <v>21</v>
      </c>
      <c r="S549">
        <v>4.5999999999999996</v>
      </c>
      <c r="T549" t="b">
        <v>0</v>
      </c>
      <c r="U549" t="s">
        <v>30</v>
      </c>
      <c r="V549">
        <v>255</v>
      </c>
      <c r="W549" t="s">
        <v>31</v>
      </c>
      <c r="X549" t="s">
        <v>38</v>
      </c>
      <c r="Y549" t="s">
        <v>55</v>
      </c>
    </row>
    <row r="550" spans="1:25" x14ac:dyDescent="0.35">
      <c r="A550">
        <v>6720</v>
      </c>
      <c r="B550" t="s">
        <v>111</v>
      </c>
      <c r="C550" s="1">
        <v>45115</v>
      </c>
      <c r="D550" s="1">
        <v>45639</v>
      </c>
      <c r="E550">
        <v>17</v>
      </c>
      <c r="F550">
        <v>15.99</v>
      </c>
      <c r="G550">
        <f t="shared" si="8"/>
        <v>271.83</v>
      </c>
      <c r="H550">
        <v>207</v>
      </c>
      <c r="I550" t="s">
        <v>57</v>
      </c>
      <c r="J550">
        <v>2</v>
      </c>
      <c r="K550">
        <v>2</v>
      </c>
      <c r="L550" t="b">
        <v>1</v>
      </c>
      <c r="M550">
        <v>494</v>
      </c>
      <c r="N550">
        <v>28</v>
      </c>
      <c r="O550" t="s">
        <v>76</v>
      </c>
      <c r="P550" t="s">
        <v>66</v>
      </c>
      <c r="Q550" t="s">
        <v>36</v>
      </c>
      <c r="R550">
        <v>99</v>
      </c>
      <c r="S550">
        <v>3.6</v>
      </c>
      <c r="T550" t="b">
        <v>0</v>
      </c>
      <c r="U550" t="s">
        <v>30</v>
      </c>
      <c r="V550">
        <v>3278</v>
      </c>
      <c r="W550" t="s">
        <v>37</v>
      </c>
      <c r="X550" t="s">
        <v>70</v>
      </c>
      <c r="Y550" t="s">
        <v>33</v>
      </c>
    </row>
    <row r="551" spans="1:25" x14ac:dyDescent="0.35">
      <c r="A551">
        <v>2766</v>
      </c>
      <c r="B551" t="s">
        <v>319</v>
      </c>
      <c r="C551" s="1">
        <v>44934</v>
      </c>
      <c r="D551" s="1">
        <v>45621</v>
      </c>
      <c r="E551">
        <v>22</v>
      </c>
      <c r="F551">
        <v>7.99</v>
      </c>
      <c r="G551">
        <f t="shared" si="8"/>
        <v>175.78</v>
      </c>
      <c r="H551">
        <v>187</v>
      </c>
      <c r="I551" t="s">
        <v>48</v>
      </c>
      <c r="J551">
        <v>2</v>
      </c>
      <c r="K551">
        <v>3</v>
      </c>
      <c r="L551" t="b">
        <v>1</v>
      </c>
      <c r="M551">
        <v>697</v>
      </c>
      <c r="N551">
        <v>5</v>
      </c>
      <c r="O551" t="s">
        <v>61</v>
      </c>
      <c r="P551" t="s">
        <v>42</v>
      </c>
      <c r="Q551" t="s">
        <v>36</v>
      </c>
      <c r="R551">
        <v>29</v>
      </c>
      <c r="S551">
        <v>4.5</v>
      </c>
      <c r="T551" t="b">
        <v>0</v>
      </c>
      <c r="U551" t="s">
        <v>30</v>
      </c>
      <c r="V551">
        <v>213</v>
      </c>
      <c r="W551" t="s">
        <v>53</v>
      </c>
      <c r="X551" t="s">
        <v>54</v>
      </c>
      <c r="Y551" t="s">
        <v>55</v>
      </c>
    </row>
    <row r="552" spans="1:25" x14ac:dyDescent="0.35">
      <c r="A552">
        <v>3847</v>
      </c>
      <c r="B552" t="s">
        <v>87</v>
      </c>
      <c r="C552" s="1">
        <v>45356</v>
      </c>
      <c r="D552" s="1">
        <v>45619</v>
      </c>
      <c r="E552">
        <v>8</v>
      </c>
      <c r="F552">
        <v>11.99</v>
      </c>
      <c r="G552">
        <f t="shared" si="8"/>
        <v>95.92</v>
      </c>
      <c r="H552">
        <v>62</v>
      </c>
      <c r="I552" t="s">
        <v>26</v>
      </c>
      <c r="J552">
        <v>3</v>
      </c>
      <c r="K552">
        <v>1</v>
      </c>
      <c r="L552" t="b">
        <v>1</v>
      </c>
      <c r="M552">
        <v>879</v>
      </c>
      <c r="N552">
        <v>128</v>
      </c>
      <c r="O552" t="s">
        <v>50</v>
      </c>
      <c r="P552" t="s">
        <v>28</v>
      </c>
      <c r="Q552" t="s">
        <v>43</v>
      </c>
      <c r="R552">
        <v>56</v>
      </c>
      <c r="S552">
        <v>3.4</v>
      </c>
      <c r="T552" t="b">
        <v>0</v>
      </c>
      <c r="U552" t="s">
        <v>30</v>
      </c>
      <c r="V552">
        <v>2886</v>
      </c>
      <c r="W552" t="s">
        <v>59</v>
      </c>
      <c r="X552" t="s">
        <v>38</v>
      </c>
      <c r="Y552" t="s">
        <v>33</v>
      </c>
    </row>
    <row r="553" spans="1:25" x14ac:dyDescent="0.35">
      <c r="A553">
        <v>8554</v>
      </c>
      <c r="B553" t="s">
        <v>110</v>
      </c>
      <c r="C553" s="1">
        <v>45262</v>
      </c>
      <c r="D553" s="1">
        <v>45617</v>
      </c>
      <c r="E553">
        <v>11</v>
      </c>
      <c r="F553">
        <v>15.99</v>
      </c>
      <c r="G553">
        <f t="shared" si="8"/>
        <v>175.89000000000001</v>
      </c>
      <c r="H553">
        <v>182</v>
      </c>
      <c r="I553" t="s">
        <v>81</v>
      </c>
      <c r="J553">
        <v>1</v>
      </c>
      <c r="K553">
        <v>2</v>
      </c>
      <c r="L553" t="b">
        <v>1</v>
      </c>
      <c r="M553">
        <v>442</v>
      </c>
      <c r="N553">
        <v>87</v>
      </c>
      <c r="O553" t="s">
        <v>27</v>
      </c>
      <c r="P553" t="s">
        <v>51</v>
      </c>
      <c r="Q553" t="s">
        <v>43</v>
      </c>
      <c r="R553">
        <v>62</v>
      </c>
      <c r="S553">
        <v>4.9000000000000004</v>
      </c>
      <c r="T553" t="b">
        <v>0</v>
      </c>
      <c r="U553" t="s">
        <v>30</v>
      </c>
      <c r="V553">
        <v>1901</v>
      </c>
      <c r="W553" t="s">
        <v>37</v>
      </c>
      <c r="X553" t="s">
        <v>62</v>
      </c>
      <c r="Y553" t="s">
        <v>39</v>
      </c>
    </row>
    <row r="554" spans="1:25" x14ac:dyDescent="0.35">
      <c r="A554">
        <v>6569</v>
      </c>
      <c r="B554" t="s">
        <v>34</v>
      </c>
      <c r="C554" s="1">
        <v>45230</v>
      </c>
      <c r="D554" s="1">
        <v>45621</v>
      </c>
      <c r="E554">
        <v>12</v>
      </c>
      <c r="F554">
        <v>7.99</v>
      </c>
      <c r="G554">
        <f t="shared" si="8"/>
        <v>95.88</v>
      </c>
      <c r="H554">
        <v>468</v>
      </c>
      <c r="I554" t="s">
        <v>81</v>
      </c>
      <c r="J554">
        <v>2</v>
      </c>
      <c r="K554">
        <v>3</v>
      </c>
      <c r="L554" t="b">
        <v>0</v>
      </c>
      <c r="M554">
        <v>514</v>
      </c>
      <c r="N554">
        <v>46</v>
      </c>
      <c r="O554" t="s">
        <v>41</v>
      </c>
      <c r="P554" t="s">
        <v>42</v>
      </c>
      <c r="Q554" t="s">
        <v>58</v>
      </c>
      <c r="R554">
        <v>74</v>
      </c>
      <c r="S554">
        <v>3.2</v>
      </c>
      <c r="T554" t="b">
        <v>0</v>
      </c>
      <c r="U554" t="s">
        <v>30</v>
      </c>
      <c r="V554">
        <v>4456</v>
      </c>
      <c r="W554" t="s">
        <v>31</v>
      </c>
      <c r="X554" t="s">
        <v>38</v>
      </c>
      <c r="Y554" t="s">
        <v>77</v>
      </c>
    </row>
    <row r="555" spans="1:25" x14ac:dyDescent="0.35">
      <c r="A555">
        <v>6391</v>
      </c>
      <c r="B555" t="s">
        <v>169</v>
      </c>
      <c r="C555" s="1">
        <v>45423</v>
      </c>
      <c r="D555" s="1">
        <v>45620</v>
      </c>
      <c r="E555">
        <v>6</v>
      </c>
      <c r="F555">
        <v>15.99</v>
      </c>
      <c r="G555">
        <f t="shared" si="8"/>
        <v>95.94</v>
      </c>
      <c r="H555">
        <v>389</v>
      </c>
      <c r="I555" t="s">
        <v>35</v>
      </c>
      <c r="J555">
        <v>2</v>
      </c>
      <c r="K555">
        <v>2</v>
      </c>
      <c r="L555" t="b">
        <v>0</v>
      </c>
      <c r="M555">
        <v>120</v>
      </c>
      <c r="N555">
        <v>191</v>
      </c>
      <c r="O555" t="s">
        <v>46</v>
      </c>
      <c r="P555" t="s">
        <v>42</v>
      </c>
      <c r="Q555" t="s">
        <v>58</v>
      </c>
      <c r="R555">
        <v>75</v>
      </c>
      <c r="S555">
        <v>3.8</v>
      </c>
      <c r="T555" t="b">
        <v>1</v>
      </c>
      <c r="U555" t="s">
        <v>30</v>
      </c>
      <c r="V555">
        <v>237</v>
      </c>
      <c r="W555" t="s">
        <v>37</v>
      </c>
      <c r="X555" t="s">
        <v>54</v>
      </c>
      <c r="Y555" t="s">
        <v>55</v>
      </c>
    </row>
    <row r="556" spans="1:25" x14ac:dyDescent="0.35">
      <c r="A556">
        <v>4883</v>
      </c>
      <c r="B556" t="s">
        <v>320</v>
      </c>
      <c r="C556" s="1">
        <v>45329</v>
      </c>
      <c r="D556" s="1">
        <v>45635</v>
      </c>
      <c r="E556">
        <v>10</v>
      </c>
      <c r="F556">
        <v>15.99</v>
      </c>
      <c r="G556">
        <f t="shared" si="8"/>
        <v>159.9</v>
      </c>
      <c r="H556">
        <v>155</v>
      </c>
      <c r="I556" t="s">
        <v>26</v>
      </c>
      <c r="J556">
        <v>4</v>
      </c>
      <c r="K556">
        <v>5</v>
      </c>
      <c r="L556" t="b">
        <v>0</v>
      </c>
      <c r="M556">
        <v>573</v>
      </c>
      <c r="N556">
        <v>190</v>
      </c>
      <c r="O556" t="s">
        <v>50</v>
      </c>
      <c r="P556" t="s">
        <v>66</v>
      </c>
      <c r="Q556" t="s">
        <v>52</v>
      </c>
      <c r="R556">
        <v>86</v>
      </c>
      <c r="S556">
        <v>3.5</v>
      </c>
      <c r="T556" t="b">
        <v>1</v>
      </c>
      <c r="U556" t="s">
        <v>30</v>
      </c>
      <c r="V556">
        <v>4659</v>
      </c>
      <c r="W556" t="s">
        <v>67</v>
      </c>
      <c r="X556" t="s">
        <v>32</v>
      </c>
      <c r="Y556" t="s">
        <v>33</v>
      </c>
    </row>
    <row r="557" spans="1:25" x14ac:dyDescent="0.35">
      <c r="A557">
        <v>4530</v>
      </c>
      <c r="B557" t="s">
        <v>149</v>
      </c>
      <c r="C557" s="1">
        <v>45275</v>
      </c>
      <c r="D557" s="1">
        <v>45622</v>
      </c>
      <c r="E557">
        <v>11</v>
      </c>
      <c r="F557">
        <v>7.99</v>
      </c>
      <c r="G557">
        <f t="shared" si="8"/>
        <v>87.89</v>
      </c>
      <c r="H557">
        <v>331</v>
      </c>
      <c r="I557" t="s">
        <v>26</v>
      </c>
      <c r="J557">
        <v>1</v>
      </c>
      <c r="K557">
        <v>6</v>
      </c>
      <c r="L557" t="b">
        <v>1</v>
      </c>
      <c r="M557">
        <v>231</v>
      </c>
      <c r="N557">
        <v>199</v>
      </c>
      <c r="O557" t="s">
        <v>65</v>
      </c>
      <c r="P557" t="s">
        <v>28</v>
      </c>
      <c r="Q557" t="s">
        <v>43</v>
      </c>
      <c r="R557">
        <v>93</v>
      </c>
      <c r="S557">
        <v>3.4</v>
      </c>
      <c r="T557" t="b">
        <v>0</v>
      </c>
      <c r="U557" t="s">
        <v>30</v>
      </c>
      <c r="V557">
        <v>4906</v>
      </c>
      <c r="W557" t="s">
        <v>37</v>
      </c>
      <c r="X557" t="s">
        <v>70</v>
      </c>
      <c r="Y557" t="s">
        <v>33</v>
      </c>
    </row>
    <row r="558" spans="1:25" x14ac:dyDescent="0.35">
      <c r="A558">
        <v>6531</v>
      </c>
      <c r="B558" t="s">
        <v>183</v>
      </c>
      <c r="C558" s="1">
        <v>44964</v>
      </c>
      <c r="D558" s="1">
        <v>45638</v>
      </c>
      <c r="E558">
        <v>22</v>
      </c>
      <c r="F558">
        <v>11.99</v>
      </c>
      <c r="G558">
        <f t="shared" si="8"/>
        <v>263.78000000000003</v>
      </c>
      <c r="H558">
        <v>131</v>
      </c>
      <c r="I558" t="s">
        <v>45</v>
      </c>
      <c r="J558">
        <v>5</v>
      </c>
      <c r="K558">
        <v>2</v>
      </c>
      <c r="L558" t="b">
        <v>0</v>
      </c>
      <c r="M558">
        <v>374</v>
      </c>
      <c r="N558">
        <v>154</v>
      </c>
      <c r="O558" t="s">
        <v>76</v>
      </c>
      <c r="P558" t="s">
        <v>42</v>
      </c>
      <c r="Q558" t="s">
        <v>36</v>
      </c>
      <c r="R558">
        <v>81</v>
      </c>
      <c r="S558">
        <v>4.4000000000000004</v>
      </c>
      <c r="T558" t="b">
        <v>0</v>
      </c>
      <c r="U558" t="s">
        <v>30</v>
      </c>
      <c r="V558">
        <v>1155</v>
      </c>
      <c r="W558" t="s">
        <v>59</v>
      </c>
      <c r="X558" t="s">
        <v>32</v>
      </c>
      <c r="Y558" t="s">
        <v>55</v>
      </c>
    </row>
    <row r="559" spans="1:25" x14ac:dyDescent="0.35">
      <c r="A559">
        <v>9701</v>
      </c>
      <c r="B559" t="s">
        <v>321</v>
      </c>
      <c r="C559" s="1">
        <v>45002</v>
      </c>
      <c r="D559" s="1">
        <v>45622</v>
      </c>
      <c r="E559">
        <v>20</v>
      </c>
      <c r="F559">
        <v>7.99</v>
      </c>
      <c r="G559">
        <f t="shared" si="8"/>
        <v>159.80000000000001</v>
      </c>
      <c r="H559">
        <v>376</v>
      </c>
      <c r="I559" t="s">
        <v>45</v>
      </c>
      <c r="J559">
        <v>3</v>
      </c>
      <c r="K559">
        <v>6</v>
      </c>
      <c r="L559" t="b">
        <v>0</v>
      </c>
      <c r="M559">
        <v>727</v>
      </c>
      <c r="N559">
        <v>13</v>
      </c>
      <c r="O559" t="s">
        <v>46</v>
      </c>
      <c r="P559" t="s">
        <v>66</v>
      </c>
      <c r="Q559" t="s">
        <v>36</v>
      </c>
      <c r="R559">
        <v>5</v>
      </c>
      <c r="S559">
        <v>3.4</v>
      </c>
      <c r="T559" t="b">
        <v>0</v>
      </c>
      <c r="U559" t="s">
        <v>30</v>
      </c>
      <c r="V559">
        <v>4378</v>
      </c>
      <c r="W559" t="s">
        <v>37</v>
      </c>
      <c r="X559" t="s">
        <v>38</v>
      </c>
      <c r="Y559" t="s">
        <v>55</v>
      </c>
    </row>
    <row r="560" spans="1:25" x14ac:dyDescent="0.35">
      <c r="A560">
        <v>4702</v>
      </c>
      <c r="B560" t="s">
        <v>238</v>
      </c>
      <c r="C560" s="1">
        <v>45382</v>
      </c>
      <c r="D560" s="1">
        <v>45637</v>
      </c>
      <c r="E560">
        <v>8</v>
      </c>
      <c r="F560">
        <v>7.99</v>
      </c>
      <c r="G560">
        <f t="shared" si="8"/>
        <v>63.92</v>
      </c>
      <c r="H560">
        <v>106</v>
      </c>
      <c r="I560" t="s">
        <v>57</v>
      </c>
      <c r="J560">
        <v>4</v>
      </c>
      <c r="K560">
        <v>6</v>
      </c>
      <c r="L560" t="b">
        <v>1</v>
      </c>
      <c r="M560">
        <v>858</v>
      </c>
      <c r="N560">
        <v>12</v>
      </c>
      <c r="O560" t="s">
        <v>61</v>
      </c>
      <c r="P560" t="s">
        <v>42</v>
      </c>
      <c r="Q560" t="s">
        <v>43</v>
      </c>
      <c r="R560">
        <v>25</v>
      </c>
      <c r="S560">
        <v>3.4</v>
      </c>
      <c r="T560" t="b">
        <v>1</v>
      </c>
      <c r="U560" t="s">
        <v>30</v>
      </c>
      <c r="V560">
        <v>1674</v>
      </c>
      <c r="W560" t="s">
        <v>37</v>
      </c>
      <c r="X560" t="s">
        <v>62</v>
      </c>
      <c r="Y560" t="s">
        <v>77</v>
      </c>
    </row>
    <row r="561" spans="1:25" x14ac:dyDescent="0.35">
      <c r="A561">
        <v>3163</v>
      </c>
      <c r="B561" t="s">
        <v>251</v>
      </c>
      <c r="C561" s="1">
        <v>45485</v>
      </c>
      <c r="D561" s="1">
        <v>45626</v>
      </c>
      <c r="E561">
        <v>4</v>
      </c>
      <c r="F561">
        <v>11.99</v>
      </c>
      <c r="G561">
        <f t="shared" si="8"/>
        <v>47.96</v>
      </c>
      <c r="H561">
        <v>445</v>
      </c>
      <c r="I561" t="s">
        <v>64</v>
      </c>
      <c r="J561">
        <v>4</v>
      </c>
      <c r="K561">
        <v>4</v>
      </c>
      <c r="L561" t="b">
        <v>0</v>
      </c>
      <c r="M561">
        <v>25</v>
      </c>
      <c r="N561">
        <v>132</v>
      </c>
      <c r="O561" t="s">
        <v>65</v>
      </c>
      <c r="P561" t="s">
        <v>28</v>
      </c>
      <c r="Q561" t="s">
        <v>52</v>
      </c>
      <c r="R561">
        <v>50</v>
      </c>
      <c r="S561">
        <v>3.8</v>
      </c>
      <c r="T561" t="b">
        <v>1</v>
      </c>
      <c r="U561" t="s">
        <v>30</v>
      </c>
      <c r="V561">
        <v>2407</v>
      </c>
      <c r="W561" t="s">
        <v>53</v>
      </c>
      <c r="X561" t="s">
        <v>38</v>
      </c>
      <c r="Y561" t="s">
        <v>55</v>
      </c>
    </row>
    <row r="562" spans="1:25" x14ac:dyDescent="0.35">
      <c r="A562">
        <v>8719</v>
      </c>
      <c r="B562" t="s">
        <v>94</v>
      </c>
      <c r="C562" s="1">
        <v>45187</v>
      </c>
      <c r="D562" s="1">
        <v>45622</v>
      </c>
      <c r="E562">
        <v>14</v>
      </c>
      <c r="F562">
        <v>15.99</v>
      </c>
      <c r="G562">
        <f t="shared" si="8"/>
        <v>223.86</v>
      </c>
      <c r="H562">
        <v>345</v>
      </c>
      <c r="I562" t="s">
        <v>48</v>
      </c>
      <c r="J562">
        <v>4</v>
      </c>
      <c r="K562">
        <v>5</v>
      </c>
      <c r="L562" t="b">
        <v>0</v>
      </c>
      <c r="M562">
        <v>180</v>
      </c>
      <c r="N562">
        <v>99</v>
      </c>
      <c r="O562" t="s">
        <v>46</v>
      </c>
      <c r="P562" t="s">
        <v>66</v>
      </c>
      <c r="Q562" t="s">
        <v>69</v>
      </c>
      <c r="R562">
        <v>73</v>
      </c>
      <c r="S562">
        <v>4.7</v>
      </c>
      <c r="T562" t="b">
        <v>1</v>
      </c>
      <c r="U562" t="s">
        <v>30</v>
      </c>
      <c r="V562">
        <v>2636</v>
      </c>
      <c r="W562" t="s">
        <v>31</v>
      </c>
      <c r="X562" t="s">
        <v>54</v>
      </c>
      <c r="Y562" t="s">
        <v>33</v>
      </c>
    </row>
    <row r="563" spans="1:25" x14ac:dyDescent="0.35">
      <c r="A563">
        <v>1282</v>
      </c>
      <c r="B563" t="s">
        <v>90</v>
      </c>
      <c r="C563" s="1">
        <v>45636</v>
      </c>
      <c r="D563" s="1">
        <v>45623</v>
      </c>
      <c r="E563">
        <v>0</v>
      </c>
      <c r="F563">
        <v>15.99</v>
      </c>
      <c r="G563">
        <f t="shared" si="8"/>
        <v>0</v>
      </c>
      <c r="H563">
        <v>432</v>
      </c>
      <c r="I563" t="s">
        <v>57</v>
      </c>
      <c r="J563">
        <v>4</v>
      </c>
      <c r="K563">
        <v>3</v>
      </c>
      <c r="L563" t="b">
        <v>1</v>
      </c>
      <c r="M563">
        <v>666</v>
      </c>
      <c r="N563">
        <v>76</v>
      </c>
      <c r="O563" t="s">
        <v>61</v>
      </c>
      <c r="P563" t="s">
        <v>66</v>
      </c>
      <c r="Q563" t="s">
        <v>69</v>
      </c>
      <c r="R563">
        <v>92</v>
      </c>
      <c r="S563">
        <v>4.5999999999999996</v>
      </c>
      <c r="T563" t="b">
        <v>0</v>
      </c>
      <c r="U563" t="s">
        <v>30</v>
      </c>
      <c r="V563">
        <v>4020</v>
      </c>
      <c r="W563" t="s">
        <v>67</v>
      </c>
      <c r="X563" t="s">
        <v>62</v>
      </c>
      <c r="Y563" t="s">
        <v>33</v>
      </c>
    </row>
    <row r="564" spans="1:25" x14ac:dyDescent="0.35">
      <c r="A564">
        <v>4538</v>
      </c>
      <c r="B564" t="s">
        <v>189</v>
      </c>
      <c r="C564" s="1">
        <v>45182</v>
      </c>
      <c r="D564" s="1">
        <v>45640</v>
      </c>
      <c r="E564">
        <v>15</v>
      </c>
      <c r="F564">
        <v>15.99</v>
      </c>
      <c r="G564">
        <f t="shared" si="8"/>
        <v>239.85</v>
      </c>
      <c r="H564">
        <v>362</v>
      </c>
      <c r="I564" t="s">
        <v>35</v>
      </c>
      <c r="J564">
        <v>4</v>
      </c>
      <c r="K564">
        <v>1</v>
      </c>
      <c r="L564" t="b">
        <v>0</v>
      </c>
      <c r="M564">
        <v>709</v>
      </c>
      <c r="N564">
        <v>52</v>
      </c>
      <c r="O564" t="s">
        <v>27</v>
      </c>
      <c r="P564" t="s">
        <v>51</v>
      </c>
      <c r="Q564" t="s">
        <v>52</v>
      </c>
      <c r="R564">
        <v>80</v>
      </c>
      <c r="S564">
        <v>4.5</v>
      </c>
      <c r="T564" t="b">
        <v>1</v>
      </c>
      <c r="U564" t="s">
        <v>30</v>
      </c>
      <c r="V564">
        <v>4127</v>
      </c>
      <c r="W564" t="s">
        <v>53</v>
      </c>
      <c r="X564" t="s">
        <v>70</v>
      </c>
      <c r="Y564" t="s">
        <v>33</v>
      </c>
    </row>
    <row r="565" spans="1:25" x14ac:dyDescent="0.35">
      <c r="A565">
        <v>9538</v>
      </c>
      <c r="B565" t="s">
        <v>183</v>
      </c>
      <c r="C565" s="1">
        <v>44951</v>
      </c>
      <c r="D565" s="1">
        <v>45626</v>
      </c>
      <c r="E565">
        <v>22</v>
      </c>
      <c r="F565">
        <v>15.99</v>
      </c>
      <c r="G565">
        <f t="shared" si="8"/>
        <v>351.78000000000003</v>
      </c>
      <c r="H565">
        <v>174</v>
      </c>
      <c r="I565" t="s">
        <v>35</v>
      </c>
      <c r="J565">
        <v>4</v>
      </c>
      <c r="K565">
        <v>3</v>
      </c>
      <c r="L565" t="b">
        <v>0</v>
      </c>
      <c r="M565">
        <v>30</v>
      </c>
      <c r="N565">
        <v>136</v>
      </c>
      <c r="O565" t="s">
        <v>27</v>
      </c>
      <c r="P565" t="s">
        <v>66</v>
      </c>
      <c r="Q565" t="s">
        <v>43</v>
      </c>
      <c r="R565">
        <v>4</v>
      </c>
      <c r="S565">
        <v>3.1</v>
      </c>
      <c r="T565" t="b">
        <v>1</v>
      </c>
      <c r="U565" t="s">
        <v>30</v>
      </c>
      <c r="V565">
        <v>4503</v>
      </c>
      <c r="W565" t="s">
        <v>31</v>
      </c>
      <c r="X565" t="s">
        <v>32</v>
      </c>
      <c r="Y565" t="s">
        <v>55</v>
      </c>
    </row>
    <row r="566" spans="1:25" x14ac:dyDescent="0.35">
      <c r="A566">
        <v>5109</v>
      </c>
      <c r="B566" t="s">
        <v>123</v>
      </c>
      <c r="C566" s="1">
        <v>45406</v>
      </c>
      <c r="D566" s="1">
        <v>45639</v>
      </c>
      <c r="E566">
        <v>7</v>
      </c>
      <c r="F566">
        <v>11.99</v>
      </c>
      <c r="G566">
        <f t="shared" si="8"/>
        <v>83.93</v>
      </c>
      <c r="H566">
        <v>490</v>
      </c>
      <c r="I566" t="s">
        <v>48</v>
      </c>
      <c r="J566">
        <v>4</v>
      </c>
      <c r="K566">
        <v>3</v>
      </c>
      <c r="L566" t="b">
        <v>0</v>
      </c>
      <c r="M566">
        <v>466</v>
      </c>
      <c r="N566">
        <v>106</v>
      </c>
      <c r="O566" t="s">
        <v>65</v>
      </c>
      <c r="P566" t="s">
        <v>51</v>
      </c>
      <c r="Q566" t="s">
        <v>69</v>
      </c>
      <c r="R566">
        <v>91</v>
      </c>
      <c r="S566">
        <v>3.7</v>
      </c>
      <c r="T566" t="b">
        <v>0</v>
      </c>
      <c r="U566" t="s">
        <v>30</v>
      </c>
      <c r="V566">
        <v>1080</v>
      </c>
      <c r="W566" t="s">
        <v>37</v>
      </c>
      <c r="X566" t="s">
        <v>54</v>
      </c>
      <c r="Y566" t="s">
        <v>77</v>
      </c>
    </row>
    <row r="567" spans="1:25" x14ac:dyDescent="0.35">
      <c r="A567">
        <v>7947</v>
      </c>
      <c r="B567" t="s">
        <v>322</v>
      </c>
      <c r="C567" s="1">
        <v>45241</v>
      </c>
      <c r="D567" s="1">
        <v>45643</v>
      </c>
      <c r="E567">
        <v>13</v>
      </c>
      <c r="F567">
        <v>15.99</v>
      </c>
      <c r="G567">
        <f t="shared" si="8"/>
        <v>207.87</v>
      </c>
      <c r="H567">
        <v>32</v>
      </c>
      <c r="I567" t="s">
        <v>64</v>
      </c>
      <c r="J567">
        <v>3</v>
      </c>
      <c r="K567">
        <v>4</v>
      </c>
      <c r="L567" t="b">
        <v>0</v>
      </c>
      <c r="M567">
        <v>385</v>
      </c>
      <c r="N567">
        <v>106</v>
      </c>
      <c r="O567" t="s">
        <v>46</v>
      </c>
      <c r="P567" t="s">
        <v>51</v>
      </c>
      <c r="Q567" t="s">
        <v>52</v>
      </c>
      <c r="R567">
        <v>75</v>
      </c>
      <c r="S567">
        <v>3.7</v>
      </c>
      <c r="T567" t="b">
        <v>0</v>
      </c>
      <c r="U567" t="s">
        <v>30</v>
      </c>
      <c r="V567">
        <v>1610</v>
      </c>
      <c r="W567" t="s">
        <v>59</v>
      </c>
      <c r="X567" t="s">
        <v>32</v>
      </c>
      <c r="Y567" t="s">
        <v>33</v>
      </c>
    </row>
    <row r="568" spans="1:25" x14ac:dyDescent="0.35">
      <c r="A568">
        <v>7546</v>
      </c>
      <c r="B568" t="s">
        <v>106</v>
      </c>
      <c r="C568" s="1">
        <v>45589</v>
      </c>
      <c r="D568" s="1">
        <v>45636</v>
      </c>
      <c r="E568">
        <v>1</v>
      </c>
      <c r="F568">
        <v>7.99</v>
      </c>
      <c r="G568">
        <f t="shared" si="8"/>
        <v>7.99</v>
      </c>
      <c r="H568">
        <v>48</v>
      </c>
      <c r="I568" t="s">
        <v>45</v>
      </c>
      <c r="J568">
        <v>1</v>
      </c>
      <c r="K568">
        <v>4</v>
      </c>
      <c r="L568" t="b">
        <v>0</v>
      </c>
      <c r="M568">
        <v>484</v>
      </c>
      <c r="N568">
        <v>131</v>
      </c>
      <c r="O568" t="s">
        <v>50</v>
      </c>
      <c r="P568" t="s">
        <v>66</v>
      </c>
      <c r="Q568" t="s">
        <v>58</v>
      </c>
      <c r="R568">
        <v>68</v>
      </c>
      <c r="S568">
        <v>4</v>
      </c>
      <c r="T568" t="b">
        <v>0</v>
      </c>
      <c r="U568" t="s">
        <v>30</v>
      </c>
      <c r="V568">
        <v>1535</v>
      </c>
      <c r="W568" t="s">
        <v>53</v>
      </c>
      <c r="X568" t="s">
        <v>54</v>
      </c>
      <c r="Y568" t="s">
        <v>77</v>
      </c>
    </row>
    <row r="569" spans="1:25" x14ac:dyDescent="0.35">
      <c r="A569">
        <v>4213</v>
      </c>
      <c r="B569" t="s">
        <v>323</v>
      </c>
      <c r="C569" s="1">
        <v>45268</v>
      </c>
      <c r="D569" s="1">
        <v>45619</v>
      </c>
      <c r="E569">
        <v>11</v>
      </c>
      <c r="F569">
        <v>7.99</v>
      </c>
      <c r="G569">
        <f t="shared" si="8"/>
        <v>87.89</v>
      </c>
      <c r="H569">
        <v>141</v>
      </c>
      <c r="I569" t="s">
        <v>26</v>
      </c>
      <c r="J569">
        <v>4</v>
      </c>
      <c r="K569">
        <v>2</v>
      </c>
      <c r="L569" t="b">
        <v>1</v>
      </c>
      <c r="M569">
        <v>379</v>
      </c>
      <c r="N569">
        <v>35</v>
      </c>
      <c r="O569" t="s">
        <v>41</v>
      </c>
      <c r="P569" t="s">
        <v>66</v>
      </c>
      <c r="Q569" t="s">
        <v>29</v>
      </c>
      <c r="R569">
        <v>29</v>
      </c>
      <c r="S569">
        <v>4.9000000000000004</v>
      </c>
      <c r="T569" t="b">
        <v>1</v>
      </c>
      <c r="U569" t="s">
        <v>30</v>
      </c>
      <c r="V569">
        <v>3840</v>
      </c>
      <c r="W569" t="s">
        <v>67</v>
      </c>
      <c r="X569" t="s">
        <v>62</v>
      </c>
      <c r="Y569" t="s">
        <v>33</v>
      </c>
    </row>
    <row r="570" spans="1:25" x14ac:dyDescent="0.35">
      <c r="A570">
        <v>3135</v>
      </c>
      <c r="B570" t="s">
        <v>205</v>
      </c>
      <c r="C570" s="1">
        <v>45450</v>
      </c>
      <c r="D570" s="1">
        <v>45620</v>
      </c>
      <c r="E570">
        <v>5</v>
      </c>
      <c r="F570">
        <v>7.99</v>
      </c>
      <c r="G570">
        <f t="shared" si="8"/>
        <v>39.950000000000003</v>
      </c>
      <c r="H570">
        <v>368</v>
      </c>
      <c r="I570" t="s">
        <v>57</v>
      </c>
      <c r="J570">
        <v>5</v>
      </c>
      <c r="K570">
        <v>1</v>
      </c>
      <c r="L570" t="b">
        <v>0</v>
      </c>
      <c r="M570">
        <v>481</v>
      </c>
      <c r="N570">
        <v>58</v>
      </c>
      <c r="O570" t="s">
        <v>76</v>
      </c>
      <c r="P570" t="s">
        <v>66</v>
      </c>
      <c r="Q570" t="s">
        <v>36</v>
      </c>
      <c r="R570">
        <v>97</v>
      </c>
      <c r="S570">
        <v>4</v>
      </c>
      <c r="T570" t="b">
        <v>0</v>
      </c>
      <c r="U570" t="s">
        <v>30</v>
      </c>
      <c r="V570">
        <v>1108</v>
      </c>
      <c r="W570" t="s">
        <v>37</v>
      </c>
      <c r="X570" t="s">
        <v>38</v>
      </c>
      <c r="Y570" t="s">
        <v>39</v>
      </c>
    </row>
    <row r="571" spans="1:25" x14ac:dyDescent="0.35">
      <c r="A571">
        <v>9916</v>
      </c>
      <c r="B571" t="s">
        <v>301</v>
      </c>
      <c r="C571" s="1">
        <v>45350</v>
      </c>
      <c r="D571" s="1">
        <v>45617</v>
      </c>
      <c r="E571">
        <v>8</v>
      </c>
      <c r="F571">
        <v>7.99</v>
      </c>
      <c r="G571">
        <f t="shared" si="8"/>
        <v>63.92</v>
      </c>
      <c r="H571">
        <v>227</v>
      </c>
      <c r="I571" t="s">
        <v>64</v>
      </c>
      <c r="J571">
        <v>5</v>
      </c>
      <c r="K571">
        <v>2</v>
      </c>
      <c r="L571" t="b">
        <v>1</v>
      </c>
      <c r="M571">
        <v>969</v>
      </c>
      <c r="N571">
        <v>175</v>
      </c>
      <c r="O571" t="s">
        <v>46</v>
      </c>
      <c r="P571" t="s">
        <v>51</v>
      </c>
      <c r="Q571" t="s">
        <v>52</v>
      </c>
      <c r="R571">
        <v>11</v>
      </c>
      <c r="S571">
        <v>5</v>
      </c>
      <c r="T571" t="b">
        <v>0</v>
      </c>
      <c r="U571" t="s">
        <v>30</v>
      </c>
      <c r="V571">
        <v>4510</v>
      </c>
      <c r="W571" t="s">
        <v>53</v>
      </c>
      <c r="X571" t="s">
        <v>32</v>
      </c>
      <c r="Y571" t="s">
        <v>39</v>
      </c>
    </row>
    <row r="572" spans="1:25" x14ac:dyDescent="0.35">
      <c r="A572">
        <v>2784</v>
      </c>
      <c r="B572" t="s">
        <v>101</v>
      </c>
      <c r="C572" s="1">
        <v>45250</v>
      </c>
      <c r="D572" s="1">
        <v>45639</v>
      </c>
      <c r="E572">
        <v>12</v>
      </c>
      <c r="F572">
        <v>7.99</v>
      </c>
      <c r="G572">
        <f t="shared" si="8"/>
        <v>95.88</v>
      </c>
      <c r="H572">
        <v>484</v>
      </c>
      <c r="I572" t="s">
        <v>48</v>
      </c>
      <c r="J572">
        <v>5</v>
      </c>
      <c r="K572">
        <v>2</v>
      </c>
      <c r="L572" t="b">
        <v>1</v>
      </c>
      <c r="M572">
        <v>52</v>
      </c>
      <c r="N572">
        <v>151</v>
      </c>
      <c r="O572" t="s">
        <v>76</v>
      </c>
      <c r="P572" t="s">
        <v>28</v>
      </c>
      <c r="Q572" t="s">
        <v>69</v>
      </c>
      <c r="R572">
        <v>15</v>
      </c>
      <c r="S572">
        <v>3.1</v>
      </c>
      <c r="T572" t="b">
        <v>0</v>
      </c>
      <c r="U572" t="s">
        <v>30</v>
      </c>
      <c r="V572">
        <v>1042</v>
      </c>
      <c r="W572" t="s">
        <v>67</v>
      </c>
      <c r="X572" t="s">
        <v>54</v>
      </c>
      <c r="Y572" t="s">
        <v>33</v>
      </c>
    </row>
    <row r="573" spans="1:25" x14ac:dyDescent="0.35">
      <c r="A573">
        <v>5916</v>
      </c>
      <c r="B573" t="s">
        <v>107</v>
      </c>
      <c r="C573" s="1">
        <v>45553</v>
      </c>
      <c r="D573" s="1">
        <v>45635</v>
      </c>
      <c r="E573">
        <v>2</v>
      </c>
      <c r="F573">
        <v>15.99</v>
      </c>
      <c r="G573">
        <f t="shared" si="8"/>
        <v>31.98</v>
      </c>
      <c r="H573">
        <v>14</v>
      </c>
      <c r="I573" t="s">
        <v>35</v>
      </c>
      <c r="J573">
        <v>4</v>
      </c>
      <c r="K573">
        <v>2</v>
      </c>
      <c r="L573" t="b">
        <v>1</v>
      </c>
      <c r="M573">
        <v>57</v>
      </c>
      <c r="N573">
        <v>175</v>
      </c>
      <c r="O573" t="s">
        <v>65</v>
      </c>
      <c r="P573" t="s">
        <v>42</v>
      </c>
      <c r="Q573" t="s">
        <v>69</v>
      </c>
      <c r="R573">
        <v>41</v>
      </c>
      <c r="S573">
        <v>3.4</v>
      </c>
      <c r="T573" t="b">
        <v>1</v>
      </c>
      <c r="U573" t="s">
        <v>30</v>
      </c>
      <c r="V573">
        <v>2175</v>
      </c>
      <c r="W573" t="s">
        <v>59</v>
      </c>
      <c r="X573" t="s">
        <v>54</v>
      </c>
      <c r="Y573" t="s">
        <v>39</v>
      </c>
    </row>
    <row r="574" spans="1:25" x14ac:dyDescent="0.35">
      <c r="A574">
        <v>1674</v>
      </c>
      <c r="B574" t="s">
        <v>122</v>
      </c>
      <c r="C574" s="1">
        <v>45488</v>
      </c>
      <c r="D574" s="1">
        <v>45641</v>
      </c>
      <c r="E574">
        <v>5</v>
      </c>
      <c r="F574">
        <v>11.99</v>
      </c>
      <c r="G574">
        <f t="shared" si="8"/>
        <v>59.95</v>
      </c>
      <c r="H574">
        <v>328</v>
      </c>
      <c r="I574" t="s">
        <v>64</v>
      </c>
      <c r="J574">
        <v>2</v>
      </c>
      <c r="K574">
        <v>2</v>
      </c>
      <c r="L574" t="b">
        <v>1</v>
      </c>
      <c r="M574">
        <v>415</v>
      </c>
      <c r="N574">
        <v>162</v>
      </c>
      <c r="O574" t="s">
        <v>46</v>
      </c>
      <c r="P574" t="s">
        <v>28</v>
      </c>
      <c r="Q574" t="s">
        <v>69</v>
      </c>
      <c r="R574">
        <v>19</v>
      </c>
      <c r="S574">
        <v>4.4000000000000004</v>
      </c>
      <c r="T574" t="b">
        <v>1</v>
      </c>
      <c r="U574" t="s">
        <v>30</v>
      </c>
      <c r="V574">
        <v>1311</v>
      </c>
      <c r="W574" t="s">
        <v>31</v>
      </c>
      <c r="X574" t="s">
        <v>32</v>
      </c>
      <c r="Y574" t="s">
        <v>55</v>
      </c>
    </row>
    <row r="575" spans="1:25" x14ac:dyDescent="0.35">
      <c r="A575">
        <v>2095</v>
      </c>
      <c r="B575" t="s">
        <v>222</v>
      </c>
      <c r="C575" s="1">
        <v>45517</v>
      </c>
      <c r="D575" s="1">
        <v>45625</v>
      </c>
      <c r="E575">
        <v>3</v>
      </c>
      <c r="F575">
        <v>11.99</v>
      </c>
      <c r="G575">
        <f t="shared" si="8"/>
        <v>35.97</v>
      </c>
      <c r="H575">
        <v>279</v>
      </c>
      <c r="I575" t="s">
        <v>81</v>
      </c>
      <c r="J575">
        <v>5</v>
      </c>
      <c r="K575">
        <v>5</v>
      </c>
      <c r="L575" t="b">
        <v>1</v>
      </c>
      <c r="M575">
        <v>285</v>
      </c>
      <c r="N575">
        <v>92</v>
      </c>
      <c r="O575" t="s">
        <v>41</v>
      </c>
      <c r="P575" t="s">
        <v>66</v>
      </c>
      <c r="Q575" t="s">
        <v>43</v>
      </c>
      <c r="R575">
        <v>81</v>
      </c>
      <c r="S575">
        <v>4.7</v>
      </c>
      <c r="T575" t="b">
        <v>1</v>
      </c>
      <c r="U575" t="s">
        <v>30</v>
      </c>
      <c r="V575">
        <v>4201</v>
      </c>
      <c r="W575" t="s">
        <v>59</v>
      </c>
      <c r="X575" t="s">
        <v>70</v>
      </c>
      <c r="Y575" t="s">
        <v>33</v>
      </c>
    </row>
    <row r="576" spans="1:25" x14ac:dyDescent="0.35">
      <c r="A576">
        <v>9594</v>
      </c>
      <c r="B576" t="s">
        <v>101</v>
      </c>
      <c r="C576" s="1">
        <v>45583</v>
      </c>
      <c r="D576" s="1">
        <v>45629</v>
      </c>
      <c r="E576">
        <v>1</v>
      </c>
      <c r="F576">
        <v>7.99</v>
      </c>
      <c r="G576">
        <f t="shared" si="8"/>
        <v>7.99</v>
      </c>
      <c r="H576">
        <v>158</v>
      </c>
      <c r="I576" t="s">
        <v>26</v>
      </c>
      <c r="J576">
        <v>2</v>
      </c>
      <c r="K576">
        <v>5</v>
      </c>
      <c r="L576" t="b">
        <v>1</v>
      </c>
      <c r="M576">
        <v>861</v>
      </c>
      <c r="N576">
        <v>125</v>
      </c>
      <c r="O576" t="s">
        <v>76</v>
      </c>
      <c r="P576" t="s">
        <v>51</v>
      </c>
      <c r="Q576" t="s">
        <v>58</v>
      </c>
      <c r="R576">
        <v>95</v>
      </c>
      <c r="S576">
        <v>4.4000000000000004</v>
      </c>
      <c r="T576" t="b">
        <v>1</v>
      </c>
      <c r="U576" t="s">
        <v>30</v>
      </c>
      <c r="V576">
        <v>513</v>
      </c>
      <c r="W576" t="s">
        <v>59</v>
      </c>
      <c r="X576" t="s">
        <v>54</v>
      </c>
      <c r="Y576" t="s">
        <v>33</v>
      </c>
    </row>
    <row r="577" spans="1:25" x14ac:dyDescent="0.35">
      <c r="A577">
        <v>6750</v>
      </c>
      <c r="B577" t="s">
        <v>25</v>
      </c>
      <c r="C577" s="1">
        <v>45135</v>
      </c>
      <c r="D577" s="1">
        <v>45628</v>
      </c>
      <c r="E577">
        <v>16</v>
      </c>
      <c r="F577">
        <v>7.99</v>
      </c>
      <c r="G577">
        <f t="shared" si="8"/>
        <v>127.84</v>
      </c>
      <c r="H577">
        <v>422</v>
      </c>
      <c r="I577" t="s">
        <v>45</v>
      </c>
      <c r="J577">
        <v>3</v>
      </c>
      <c r="K577">
        <v>5</v>
      </c>
      <c r="L577" t="b">
        <v>0</v>
      </c>
      <c r="M577">
        <v>399</v>
      </c>
      <c r="N577">
        <v>27</v>
      </c>
      <c r="O577" t="s">
        <v>76</v>
      </c>
      <c r="P577" t="s">
        <v>51</v>
      </c>
      <c r="Q577" t="s">
        <v>58</v>
      </c>
      <c r="R577">
        <v>12</v>
      </c>
      <c r="S577">
        <v>4.4000000000000004</v>
      </c>
      <c r="T577" t="b">
        <v>1</v>
      </c>
      <c r="U577" t="s">
        <v>30</v>
      </c>
      <c r="V577">
        <v>1330</v>
      </c>
      <c r="W577" t="s">
        <v>31</v>
      </c>
      <c r="X577" t="s">
        <v>54</v>
      </c>
      <c r="Y577" t="s">
        <v>77</v>
      </c>
    </row>
    <row r="578" spans="1:25" x14ac:dyDescent="0.35">
      <c r="A578">
        <v>7235</v>
      </c>
      <c r="B578" t="s">
        <v>118</v>
      </c>
      <c r="C578" s="1">
        <v>44929</v>
      </c>
      <c r="D578" s="1">
        <v>45625</v>
      </c>
      <c r="E578">
        <v>22</v>
      </c>
      <c r="F578">
        <v>7.99</v>
      </c>
      <c r="G578">
        <f t="shared" si="8"/>
        <v>175.78</v>
      </c>
      <c r="H578">
        <v>235</v>
      </c>
      <c r="I578" t="s">
        <v>57</v>
      </c>
      <c r="J578">
        <v>1</v>
      </c>
      <c r="K578">
        <v>2</v>
      </c>
      <c r="L578" t="b">
        <v>0</v>
      </c>
      <c r="M578">
        <v>765</v>
      </c>
      <c r="N578">
        <v>159</v>
      </c>
      <c r="O578" t="s">
        <v>46</v>
      </c>
      <c r="P578" t="s">
        <v>51</v>
      </c>
      <c r="Q578" t="s">
        <v>29</v>
      </c>
      <c r="R578">
        <v>77</v>
      </c>
      <c r="S578">
        <v>4.2</v>
      </c>
      <c r="T578" t="b">
        <v>0</v>
      </c>
      <c r="U578" t="s">
        <v>30</v>
      </c>
      <c r="V578">
        <v>3689</v>
      </c>
      <c r="W578" t="s">
        <v>53</v>
      </c>
      <c r="X578" t="s">
        <v>62</v>
      </c>
      <c r="Y578" t="s">
        <v>39</v>
      </c>
    </row>
    <row r="579" spans="1:25" x14ac:dyDescent="0.35">
      <c r="A579">
        <v>3910</v>
      </c>
      <c r="B579" t="s">
        <v>171</v>
      </c>
      <c r="C579" s="1">
        <v>45291</v>
      </c>
      <c r="D579" s="1">
        <v>45634</v>
      </c>
      <c r="E579">
        <v>11</v>
      </c>
      <c r="F579">
        <v>11.99</v>
      </c>
      <c r="G579">
        <f t="shared" ref="G579:G642" si="9">F579*E579</f>
        <v>131.89000000000001</v>
      </c>
      <c r="H579">
        <v>331</v>
      </c>
      <c r="I579" t="s">
        <v>81</v>
      </c>
      <c r="J579">
        <v>1</v>
      </c>
      <c r="K579">
        <v>2</v>
      </c>
      <c r="L579" t="b">
        <v>0</v>
      </c>
      <c r="M579">
        <v>667</v>
      </c>
      <c r="N579">
        <v>43</v>
      </c>
      <c r="O579" t="s">
        <v>61</v>
      </c>
      <c r="P579" t="s">
        <v>42</v>
      </c>
      <c r="Q579" t="s">
        <v>43</v>
      </c>
      <c r="R579">
        <v>55</v>
      </c>
      <c r="S579">
        <v>3.5</v>
      </c>
      <c r="T579" t="b">
        <v>0</v>
      </c>
      <c r="U579" t="s">
        <v>30</v>
      </c>
      <c r="V579">
        <v>670</v>
      </c>
      <c r="W579" t="s">
        <v>67</v>
      </c>
      <c r="X579" t="s">
        <v>54</v>
      </c>
      <c r="Y579" t="s">
        <v>77</v>
      </c>
    </row>
    <row r="580" spans="1:25" x14ac:dyDescent="0.35">
      <c r="A580">
        <v>8190</v>
      </c>
      <c r="B580" t="s">
        <v>324</v>
      </c>
      <c r="C580" s="1">
        <v>45533</v>
      </c>
      <c r="D580" s="1">
        <v>45635</v>
      </c>
      <c r="E580">
        <v>3</v>
      </c>
      <c r="F580">
        <v>11.99</v>
      </c>
      <c r="G580">
        <f t="shared" si="9"/>
        <v>35.97</v>
      </c>
      <c r="H580">
        <v>148</v>
      </c>
      <c r="I580" t="s">
        <v>48</v>
      </c>
      <c r="J580">
        <v>4</v>
      </c>
      <c r="K580">
        <v>1</v>
      </c>
      <c r="L580" t="b">
        <v>1</v>
      </c>
      <c r="M580">
        <v>409</v>
      </c>
      <c r="N580">
        <v>38</v>
      </c>
      <c r="O580" t="s">
        <v>76</v>
      </c>
      <c r="P580" t="s">
        <v>51</v>
      </c>
      <c r="Q580" t="s">
        <v>58</v>
      </c>
      <c r="R580">
        <v>37</v>
      </c>
      <c r="S580">
        <v>3.1</v>
      </c>
      <c r="T580" t="b">
        <v>1</v>
      </c>
      <c r="U580" t="s">
        <v>30</v>
      </c>
      <c r="V580">
        <v>544</v>
      </c>
      <c r="W580" t="s">
        <v>53</v>
      </c>
      <c r="X580" t="s">
        <v>32</v>
      </c>
      <c r="Y580" t="s">
        <v>39</v>
      </c>
    </row>
    <row r="581" spans="1:25" x14ac:dyDescent="0.35">
      <c r="A581">
        <v>5315</v>
      </c>
      <c r="B581" t="s">
        <v>325</v>
      </c>
      <c r="C581" s="1">
        <v>45100</v>
      </c>
      <c r="D581" s="1">
        <v>45615</v>
      </c>
      <c r="E581">
        <v>16</v>
      </c>
      <c r="F581">
        <v>7.99</v>
      </c>
      <c r="G581">
        <f t="shared" si="9"/>
        <v>127.84</v>
      </c>
      <c r="H581">
        <v>198</v>
      </c>
      <c r="I581" t="s">
        <v>57</v>
      </c>
      <c r="J581">
        <v>4</v>
      </c>
      <c r="K581">
        <v>3</v>
      </c>
      <c r="L581" t="b">
        <v>0</v>
      </c>
      <c r="M581">
        <v>202</v>
      </c>
      <c r="N581">
        <v>26</v>
      </c>
      <c r="O581" t="s">
        <v>41</v>
      </c>
      <c r="P581" t="s">
        <v>66</v>
      </c>
      <c r="Q581" t="s">
        <v>69</v>
      </c>
      <c r="R581">
        <v>52</v>
      </c>
      <c r="S581">
        <v>4.8</v>
      </c>
      <c r="T581" t="b">
        <v>0</v>
      </c>
      <c r="U581" t="s">
        <v>30</v>
      </c>
      <c r="V581">
        <v>1392</v>
      </c>
      <c r="W581" t="s">
        <v>59</v>
      </c>
      <c r="X581" t="s">
        <v>38</v>
      </c>
      <c r="Y581" t="s">
        <v>77</v>
      </c>
    </row>
    <row r="582" spans="1:25" x14ac:dyDescent="0.35">
      <c r="A582">
        <v>7503</v>
      </c>
      <c r="B582" t="s">
        <v>110</v>
      </c>
      <c r="C582" s="1">
        <v>45065</v>
      </c>
      <c r="D582" s="1">
        <v>45629</v>
      </c>
      <c r="E582">
        <v>18</v>
      </c>
      <c r="F582">
        <v>15.99</v>
      </c>
      <c r="G582">
        <f t="shared" si="9"/>
        <v>287.82</v>
      </c>
      <c r="H582">
        <v>81</v>
      </c>
      <c r="I582" t="s">
        <v>57</v>
      </c>
      <c r="J582">
        <v>3</v>
      </c>
      <c r="K582">
        <v>4</v>
      </c>
      <c r="L582" t="b">
        <v>0</v>
      </c>
      <c r="M582">
        <v>208</v>
      </c>
      <c r="N582">
        <v>144</v>
      </c>
      <c r="O582" t="s">
        <v>76</v>
      </c>
      <c r="P582" t="s">
        <v>42</v>
      </c>
      <c r="Q582" t="s">
        <v>58</v>
      </c>
      <c r="R582">
        <v>12</v>
      </c>
      <c r="S582">
        <v>4.5999999999999996</v>
      </c>
      <c r="T582" t="b">
        <v>0</v>
      </c>
      <c r="U582" t="s">
        <v>30</v>
      </c>
      <c r="V582">
        <v>3199</v>
      </c>
      <c r="W582" t="s">
        <v>67</v>
      </c>
      <c r="X582" t="s">
        <v>38</v>
      </c>
      <c r="Y582" t="s">
        <v>55</v>
      </c>
    </row>
    <row r="583" spans="1:25" x14ac:dyDescent="0.35">
      <c r="A583">
        <v>5788</v>
      </c>
      <c r="B583" t="s">
        <v>127</v>
      </c>
      <c r="C583" s="1">
        <v>45051</v>
      </c>
      <c r="D583" s="1">
        <v>45619</v>
      </c>
      <c r="E583">
        <v>18</v>
      </c>
      <c r="F583">
        <v>11.99</v>
      </c>
      <c r="G583">
        <f t="shared" si="9"/>
        <v>215.82</v>
      </c>
      <c r="H583">
        <v>131</v>
      </c>
      <c r="I583" t="s">
        <v>57</v>
      </c>
      <c r="J583">
        <v>3</v>
      </c>
      <c r="K583">
        <v>3</v>
      </c>
      <c r="L583" t="b">
        <v>1</v>
      </c>
      <c r="M583">
        <v>382</v>
      </c>
      <c r="N583">
        <v>50</v>
      </c>
      <c r="O583" t="s">
        <v>65</v>
      </c>
      <c r="P583" t="s">
        <v>51</v>
      </c>
      <c r="Q583" t="s">
        <v>52</v>
      </c>
      <c r="R583">
        <v>47</v>
      </c>
      <c r="S583">
        <v>4.8</v>
      </c>
      <c r="T583" t="b">
        <v>0</v>
      </c>
      <c r="U583" t="s">
        <v>30</v>
      </c>
      <c r="V583">
        <v>4204</v>
      </c>
      <c r="W583" t="s">
        <v>59</v>
      </c>
      <c r="X583" t="s">
        <v>38</v>
      </c>
      <c r="Y583" t="s">
        <v>55</v>
      </c>
    </row>
    <row r="584" spans="1:25" x14ac:dyDescent="0.35">
      <c r="A584">
        <v>7030</v>
      </c>
      <c r="B584" t="s">
        <v>326</v>
      </c>
      <c r="C584" s="1">
        <v>45370</v>
      </c>
      <c r="D584" s="1">
        <v>45619</v>
      </c>
      <c r="E584">
        <v>8</v>
      </c>
      <c r="F584">
        <v>15.99</v>
      </c>
      <c r="G584">
        <f t="shared" si="9"/>
        <v>127.92</v>
      </c>
      <c r="H584">
        <v>210</v>
      </c>
      <c r="I584" t="s">
        <v>48</v>
      </c>
      <c r="J584">
        <v>3</v>
      </c>
      <c r="K584">
        <v>4</v>
      </c>
      <c r="L584" t="b">
        <v>0</v>
      </c>
      <c r="M584">
        <v>666</v>
      </c>
      <c r="N584">
        <v>164</v>
      </c>
      <c r="O584" t="s">
        <v>27</v>
      </c>
      <c r="P584" t="s">
        <v>28</v>
      </c>
      <c r="Q584" t="s">
        <v>43</v>
      </c>
      <c r="R584">
        <v>38</v>
      </c>
      <c r="S584">
        <v>4.2</v>
      </c>
      <c r="T584" t="b">
        <v>0</v>
      </c>
      <c r="U584" t="s">
        <v>30</v>
      </c>
      <c r="V584">
        <v>1461</v>
      </c>
      <c r="W584" t="s">
        <v>53</v>
      </c>
      <c r="X584" t="s">
        <v>70</v>
      </c>
      <c r="Y584" t="s">
        <v>33</v>
      </c>
    </row>
    <row r="585" spans="1:25" x14ac:dyDescent="0.35">
      <c r="A585">
        <v>6619</v>
      </c>
      <c r="B585" t="s">
        <v>250</v>
      </c>
      <c r="C585" s="1">
        <v>45460</v>
      </c>
      <c r="D585" s="1">
        <v>45642</v>
      </c>
      <c r="E585">
        <v>5</v>
      </c>
      <c r="F585">
        <v>15.99</v>
      </c>
      <c r="G585">
        <f t="shared" si="9"/>
        <v>79.95</v>
      </c>
      <c r="H585">
        <v>301</v>
      </c>
      <c r="I585" t="s">
        <v>48</v>
      </c>
      <c r="J585">
        <v>2</v>
      </c>
      <c r="K585">
        <v>1</v>
      </c>
      <c r="L585" t="b">
        <v>1</v>
      </c>
      <c r="M585">
        <v>855</v>
      </c>
      <c r="N585">
        <v>46</v>
      </c>
      <c r="O585" t="s">
        <v>50</v>
      </c>
      <c r="P585" t="s">
        <v>66</v>
      </c>
      <c r="Q585" t="s">
        <v>52</v>
      </c>
      <c r="R585">
        <v>26</v>
      </c>
      <c r="S585">
        <v>4.4000000000000004</v>
      </c>
      <c r="T585" t="b">
        <v>0</v>
      </c>
      <c r="U585" t="s">
        <v>30</v>
      </c>
      <c r="V585">
        <v>658</v>
      </c>
      <c r="W585" t="s">
        <v>31</v>
      </c>
      <c r="X585" t="s">
        <v>32</v>
      </c>
      <c r="Y585" t="s">
        <v>33</v>
      </c>
    </row>
    <row r="586" spans="1:25" x14ac:dyDescent="0.35">
      <c r="A586">
        <v>6319</v>
      </c>
      <c r="B586" t="s">
        <v>327</v>
      </c>
      <c r="C586" s="1">
        <v>44988</v>
      </c>
      <c r="D586" s="1">
        <v>45642</v>
      </c>
      <c r="E586">
        <v>21</v>
      </c>
      <c r="F586">
        <v>7.99</v>
      </c>
      <c r="G586">
        <f t="shared" si="9"/>
        <v>167.79</v>
      </c>
      <c r="H586">
        <v>466</v>
      </c>
      <c r="I586" t="s">
        <v>81</v>
      </c>
      <c r="J586">
        <v>4</v>
      </c>
      <c r="K586">
        <v>1</v>
      </c>
      <c r="L586" t="b">
        <v>1</v>
      </c>
      <c r="M586">
        <v>592</v>
      </c>
      <c r="N586">
        <v>67</v>
      </c>
      <c r="O586" t="s">
        <v>76</v>
      </c>
      <c r="P586" t="s">
        <v>42</v>
      </c>
      <c r="Q586" t="s">
        <v>69</v>
      </c>
      <c r="R586">
        <v>81</v>
      </c>
      <c r="S586">
        <v>4.8</v>
      </c>
      <c r="T586" t="b">
        <v>0</v>
      </c>
      <c r="U586" t="s">
        <v>30</v>
      </c>
      <c r="V586">
        <v>423</v>
      </c>
      <c r="W586" t="s">
        <v>37</v>
      </c>
      <c r="X586" t="s">
        <v>62</v>
      </c>
      <c r="Y586" t="s">
        <v>55</v>
      </c>
    </row>
    <row r="587" spans="1:25" x14ac:dyDescent="0.35">
      <c r="A587">
        <v>6268</v>
      </c>
      <c r="B587" t="s">
        <v>200</v>
      </c>
      <c r="C587" s="1">
        <v>45308</v>
      </c>
      <c r="D587" s="1">
        <v>45622</v>
      </c>
      <c r="E587">
        <v>10</v>
      </c>
      <c r="F587">
        <v>15.99</v>
      </c>
      <c r="G587">
        <f t="shared" si="9"/>
        <v>159.9</v>
      </c>
      <c r="H587">
        <v>336</v>
      </c>
      <c r="I587" t="s">
        <v>57</v>
      </c>
      <c r="J587">
        <v>5</v>
      </c>
      <c r="K587">
        <v>2</v>
      </c>
      <c r="L587" t="b">
        <v>0</v>
      </c>
      <c r="M587">
        <v>546</v>
      </c>
      <c r="N587">
        <v>16</v>
      </c>
      <c r="O587" t="s">
        <v>50</v>
      </c>
      <c r="P587" t="s">
        <v>28</v>
      </c>
      <c r="Q587" t="s">
        <v>58</v>
      </c>
      <c r="R587">
        <v>31</v>
      </c>
      <c r="S587">
        <v>3.6</v>
      </c>
      <c r="T587" t="b">
        <v>1</v>
      </c>
      <c r="U587" t="s">
        <v>30</v>
      </c>
      <c r="V587">
        <v>2824</v>
      </c>
      <c r="W587" t="s">
        <v>31</v>
      </c>
      <c r="X587" t="s">
        <v>70</v>
      </c>
      <c r="Y587" t="s">
        <v>77</v>
      </c>
    </row>
    <row r="588" spans="1:25" x14ac:dyDescent="0.35">
      <c r="A588">
        <v>5016</v>
      </c>
      <c r="B588" t="s">
        <v>257</v>
      </c>
      <c r="C588" s="1">
        <v>45136</v>
      </c>
      <c r="D588" s="1">
        <v>45637</v>
      </c>
      <c r="E588">
        <v>16</v>
      </c>
      <c r="F588">
        <v>11.99</v>
      </c>
      <c r="G588">
        <f t="shared" si="9"/>
        <v>191.84</v>
      </c>
      <c r="H588">
        <v>280</v>
      </c>
      <c r="I588" t="s">
        <v>64</v>
      </c>
      <c r="J588">
        <v>4</v>
      </c>
      <c r="K588">
        <v>3</v>
      </c>
      <c r="L588" t="b">
        <v>0</v>
      </c>
      <c r="M588">
        <v>633</v>
      </c>
      <c r="N588">
        <v>83</v>
      </c>
      <c r="O588" t="s">
        <v>27</v>
      </c>
      <c r="P588" t="s">
        <v>28</v>
      </c>
      <c r="Q588" t="s">
        <v>43</v>
      </c>
      <c r="R588">
        <v>49</v>
      </c>
      <c r="S588">
        <v>3.3</v>
      </c>
      <c r="T588" t="b">
        <v>0</v>
      </c>
      <c r="U588" t="s">
        <v>30</v>
      </c>
      <c r="V588">
        <v>2657</v>
      </c>
      <c r="W588" t="s">
        <v>53</v>
      </c>
      <c r="X588" t="s">
        <v>70</v>
      </c>
      <c r="Y588" t="s">
        <v>77</v>
      </c>
    </row>
    <row r="589" spans="1:25" x14ac:dyDescent="0.35">
      <c r="A589">
        <v>3888</v>
      </c>
      <c r="B589" t="s">
        <v>121</v>
      </c>
      <c r="C589" s="1">
        <v>45064</v>
      </c>
      <c r="D589" s="1">
        <v>45640</v>
      </c>
      <c r="E589">
        <v>18</v>
      </c>
      <c r="F589">
        <v>15.99</v>
      </c>
      <c r="G589">
        <f t="shared" si="9"/>
        <v>287.82</v>
      </c>
      <c r="H589">
        <v>495</v>
      </c>
      <c r="I589" t="s">
        <v>26</v>
      </c>
      <c r="J589">
        <v>3</v>
      </c>
      <c r="K589">
        <v>2</v>
      </c>
      <c r="L589" t="b">
        <v>1</v>
      </c>
      <c r="M589">
        <v>883</v>
      </c>
      <c r="N589">
        <v>60</v>
      </c>
      <c r="O589" t="s">
        <v>61</v>
      </c>
      <c r="P589" t="s">
        <v>66</v>
      </c>
      <c r="Q589" t="s">
        <v>58</v>
      </c>
      <c r="R589">
        <v>10</v>
      </c>
      <c r="S589">
        <v>4.5</v>
      </c>
      <c r="T589" t="b">
        <v>0</v>
      </c>
      <c r="U589" t="s">
        <v>30</v>
      </c>
      <c r="V589">
        <v>2213</v>
      </c>
      <c r="W589" t="s">
        <v>67</v>
      </c>
      <c r="X589" t="s">
        <v>70</v>
      </c>
      <c r="Y589" t="s">
        <v>39</v>
      </c>
    </row>
    <row r="590" spans="1:25" x14ac:dyDescent="0.35">
      <c r="A590">
        <v>9918</v>
      </c>
      <c r="B590" t="s">
        <v>155</v>
      </c>
      <c r="C590" s="1">
        <v>45426</v>
      </c>
      <c r="D590" s="1">
        <v>45638</v>
      </c>
      <c r="E590">
        <v>6</v>
      </c>
      <c r="F590">
        <v>11.99</v>
      </c>
      <c r="G590">
        <f t="shared" si="9"/>
        <v>71.94</v>
      </c>
      <c r="H590">
        <v>144</v>
      </c>
      <c r="I590" t="s">
        <v>48</v>
      </c>
      <c r="J590">
        <v>5</v>
      </c>
      <c r="K590">
        <v>6</v>
      </c>
      <c r="L590" t="b">
        <v>0</v>
      </c>
      <c r="M590">
        <v>235</v>
      </c>
      <c r="N590">
        <v>88</v>
      </c>
      <c r="O590" t="s">
        <v>50</v>
      </c>
      <c r="P590" t="s">
        <v>28</v>
      </c>
      <c r="Q590" t="s">
        <v>29</v>
      </c>
      <c r="R590">
        <v>18</v>
      </c>
      <c r="S590">
        <v>3.1</v>
      </c>
      <c r="T590" t="b">
        <v>1</v>
      </c>
      <c r="U590" t="s">
        <v>30</v>
      </c>
      <c r="V590">
        <v>3455</v>
      </c>
      <c r="W590" t="s">
        <v>59</v>
      </c>
      <c r="X590" t="s">
        <v>54</v>
      </c>
      <c r="Y590" t="s">
        <v>55</v>
      </c>
    </row>
    <row r="591" spans="1:25" x14ac:dyDescent="0.35">
      <c r="A591">
        <v>7305</v>
      </c>
      <c r="B591" t="s">
        <v>148</v>
      </c>
      <c r="C591" s="1">
        <v>44987</v>
      </c>
      <c r="D591" s="1">
        <v>45628</v>
      </c>
      <c r="E591">
        <v>21</v>
      </c>
      <c r="F591">
        <v>7.99</v>
      </c>
      <c r="G591">
        <f t="shared" si="9"/>
        <v>167.79</v>
      </c>
      <c r="H591">
        <v>165</v>
      </c>
      <c r="I591" t="s">
        <v>81</v>
      </c>
      <c r="J591">
        <v>5</v>
      </c>
      <c r="K591">
        <v>4</v>
      </c>
      <c r="L591" t="b">
        <v>0</v>
      </c>
      <c r="M591">
        <v>267</v>
      </c>
      <c r="N591">
        <v>146</v>
      </c>
      <c r="O591" t="s">
        <v>27</v>
      </c>
      <c r="P591" t="s">
        <v>51</v>
      </c>
      <c r="Q591" t="s">
        <v>52</v>
      </c>
      <c r="R591">
        <v>34</v>
      </c>
      <c r="S591">
        <v>4.2</v>
      </c>
      <c r="T591" t="b">
        <v>1</v>
      </c>
      <c r="U591" t="s">
        <v>30</v>
      </c>
      <c r="V591">
        <v>3334</v>
      </c>
      <c r="W591" t="s">
        <v>67</v>
      </c>
      <c r="X591" t="s">
        <v>38</v>
      </c>
      <c r="Y591" t="s">
        <v>39</v>
      </c>
    </row>
    <row r="592" spans="1:25" x14ac:dyDescent="0.35">
      <c r="A592">
        <v>5719</v>
      </c>
      <c r="B592" t="s">
        <v>301</v>
      </c>
      <c r="C592" s="1">
        <v>45161</v>
      </c>
      <c r="D592" s="1">
        <v>45642</v>
      </c>
      <c r="E592">
        <v>15</v>
      </c>
      <c r="F592">
        <v>11.99</v>
      </c>
      <c r="G592">
        <f t="shared" si="9"/>
        <v>179.85</v>
      </c>
      <c r="H592">
        <v>479</v>
      </c>
      <c r="I592" t="s">
        <v>48</v>
      </c>
      <c r="J592">
        <v>5</v>
      </c>
      <c r="K592">
        <v>2</v>
      </c>
      <c r="L592" t="b">
        <v>0</v>
      </c>
      <c r="M592">
        <v>710</v>
      </c>
      <c r="N592">
        <v>68</v>
      </c>
      <c r="O592" t="s">
        <v>65</v>
      </c>
      <c r="P592" t="s">
        <v>66</v>
      </c>
      <c r="Q592" t="s">
        <v>69</v>
      </c>
      <c r="R592">
        <v>54</v>
      </c>
      <c r="S592">
        <v>4.5999999999999996</v>
      </c>
      <c r="T592" t="b">
        <v>0</v>
      </c>
      <c r="U592" t="s">
        <v>30</v>
      </c>
      <c r="V592">
        <v>105</v>
      </c>
      <c r="W592" t="s">
        <v>67</v>
      </c>
      <c r="X592" t="s">
        <v>62</v>
      </c>
      <c r="Y592" t="s">
        <v>77</v>
      </c>
    </row>
    <row r="593" spans="1:25" x14ac:dyDescent="0.35">
      <c r="A593">
        <v>2334</v>
      </c>
      <c r="B593" t="s">
        <v>273</v>
      </c>
      <c r="C593" s="1">
        <v>45348</v>
      </c>
      <c r="D593" s="1">
        <v>45620</v>
      </c>
      <c r="E593">
        <v>8</v>
      </c>
      <c r="F593">
        <v>11.99</v>
      </c>
      <c r="G593">
        <f t="shared" si="9"/>
        <v>95.92</v>
      </c>
      <c r="H593">
        <v>285</v>
      </c>
      <c r="I593" t="s">
        <v>64</v>
      </c>
      <c r="J593">
        <v>2</v>
      </c>
      <c r="K593">
        <v>4</v>
      </c>
      <c r="L593" t="b">
        <v>0</v>
      </c>
      <c r="M593">
        <v>805</v>
      </c>
      <c r="N593">
        <v>42</v>
      </c>
      <c r="O593" t="s">
        <v>46</v>
      </c>
      <c r="P593" t="s">
        <v>42</v>
      </c>
      <c r="Q593" t="s">
        <v>29</v>
      </c>
      <c r="R593">
        <v>90</v>
      </c>
      <c r="S593">
        <v>4.5</v>
      </c>
      <c r="T593" t="b">
        <v>0</v>
      </c>
      <c r="U593" t="s">
        <v>30</v>
      </c>
      <c r="V593">
        <v>1404</v>
      </c>
      <c r="W593" t="s">
        <v>31</v>
      </c>
      <c r="X593" t="s">
        <v>62</v>
      </c>
      <c r="Y593" t="s">
        <v>55</v>
      </c>
    </row>
    <row r="594" spans="1:25" x14ac:dyDescent="0.35">
      <c r="A594">
        <v>1006</v>
      </c>
      <c r="B594" t="s">
        <v>328</v>
      </c>
      <c r="C594" s="1">
        <v>45169</v>
      </c>
      <c r="D594" s="1">
        <v>45625</v>
      </c>
      <c r="E594">
        <v>14</v>
      </c>
      <c r="F594">
        <v>11.99</v>
      </c>
      <c r="G594">
        <f t="shared" si="9"/>
        <v>167.86</v>
      </c>
      <c r="H594">
        <v>93</v>
      </c>
      <c r="I594" t="s">
        <v>35</v>
      </c>
      <c r="J594">
        <v>4</v>
      </c>
      <c r="K594">
        <v>6</v>
      </c>
      <c r="L594" t="b">
        <v>0</v>
      </c>
      <c r="M594">
        <v>209</v>
      </c>
      <c r="N594">
        <v>151</v>
      </c>
      <c r="O594" t="s">
        <v>50</v>
      </c>
      <c r="P594" t="s">
        <v>51</v>
      </c>
      <c r="Q594" t="s">
        <v>58</v>
      </c>
      <c r="R594">
        <v>74</v>
      </c>
      <c r="S594">
        <v>3</v>
      </c>
      <c r="T594" t="b">
        <v>0</v>
      </c>
      <c r="U594" t="s">
        <v>30</v>
      </c>
      <c r="V594">
        <v>1017</v>
      </c>
      <c r="W594" t="s">
        <v>53</v>
      </c>
      <c r="X594" t="s">
        <v>70</v>
      </c>
      <c r="Y594" t="s">
        <v>55</v>
      </c>
    </row>
    <row r="595" spans="1:25" x14ac:dyDescent="0.35">
      <c r="A595">
        <v>6719</v>
      </c>
      <c r="B595" t="s">
        <v>87</v>
      </c>
      <c r="C595" s="1">
        <v>44945</v>
      </c>
      <c r="D595" s="1">
        <v>45621</v>
      </c>
      <c r="E595">
        <v>22</v>
      </c>
      <c r="F595">
        <v>15.99</v>
      </c>
      <c r="G595">
        <f t="shared" si="9"/>
        <v>351.78000000000003</v>
      </c>
      <c r="H595">
        <v>299</v>
      </c>
      <c r="I595" t="s">
        <v>57</v>
      </c>
      <c r="J595">
        <v>5</v>
      </c>
      <c r="K595">
        <v>2</v>
      </c>
      <c r="L595" t="b">
        <v>0</v>
      </c>
      <c r="M595">
        <v>803</v>
      </c>
      <c r="N595">
        <v>197</v>
      </c>
      <c r="O595" t="s">
        <v>61</v>
      </c>
      <c r="P595" t="s">
        <v>66</v>
      </c>
      <c r="Q595" t="s">
        <v>69</v>
      </c>
      <c r="R595">
        <v>58</v>
      </c>
      <c r="S595">
        <v>4.8</v>
      </c>
      <c r="T595" t="b">
        <v>0</v>
      </c>
      <c r="U595" t="s">
        <v>30</v>
      </c>
      <c r="V595">
        <v>2812</v>
      </c>
      <c r="W595" t="s">
        <v>37</v>
      </c>
      <c r="X595" t="s">
        <v>38</v>
      </c>
      <c r="Y595" t="s">
        <v>39</v>
      </c>
    </row>
    <row r="596" spans="1:25" x14ac:dyDescent="0.35">
      <c r="A596">
        <v>6138</v>
      </c>
      <c r="B596" t="s">
        <v>63</v>
      </c>
      <c r="C596" s="1">
        <v>45300</v>
      </c>
      <c r="D596" s="1">
        <v>45619</v>
      </c>
      <c r="E596">
        <v>10</v>
      </c>
      <c r="F596">
        <v>15.99</v>
      </c>
      <c r="G596">
        <f t="shared" si="9"/>
        <v>159.9</v>
      </c>
      <c r="H596">
        <v>10</v>
      </c>
      <c r="I596" t="s">
        <v>48</v>
      </c>
      <c r="J596">
        <v>4</v>
      </c>
      <c r="K596">
        <v>6</v>
      </c>
      <c r="L596" t="b">
        <v>1</v>
      </c>
      <c r="M596">
        <v>236</v>
      </c>
      <c r="N596">
        <v>183</v>
      </c>
      <c r="O596" t="s">
        <v>50</v>
      </c>
      <c r="P596" t="s">
        <v>51</v>
      </c>
      <c r="Q596" t="s">
        <v>58</v>
      </c>
      <c r="R596">
        <v>86</v>
      </c>
      <c r="S596">
        <v>3.8</v>
      </c>
      <c r="T596" t="b">
        <v>0</v>
      </c>
      <c r="U596" t="s">
        <v>30</v>
      </c>
      <c r="V596">
        <v>959</v>
      </c>
      <c r="W596" t="s">
        <v>31</v>
      </c>
      <c r="X596" t="s">
        <v>62</v>
      </c>
      <c r="Y596" t="s">
        <v>33</v>
      </c>
    </row>
    <row r="597" spans="1:25" x14ac:dyDescent="0.35">
      <c r="A597">
        <v>1255</v>
      </c>
      <c r="B597" t="s">
        <v>91</v>
      </c>
      <c r="C597" s="1">
        <v>45053</v>
      </c>
      <c r="D597" s="1">
        <v>45636</v>
      </c>
      <c r="E597">
        <v>19</v>
      </c>
      <c r="F597">
        <v>11.99</v>
      </c>
      <c r="G597">
        <f t="shared" si="9"/>
        <v>227.81</v>
      </c>
      <c r="H597">
        <v>82</v>
      </c>
      <c r="I597" t="s">
        <v>48</v>
      </c>
      <c r="J597">
        <v>4</v>
      </c>
      <c r="K597">
        <v>3</v>
      </c>
      <c r="L597" t="b">
        <v>1</v>
      </c>
      <c r="M597">
        <v>264</v>
      </c>
      <c r="N597">
        <v>115</v>
      </c>
      <c r="O597" t="s">
        <v>50</v>
      </c>
      <c r="P597" t="s">
        <v>66</v>
      </c>
      <c r="Q597" t="s">
        <v>69</v>
      </c>
      <c r="R597">
        <v>30</v>
      </c>
      <c r="S597">
        <v>4.7</v>
      </c>
      <c r="T597" t="b">
        <v>1</v>
      </c>
      <c r="U597" t="s">
        <v>30</v>
      </c>
      <c r="V597">
        <v>1870</v>
      </c>
      <c r="W597" t="s">
        <v>53</v>
      </c>
      <c r="X597" t="s">
        <v>54</v>
      </c>
      <c r="Y597" t="s">
        <v>77</v>
      </c>
    </row>
    <row r="598" spans="1:25" x14ac:dyDescent="0.35">
      <c r="A598">
        <v>5528</v>
      </c>
      <c r="B598" t="s">
        <v>123</v>
      </c>
      <c r="C598" s="1">
        <v>45372</v>
      </c>
      <c r="D598" s="1">
        <v>45636</v>
      </c>
      <c r="E598">
        <v>8</v>
      </c>
      <c r="F598">
        <v>11.99</v>
      </c>
      <c r="G598">
        <f t="shared" si="9"/>
        <v>95.92</v>
      </c>
      <c r="H598">
        <v>27</v>
      </c>
      <c r="I598" t="s">
        <v>26</v>
      </c>
      <c r="J598">
        <v>3</v>
      </c>
      <c r="K598">
        <v>6</v>
      </c>
      <c r="L598" t="b">
        <v>1</v>
      </c>
      <c r="M598">
        <v>767</v>
      </c>
      <c r="N598">
        <v>5</v>
      </c>
      <c r="O598" t="s">
        <v>61</v>
      </c>
      <c r="P598" t="s">
        <v>42</v>
      </c>
      <c r="Q598" t="s">
        <v>69</v>
      </c>
      <c r="R598">
        <v>69</v>
      </c>
      <c r="S598">
        <v>3.2</v>
      </c>
      <c r="T598" t="b">
        <v>1</v>
      </c>
      <c r="U598" t="s">
        <v>30</v>
      </c>
      <c r="V598">
        <v>2984</v>
      </c>
      <c r="W598" t="s">
        <v>53</v>
      </c>
      <c r="X598" t="s">
        <v>62</v>
      </c>
      <c r="Y598" t="s">
        <v>77</v>
      </c>
    </row>
    <row r="599" spans="1:25" x14ac:dyDescent="0.35">
      <c r="A599">
        <v>2517</v>
      </c>
      <c r="B599" t="s">
        <v>111</v>
      </c>
      <c r="C599" s="1">
        <v>45411</v>
      </c>
      <c r="D599" s="1">
        <v>45627</v>
      </c>
      <c r="E599">
        <v>7</v>
      </c>
      <c r="F599">
        <v>7.99</v>
      </c>
      <c r="G599">
        <f t="shared" si="9"/>
        <v>55.93</v>
      </c>
      <c r="H599">
        <v>105</v>
      </c>
      <c r="I599" t="s">
        <v>45</v>
      </c>
      <c r="J599">
        <v>2</v>
      </c>
      <c r="K599">
        <v>1</v>
      </c>
      <c r="L599" t="b">
        <v>1</v>
      </c>
      <c r="M599">
        <v>247</v>
      </c>
      <c r="N599">
        <v>104</v>
      </c>
      <c r="O599" t="s">
        <v>76</v>
      </c>
      <c r="P599" t="s">
        <v>28</v>
      </c>
      <c r="Q599" t="s">
        <v>52</v>
      </c>
      <c r="R599">
        <v>19</v>
      </c>
      <c r="S599">
        <v>3.2</v>
      </c>
      <c r="T599" t="b">
        <v>1</v>
      </c>
      <c r="U599" t="s">
        <v>30</v>
      </c>
      <c r="V599">
        <v>3379</v>
      </c>
      <c r="W599" t="s">
        <v>31</v>
      </c>
      <c r="X599" t="s">
        <v>32</v>
      </c>
      <c r="Y599" t="s">
        <v>77</v>
      </c>
    </row>
    <row r="600" spans="1:25" x14ac:dyDescent="0.35">
      <c r="A600">
        <v>9593</v>
      </c>
      <c r="B600" t="s">
        <v>329</v>
      </c>
      <c r="C600" s="1">
        <v>45211</v>
      </c>
      <c r="D600" s="1">
        <v>45620</v>
      </c>
      <c r="E600">
        <v>13</v>
      </c>
      <c r="F600">
        <v>15.99</v>
      </c>
      <c r="G600">
        <f t="shared" si="9"/>
        <v>207.87</v>
      </c>
      <c r="H600">
        <v>330</v>
      </c>
      <c r="I600" t="s">
        <v>57</v>
      </c>
      <c r="J600">
        <v>3</v>
      </c>
      <c r="K600">
        <v>1</v>
      </c>
      <c r="L600" t="b">
        <v>1</v>
      </c>
      <c r="M600">
        <v>69</v>
      </c>
      <c r="N600">
        <v>101</v>
      </c>
      <c r="O600" t="s">
        <v>46</v>
      </c>
      <c r="P600" t="s">
        <v>28</v>
      </c>
      <c r="Q600" t="s">
        <v>58</v>
      </c>
      <c r="R600">
        <v>38</v>
      </c>
      <c r="S600">
        <v>3</v>
      </c>
      <c r="T600" t="b">
        <v>1</v>
      </c>
      <c r="U600" t="s">
        <v>30</v>
      </c>
      <c r="V600">
        <v>4990</v>
      </c>
      <c r="W600" t="s">
        <v>37</v>
      </c>
      <c r="X600" t="s">
        <v>70</v>
      </c>
      <c r="Y600" t="s">
        <v>39</v>
      </c>
    </row>
    <row r="601" spans="1:25" x14ac:dyDescent="0.35">
      <c r="A601">
        <v>7507</v>
      </c>
      <c r="B601" t="s">
        <v>247</v>
      </c>
      <c r="C601" s="1">
        <v>45357</v>
      </c>
      <c r="D601" s="1">
        <v>45636</v>
      </c>
      <c r="E601">
        <v>9</v>
      </c>
      <c r="F601">
        <v>11.99</v>
      </c>
      <c r="G601">
        <f t="shared" si="9"/>
        <v>107.91</v>
      </c>
      <c r="H601">
        <v>462</v>
      </c>
      <c r="I601" t="s">
        <v>48</v>
      </c>
      <c r="J601">
        <v>2</v>
      </c>
      <c r="K601">
        <v>4</v>
      </c>
      <c r="L601" t="b">
        <v>1</v>
      </c>
      <c r="M601">
        <v>958</v>
      </c>
      <c r="N601">
        <v>153</v>
      </c>
      <c r="O601" t="s">
        <v>76</v>
      </c>
      <c r="P601" t="s">
        <v>51</v>
      </c>
      <c r="Q601" t="s">
        <v>36</v>
      </c>
      <c r="R601">
        <v>71</v>
      </c>
      <c r="S601">
        <v>4.8</v>
      </c>
      <c r="T601" t="b">
        <v>0</v>
      </c>
      <c r="U601" t="s">
        <v>30</v>
      </c>
      <c r="V601">
        <v>2554</v>
      </c>
      <c r="W601" t="s">
        <v>53</v>
      </c>
      <c r="X601" t="s">
        <v>32</v>
      </c>
      <c r="Y601" t="s">
        <v>39</v>
      </c>
    </row>
    <row r="602" spans="1:25" x14ac:dyDescent="0.35">
      <c r="A602">
        <v>2884</v>
      </c>
      <c r="B602" t="s">
        <v>312</v>
      </c>
      <c r="C602" s="1">
        <v>45260</v>
      </c>
      <c r="D602" s="1">
        <v>45641</v>
      </c>
      <c r="E602">
        <v>12</v>
      </c>
      <c r="F602">
        <v>15.99</v>
      </c>
      <c r="G602">
        <f t="shared" si="9"/>
        <v>191.88</v>
      </c>
      <c r="H602">
        <v>250</v>
      </c>
      <c r="I602" t="s">
        <v>26</v>
      </c>
      <c r="J602">
        <v>4</v>
      </c>
      <c r="K602">
        <v>6</v>
      </c>
      <c r="L602" t="b">
        <v>0</v>
      </c>
      <c r="M602">
        <v>271</v>
      </c>
      <c r="N602">
        <v>50</v>
      </c>
      <c r="O602" t="s">
        <v>65</v>
      </c>
      <c r="P602" t="s">
        <v>66</v>
      </c>
      <c r="Q602" t="s">
        <v>29</v>
      </c>
      <c r="R602">
        <v>34</v>
      </c>
      <c r="S602">
        <v>4.7</v>
      </c>
      <c r="T602" t="b">
        <v>0</v>
      </c>
      <c r="U602" t="s">
        <v>30</v>
      </c>
      <c r="V602">
        <v>4307</v>
      </c>
      <c r="W602" t="s">
        <v>67</v>
      </c>
      <c r="X602" t="s">
        <v>54</v>
      </c>
      <c r="Y602" t="s">
        <v>39</v>
      </c>
    </row>
    <row r="603" spans="1:25" x14ac:dyDescent="0.35">
      <c r="A603">
        <v>6374</v>
      </c>
      <c r="B603" t="s">
        <v>283</v>
      </c>
      <c r="C603" s="1">
        <v>45114</v>
      </c>
      <c r="D603" s="1">
        <v>45615</v>
      </c>
      <c r="E603">
        <v>16</v>
      </c>
      <c r="F603">
        <v>15.99</v>
      </c>
      <c r="G603">
        <f t="shared" si="9"/>
        <v>255.84</v>
      </c>
      <c r="H603">
        <v>30</v>
      </c>
      <c r="I603" t="s">
        <v>26</v>
      </c>
      <c r="J603">
        <v>1</v>
      </c>
      <c r="K603">
        <v>1</v>
      </c>
      <c r="L603" t="b">
        <v>0</v>
      </c>
      <c r="M603">
        <v>178</v>
      </c>
      <c r="N603">
        <v>162</v>
      </c>
      <c r="O603" t="s">
        <v>50</v>
      </c>
      <c r="P603" t="s">
        <v>28</v>
      </c>
      <c r="Q603" t="s">
        <v>43</v>
      </c>
      <c r="R603">
        <v>20</v>
      </c>
      <c r="S603">
        <v>4.5999999999999996</v>
      </c>
      <c r="T603" t="b">
        <v>1</v>
      </c>
      <c r="U603" t="s">
        <v>30</v>
      </c>
      <c r="V603">
        <v>3124</v>
      </c>
      <c r="W603" t="s">
        <v>31</v>
      </c>
      <c r="X603" t="s">
        <v>62</v>
      </c>
      <c r="Y603" t="s">
        <v>77</v>
      </c>
    </row>
    <row r="604" spans="1:25" x14ac:dyDescent="0.35">
      <c r="A604">
        <v>6888</v>
      </c>
      <c r="B604" t="s">
        <v>133</v>
      </c>
      <c r="C604" s="1">
        <v>45420</v>
      </c>
      <c r="D604" s="1">
        <v>45629</v>
      </c>
      <c r="E604">
        <v>6</v>
      </c>
      <c r="F604">
        <v>15.99</v>
      </c>
      <c r="G604">
        <f t="shared" si="9"/>
        <v>95.94</v>
      </c>
      <c r="H604">
        <v>364</v>
      </c>
      <c r="I604" t="s">
        <v>64</v>
      </c>
      <c r="J604">
        <v>2</v>
      </c>
      <c r="K604">
        <v>5</v>
      </c>
      <c r="L604" t="b">
        <v>0</v>
      </c>
      <c r="M604">
        <v>865</v>
      </c>
      <c r="N604">
        <v>104</v>
      </c>
      <c r="O604" t="s">
        <v>27</v>
      </c>
      <c r="P604" t="s">
        <v>51</v>
      </c>
      <c r="Q604" t="s">
        <v>43</v>
      </c>
      <c r="R604">
        <v>31</v>
      </c>
      <c r="S604">
        <v>3.1</v>
      </c>
      <c r="T604" t="b">
        <v>0</v>
      </c>
      <c r="U604" t="s">
        <v>30</v>
      </c>
      <c r="V604">
        <v>1261</v>
      </c>
      <c r="W604" t="s">
        <v>31</v>
      </c>
      <c r="X604" t="s">
        <v>32</v>
      </c>
      <c r="Y604" t="s">
        <v>33</v>
      </c>
    </row>
    <row r="605" spans="1:25" x14ac:dyDescent="0.35">
      <c r="A605">
        <v>2788</v>
      </c>
      <c r="B605" t="s">
        <v>330</v>
      </c>
      <c r="C605" s="1">
        <v>44966</v>
      </c>
      <c r="D605" s="1">
        <v>45632</v>
      </c>
      <c r="E605">
        <v>21</v>
      </c>
      <c r="F605">
        <v>15.99</v>
      </c>
      <c r="G605">
        <f t="shared" si="9"/>
        <v>335.79</v>
      </c>
      <c r="H605">
        <v>404</v>
      </c>
      <c r="I605" t="s">
        <v>64</v>
      </c>
      <c r="J605">
        <v>2</v>
      </c>
      <c r="K605">
        <v>2</v>
      </c>
      <c r="L605" t="b">
        <v>0</v>
      </c>
      <c r="M605">
        <v>257</v>
      </c>
      <c r="N605">
        <v>113</v>
      </c>
      <c r="O605" t="s">
        <v>65</v>
      </c>
      <c r="P605" t="s">
        <v>51</v>
      </c>
      <c r="Q605" t="s">
        <v>43</v>
      </c>
      <c r="R605">
        <v>60</v>
      </c>
      <c r="S605">
        <v>3.8</v>
      </c>
      <c r="T605" t="b">
        <v>0</v>
      </c>
      <c r="U605" t="s">
        <v>30</v>
      </c>
      <c r="V605">
        <v>1290</v>
      </c>
      <c r="W605" t="s">
        <v>53</v>
      </c>
      <c r="X605" t="s">
        <v>32</v>
      </c>
      <c r="Y605" t="s">
        <v>33</v>
      </c>
    </row>
    <row r="606" spans="1:25" x14ac:dyDescent="0.35">
      <c r="A606">
        <v>7892</v>
      </c>
      <c r="B606" t="s">
        <v>100</v>
      </c>
      <c r="C606" s="1">
        <v>45414</v>
      </c>
      <c r="D606" s="1">
        <v>45621</v>
      </c>
      <c r="E606">
        <v>6</v>
      </c>
      <c r="F606">
        <v>7.99</v>
      </c>
      <c r="G606">
        <f t="shared" si="9"/>
        <v>47.94</v>
      </c>
      <c r="H606">
        <v>499</v>
      </c>
      <c r="I606" t="s">
        <v>81</v>
      </c>
      <c r="J606">
        <v>4</v>
      </c>
      <c r="K606">
        <v>3</v>
      </c>
      <c r="L606" t="b">
        <v>0</v>
      </c>
      <c r="M606">
        <v>428</v>
      </c>
      <c r="N606">
        <v>168</v>
      </c>
      <c r="O606" t="s">
        <v>76</v>
      </c>
      <c r="P606" t="s">
        <v>51</v>
      </c>
      <c r="Q606" t="s">
        <v>69</v>
      </c>
      <c r="R606">
        <v>82</v>
      </c>
      <c r="S606">
        <v>3.7</v>
      </c>
      <c r="T606" t="b">
        <v>0</v>
      </c>
      <c r="U606" t="s">
        <v>30</v>
      </c>
      <c r="V606">
        <v>874</v>
      </c>
      <c r="W606" t="s">
        <v>31</v>
      </c>
      <c r="X606" t="s">
        <v>70</v>
      </c>
      <c r="Y606" t="s">
        <v>55</v>
      </c>
    </row>
    <row r="607" spans="1:25" x14ac:dyDescent="0.35">
      <c r="A607">
        <v>4576</v>
      </c>
      <c r="B607" t="s">
        <v>101</v>
      </c>
      <c r="C607" s="1">
        <v>45492</v>
      </c>
      <c r="D607" s="1">
        <v>45642</v>
      </c>
      <c r="E607">
        <v>4</v>
      </c>
      <c r="F607">
        <v>15.99</v>
      </c>
      <c r="G607">
        <f t="shared" si="9"/>
        <v>63.96</v>
      </c>
      <c r="H607">
        <v>480</v>
      </c>
      <c r="I607" t="s">
        <v>35</v>
      </c>
      <c r="J607">
        <v>2</v>
      </c>
      <c r="K607">
        <v>2</v>
      </c>
      <c r="L607" t="b">
        <v>1</v>
      </c>
      <c r="M607">
        <v>994</v>
      </c>
      <c r="N607">
        <v>78</v>
      </c>
      <c r="O607" t="s">
        <v>65</v>
      </c>
      <c r="P607" t="s">
        <v>51</v>
      </c>
      <c r="Q607" t="s">
        <v>43</v>
      </c>
      <c r="R607">
        <v>39</v>
      </c>
      <c r="S607">
        <v>4.3</v>
      </c>
      <c r="T607" t="b">
        <v>1</v>
      </c>
      <c r="U607" t="s">
        <v>30</v>
      </c>
      <c r="V607">
        <v>1734</v>
      </c>
      <c r="W607" t="s">
        <v>67</v>
      </c>
      <c r="X607" t="s">
        <v>38</v>
      </c>
      <c r="Y607" t="s">
        <v>55</v>
      </c>
    </row>
    <row r="608" spans="1:25" x14ac:dyDescent="0.35">
      <c r="A608">
        <v>8901</v>
      </c>
      <c r="B608" t="s">
        <v>331</v>
      </c>
      <c r="C608" s="1">
        <v>45300</v>
      </c>
      <c r="D608" s="1">
        <v>45625</v>
      </c>
      <c r="E608">
        <v>10</v>
      </c>
      <c r="F608">
        <v>11.99</v>
      </c>
      <c r="G608">
        <f t="shared" si="9"/>
        <v>119.9</v>
      </c>
      <c r="H608">
        <v>417</v>
      </c>
      <c r="I608" t="s">
        <v>26</v>
      </c>
      <c r="J608">
        <v>5</v>
      </c>
      <c r="K608">
        <v>6</v>
      </c>
      <c r="L608" t="b">
        <v>0</v>
      </c>
      <c r="M608">
        <v>476</v>
      </c>
      <c r="N608">
        <v>37</v>
      </c>
      <c r="O608" t="s">
        <v>27</v>
      </c>
      <c r="P608" t="s">
        <v>66</v>
      </c>
      <c r="Q608" t="s">
        <v>29</v>
      </c>
      <c r="R608">
        <v>12</v>
      </c>
      <c r="S608">
        <v>4.0999999999999996</v>
      </c>
      <c r="T608" t="b">
        <v>1</v>
      </c>
      <c r="U608" t="s">
        <v>30</v>
      </c>
      <c r="V608">
        <v>2444</v>
      </c>
      <c r="W608" t="s">
        <v>67</v>
      </c>
      <c r="X608" t="s">
        <v>70</v>
      </c>
      <c r="Y608" t="s">
        <v>55</v>
      </c>
    </row>
    <row r="609" spans="1:25" x14ac:dyDescent="0.35">
      <c r="A609">
        <v>5147</v>
      </c>
      <c r="B609" t="s">
        <v>102</v>
      </c>
      <c r="C609" s="1">
        <v>45091</v>
      </c>
      <c r="D609" s="1">
        <v>45640</v>
      </c>
      <c r="E609">
        <v>18</v>
      </c>
      <c r="F609">
        <v>7.99</v>
      </c>
      <c r="G609">
        <f t="shared" si="9"/>
        <v>143.82</v>
      </c>
      <c r="H609">
        <v>215</v>
      </c>
      <c r="I609" t="s">
        <v>64</v>
      </c>
      <c r="J609">
        <v>5</v>
      </c>
      <c r="K609">
        <v>4</v>
      </c>
      <c r="L609" t="b">
        <v>1</v>
      </c>
      <c r="M609">
        <v>150</v>
      </c>
      <c r="N609">
        <v>57</v>
      </c>
      <c r="O609" t="s">
        <v>46</v>
      </c>
      <c r="P609" t="s">
        <v>28</v>
      </c>
      <c r="Q609" t="s">
        <v>29</v>
      </c>
      <c r="R609">
        <v>76</v>
      </c>
      <c r="S609">
        <v>4.5</v>
      </c>
      <c r="T609" t="b">
        <v>0</v>
      </c>
      <c r="U609" t="s">
        <v>30</v>
      </c>
      <c r="V609">
        <v>1529</v>
      </c>
      <c r="W609" t="s">
        <v>31</v>
      </c>
      <c r="X609" t="s">
        <v>32</v>
      </c>
      <c r="Y609" t="s">
        <v>33</v>
      </c>
    </row>
    <row r="610" spans="1:25" x14ac:dyDescent="0.35">
      <c r="A610">
        <v>8646</v>
      </c>
      <c r="B610" t="s">
        <v>191</v>
      </c>
      <c r="C610" s="1">
        <v>45281</v>
      </c>
      <c r="D610" s="1">
        <v>45632</v>
      </c>
      <c r="E610">
        <v>11</v>
      </c>
      <c r="F610">
        <v>7.99</v>
      </c>
      <c r="G610">
        <f t="shared" si="9"/>
        <v>87.89</v>
      </c>
      <c r="H610">
        <v>234</v>
      </c>
      <c r="I610" t="s">
        <v>26</v>
      </c>
      <c r="J610">
        <v>2</v>
      </c>
      <c r="K610">
        <v>6</v>
      </c>
      <c r="L610" t="b">
        <v>1</v>
      </c>
      <c r="M610">
        <v>580</v>
      </c>
      <c r="N610">
        <v>149</v>
      </c>
      <c r="O610" t="s">
        <v>46</v>
      </c>
      <c r="P610" t="s">
        <v>28</v>
      </c>
      <c r="Q610" t="s">
        <v>69</v>
      </c>
      <c r="R610">
        <v>31</v>
      </c>
      <c r="S610">
        <v>3.8</v>
      </c>
      <c r="T610" t="b">
        <v>1</v>
      </c>
      <c r="U610" t="s">
        <v>30</v>
      </c>
      <c r="V610">
        <v>1976</v>
      </c>
      <c r="W610" t="s">
        <v>59</v>
      </c>
      <c r="X610" t="s">
        <v>70</v>
      </c>
      <c r="Y610" t="s">
        <v>33</v>
      </c>
    </row>
    <row r="611" spans="1:25" x14ac:dyDescent="0.35">
      <c r="A611">
        <v>8343</v>
      </c>
      <c r="B611" t="s">
        <v>102</v>
      </c>
      <c r="C611" s="1">
        <v>45598</v>
      </c>
      <c r="D611" s="1">
        <v>45643</v>
      </c>
      <c r="E611">
        <v>1</v>
      </c>
      <c r="F611">
        <v>7.99</v>
      </c>
      <c r="G611">
        <f t="shared" si="9"/>
        <v>7.99</v>
      </c>
      <c r="H611">
        <v>103</v>
      </c>
      <c r="I611" t="s">
        <v>26</v>
      </c>
      <c r="J611">
        <v>2</v>
      </c>
      <c r="K611">
        <v>6</v>
      </c>
      <c r="L611" t="b">
        <v>0</v>
      </c>
      <c r="M611">
        <v>284</v>
      </c>
      <c r="N611">
        <v>84</v>
      </c>
      <c r="O611" t="s">
        <v>76</v>
      </c>
      <c r="P611" t="s">
        <v>28</v>
      </c>
      <c r="Q611" t="s">
        <v>58</v>
      </c>
      <c r="R611">
        <v>30</v>
      </c>
      <c r="S611">
        <v>4</v>
      </c>
      <c r="T611" t="b">
        <v>0</v>
      </c>
      <c r="U611" t="s">
        <v>30</v>
      </c>
      <c r="V611">
        <v>3452</v>
      </c>
      <c r="W611" t="s">
        <v>31</v>
      </c>
      <c r="X611" t="s">
        <v>70</v>
      </c>
      <c r="Y611" t="s">
        <v>77</v>
      </c>
    </row>
    <row r="612" spans="1:25" x14ac:dyDescent="0.35">
      <c r="A612">
        <v>9332</v>
      </c>
      <c r="B612" t="s">
        <v>40</v>
      </c>
      <c r="C612" s="1">
        <v>45075</v>
      </c>
      <c r="D612" s="1">
        <v>45644</v>
      </c>
      <c r="E612">
        <v>18</v>
      </c>
      <c r="F612">
        <v>15.99</v>
      </c>
      <c r="G612">
        <f t="shared" si="9"/>
        <v>287.82</v>
      </c>
      <c r="H612">
        <v>191</v>
      </c>
      <c r="I612" t="s">
        <v>48</v>
      </c>
      <c r="J612">
        <v>5</v>
      </c>
      <c r="K612">
        <v>1</v>
      </c>
      <c r="L612" t="b">
        <v>0</v>
      </c>
      <c r="M612">
        <v>688</v>
      </c>
      <c r="N612">
        <v>192</v>
      </c>
      <c r="O612" t="s">
        <v>27</v>
      </c>
      <c r="P612" t="s">
        <v>28</v>
      </c>
      <c r="Q612" t="s">
        <v>29</v>
      </c>
      <c r="R612">
        <v>71</v>
      </c>
      <c r="S612">
        <v>4</v>
      </c>
      <c r="T612" t="b">
        <v>0</v>
      </c>
      <c r="U612" t="s">
        <v>30</v>
      </c>
      <c r="V612">
        <v>2610</v>
      </c>
      <c r="W612" t="s">
        <v>53</v>
      </c>
      <c r="X612" t="s">
        <v>54</v>
      </c>
      <c r="Y612" t="s">
        <v>55</v>
      </c>
    </row>
    <row r="613" spans="1:25" x14ac:dyDescent="0.35">
      <c r="A613">
        <v>7398</v>
      </c>
      <c r="B613" t="s">
        <v>218</v>
      </c>
      <c r="C613" s="1">
        <v>45275</v>
      </c>
      <c r="D613" s="1">
        <v>45641</v>
      </c>
      <c r="E613">
        <v>12</v>
      </c>
      <c r="F613">
        <v>11.99</v>
      </c>
      <c r="G613">
        <f t="shared" si="9"/>
        <v>143.88</v>
      </c>
      <c r="H613">
        <v>82</v>
      </c>
      <c r="I613" t="s">
        <v>35</v>
      </c>
      <c r="J613">
        <v>5</v>
      </c>
      <c r="K613">
        <v>1</v>
      </c>
      <c r="L613" t="b">
        <v>1</v>
      </c>
      <c r="M613">
        <v>93</v>
      </c>
      <c r="N613">
        <v>46</v>
      </c>
      <c r="O613" t="s">
        <v>41</v>
      </c>
      <c r="P613" t="s">
        <v>28</v>
      </c>
      <c r="Q613" t="s">
        <v>36</v>
      </c>
      <c r="R613">
        <v>41</v>
      </c>
      <c r="S613">
        <v>4.7</v>
      </c>
      <c r="T613" t="b">
        <v>1</v>
      </c>
      <c r="U613" t="s">
        <v>30</v>
      </c>
      <c r="V613">
        <v>3152</v>
      </c>
      <c r="W613" t="s">
        <v>31</v>
      </c>
      <c r="X613" t="s">
        <v>38</v>
      </c>
      <c r="Y613" t="s">
        <v>39</v>
      </c>
    </row>
    <row r="614" spans="1:25" x14ac:dyDescent="0.35">
      <c r="A614">
        <v>3572</v>
      </c>
      <c r="B614" t="s">
        <v>332</v>
      </c>
      <c r="C614" s="1">
        <v>45386</v>
      </c>
      <c r="D614" s="1">
        <v>45641</v>
      </c>
      <c r="E614">
        <v>8</v>
      </c>
      <c r="F614">
        <v>11.99</v>
      </c>
      <c r="G614">
        <f t="shared" si="9"/>
        <v>95.92</v>
      </c>
      <c r="H614">
        <v>468</v>
      </c>
      <c r="I614" t="s">
        <v>48</v>
      </c>
      <c r="J614">
        <v>5</v>
      </c>
      <c r="K614">
        <v>6</v>
      </c>
      <c r="L614" t="b">
        <v>1</v>
      </c>
      <c r="M614">
        <v>799</v>
      </c>
      <c r="N614">
        <v>44</v>
      </c>
      <c r="O614" t="s">
        <v>50</v>
      </c>
      <c r="P614" t="s">
        <v>28</v>
      </c>
      <c r="Q614" t="s">
        <v>52</v>
      </c>
      <c r="R614">
        <v>98</v>
      </c>
      <c r="S614">
        <v>4.9000000000000004</v>
      </c>
      <c r="T614" t="b">
        <v>0</v>
      </c>
      <c r="U614" t="s">
        <v>30</v>
      </c>
      <c r="V614">
        <v>4963</v>
      </c>
      <c r="W614" t="s">
        <v>67</v>
      </c>
      <c r="X614" t="s">
        <v>54</v>
      </c>
      <c r="Y614" t="s">
        <v>39</v>
      </c>
    </row>
    <row r="615" spans="1:25" x14ac:dyDescent="0.35">
      <c r="A615">
        <v>4590</v>
      </c>
      <c r="B615" t="s">
        <v>314</v>
      </c>
      <c r="C615" s="1">
        <v>45097</v>
      </c>
      <c r="D615" s="1">
        <v>45629</v>
      </c>
      <c r="E615">
        <v>17</v>
      </c>
      <c r="F615">
        <v>11.99</v>
      </c>
      <c r="G615">
        <f t="shared" si="9"/>
        <v>203.83</v>
      </c>
      <c r="H615">
        <v>366</v>
      </c>
      <c r="I615" t="s">
        <v>81</v>
      </c>
      <c r="J615">
        <v>4</v>
      </c>
      <c r="K615">
        <v>3</v>
      </c>
      <c r="L615" t="b">
        <v>0</v>
      </c>
      <c r="M615">
        <v>327</v>
      </c>
      <c r="N615">
        <v>1</v>
      </c>
      <c r="O615" t="s">
        <v>46</v>
      </c>
      <c r="P615" t="s">
        <v>42</v>
      </c>
      <c r="Q615" t="s">
        <v>29</v>
      </c>
      <c r="R615">
        <v>56</v>
      </c>
      <c r="S615">
        <v>3.6</v>
      </c>
      <c r="T615" t="b">
        <v>1</v>
      </c>
      <c r="U615" t="s">
        <v>30</v>
      </c>
      <c r="V615">
        <v>3290</v>
      </c>
      <c r="W615" t="s">
        <v>37</v>
      </c>
      <c r="X615" t="s">
        <v>70</v>
      </c>
      <c r="Y615" t="s">
        <v>33</v>
      </c>
    </row>
    <row r="616" spans="1:25" x14ac:dyDescent="0.35">
      <c r="A616">
        <v>1831</v>
      </c>
      <c r="B616" t="s">
        <v>74</v>
      </c>
      <c r="C616" s="1">
        <v>45577</v>
      </c>
      <c r="D616" s="1">
        <v>45637</v>
      </c>
      <c r="E616">
        <v>1</v>
      </c>
      <c r="F616">
        <v>7.99</v>
      </c>
      <c r="G616">
        <f t="shared" si="9"/>
        <v>7.99</v>
      </c>
      <c r="H616">
        <v>53</v>
      </c>
      <c r="I616" t="s">
        <v>45</v>
      </c>
      <c r="J616">
        <v>1</v>
      </c>
      <c r="K616">
        <v>4</v>
      </c>
      <c r="L616" t="b">
        <v>0</v>
      </c>
      <c r="M616">
        <v>685</v>
      </c>
      <c r="N616">
        <v>127</v>
      </c>
      <c r="O616" t="s">
        <v>65</v>
      </c>
      <c r="P616" t="s">
        <v>51</v>
      </c>
      <c r="Q616" t="s">
        <v>58</v>
      </c>
      <c r="R616">
        <v>26</v>
      </c>
      <c r="S616">
        <v>4.0999999999999996</v>
      </c>
      <c r="T616" t="b">
        <v>1</v>
      </c>
      <c r="U616" t="s">
        <v>30</v>
      </c>
      <c r="V616">
        <v>2596</v>
      </c>
      <c r="W616" t="s">
        <v>53</v>
      </c>
      <c r="X616" t="s">
        <v>62</v>
      </c>
      <c r="Y616" t="s">
        <v>33</v>
      </c>
    </row>
    <row r="617" spans="1:25" x14ac:dyDescent="0.35">
      <c r="A617">
        <v>6899</v>
      </c>
      <c r="B617" t="s">
        <v>186</v>
      </c>
      <c r="C617" s="1">
        <v>45021</v>
      </c>
      <c r="D617" s="1">
        <v>45631</v>
      </c>
      <c r="E617">
        <v>20</v>
      </c>
      <c r="F617">
        <v>15.99</v>
      </c>
      <c r="G617">
        <f t="shared" si="9"/>
        <v>319.8</v>
      </c>
      <c r="H617">
        <v>102</v>
      </c>
      <c r="I617" t="s">
        <v>57</v>
      </c>
      <c r="J617">
        <v>1</v>
      </c>
      <c r="K617">
        <v>1</v>
      </c>
      <c r="L617" t="b">
        <v>1</v>
      </c>
      <c r="M617">
        <v>604</v>
      </c>
      <c r="N617">
        <v>107</v>
      </c>
      <c r="O617" t="s">
        <v>76</v>
      </c>
      <c r="P617" t="s">
        <v>66</v>
      </c>
      <c r="Q617" t="s">
        <v>69</v>
      </c>
      <c r="R617">
        <v>9</v>
      </c>
      <c r="S617">
        <v>4.3</v>
      </c>
      <c r="T617" t="b">
        <v>0</v>
      </c>
      <c r="U617" t="s">
        <v>30</v>
      </c>
      <c r="V617">
        <v>745</v>
      </c>
      <c r="W617" t="s">
        <v>67</v>
      </c>
      <c r="X617" t="s">
        <v>38</v>
      </c>
      <c r="Y617" t="s">
        <v>33</v>
      </c>
    </row>
    <row r="618" spans="1:25" x14ac:dyDescent="0.35">
      <c r="A618">
        <v>1148</v>
      </c>
      <c r="B618" t="s">
        <v>74</v>
      </c>
      <c r="C618" s="1">
        <v>45442</v>
      </c>
      <c r="D618" s="1">
        <v>45624</v>
      </c>
      <c r="E618">
        <v>5</v>
      </c>
      <c r="F618">
        <v>15.99</v>
      </c>
      <c r="G618">
        <f t="shared" si="9"/>
        <v>79.95</v>
      </c>
      <c r="H618">
        <v>259</v>
      </c>
      <c r="I618" t="s">
        <v>26</v>
      </c>
      <c r="J618">
        <v>1</v>
      </c>
      <c r="K618">
        <v>5</v>
      </c>
      <c r="L618" t="b">
        <v>1</v>
      </c>
      <c r="M618">
        <v>597</v>
      </c>
      <c r="N618">
        <v>165</v>
      </c>
      <c r="O618" t="s">
        <v>65</v>
      </c>
      <c r="P618" t="s">
        <v>66</v>
      </c>
      <c r="Q618" t="s">
        <v>36</v>
      </c>
      <c r="R618">
        <v>33</v>
      </c>
      <c r="S618">
        <v>4.2</v>
      </c>
      <c r="T618" t="b">
        <v>1</v>
      </c>
      <c r="U618" t="s">
        <v>30</v>
      </c>
      <c r="V618">
        <v>668</v>
      </c>
      <c r="W618" t="s">
        <v>67</v>
      </c>
      <c r="X618" t="s">
        <v>38</v>
      </c>
      <c r="Y618" t="s">
        <v>55</v>
      </c>
    </row>
    <row r="619" spans="1:25" x14ac:dyDescent="0.35">
      <c r="A619">
        <v>3745</v>
      </c>
      <c r="B619" t="s">
        <v>205</v>
      </c>
      <c r="C619" s="1">
        <v>45547</v>
      </c>
      <c r="D619" s="1">
        <v>45642</v>
      </c>
      <c r="E619">
        <v>3</v>
      </c>
      <c r="F619">
        <v>11.99</v>
      </c>
      <c r="G619">
        <f t="shared" si="9"/>
        <v>35.97</v>
      </c>
      <c r="H619">
        <v>81</v>
      </c>
      <c r="I619" t="s">
        <v>81</v>
      </c>
      <c r="J619">
        <v>2</v>
      </c>
      <c r="K619">
        <v>4</v>
      </c>
      <c r="L619" t="b">
        <v>0</v>
      </c>
      <c r="M619">
        <v>451</v>
      </c>
      <c r="N619">
        <v>49</v>
      </c>
      <c r="O619" t="s">
        <v>41</v>
      </c>
      <c r="P619" t="s">
        <v>42</v>
      </c>
      <c r="Q619" t="s">
        <v>58</v>
      </c>
      <c r="R619">
        <v>11</v>
      </c>
      <c r="S619">
        <v>4.7</v>
      </c>
      <c r="T619" t="b">
        <v>1</v>
      </c>
      <c r="U619" t="s">
        <v>30</v>
      </c>
      <c r="V619">
        <v>3282</v>
      </c>
      <c r="W619" t="s">
        <v>67</v>
      </c>
      <c r="X619" t="s">
        <v>32</v>
      </c>
      <c r="Y619" t="s">
        <v>33</v>
      </c>
    </row>
    <row r="620" spans="1:25" x14ac:dyDescent="0.35">
      <c r="A620">
        <v>5084</v>
      </c>
      <c r="B620" t="s">
        <v>333</v>
      </c>
      <c r="C620" s="1">
        <v>45224</v>
      </c>
      <c r="D620" s="1">
        <v>45618</v>
      </c>
      <c r="E620">
        <v>12</v>
      </c>
      <c r="F620">
        <v>11.99</v>
      </c>
      <c r="G620">
        <f t="shared" si="9"/>
        <v>143.88</v>
      </c>
      <c r="H620">
        <v>135</v>
      </c>
      <c r="I620" t="s">
        <v>26</v>
      </c>
      <c r="J620">
        <v>4</v>
      </c>
      <c r="K620">
        <v>6</v>
      </c>
      <c r="L620" t="b">
        <v>0</v>
      </c>
      <c r="M620">
        <v>50</v>
      </c>
      <c r="N620">
        <v>15</v>
      </c>
      <c r="O620" t="s">
        <v>41</v>
      </c>
      <c r="P620" t="s">
        <v>51</v>
      </c>
      <c r="Q620" t="s">
        <v>69</v>
      </c>
      <c r="R620">
        <v>91</v>
      </c>
      <c r="S620">
        <v>4.4000000000000004</v>
      </c>
      <c r="T620" t="b">
        <v>0</v>
      </c>
      <c r="U620" t="s">
        <v>30</v>
      </c>
      <c r="V620">
        <v>1510</v>
      </c>
      <c r="W620" t="s">
        <v>53</v>
      </c>
      <c r="X620" t="s">
        <v>70</v>
      </c>
      <c r="Y620" t="s">
        <v>33</v>
      </c>
    </row>
    <row r="621" spans="1:25" x14ac:dyDescent="0.35">
      <c r="A621">
        <v>7179</v>
      </c>
      <c r="B621" t="s">
        <v>111</v>
      </c>
      <c r="C621" s="1">
        <v>45178</v>
      </c>
      <c r="D621" s="1">
        <v>45625</v>
      </c>
      <c r="E621">
        <v>14</v>
      </c>
      <c r="F621">
        <v>11.99</v>
      </c>
      <c r="G621">
        <f t="shared" si="9"/>
        <v>167.86</v>
      </c>
      <c r="H621">
        <v>465</v>
      </c>
      <c r="I621" t="s">
        <v>64</v>
      </c>
      <c r="J621">
        <v>2</v>
      </c>
      <c r="K621">
        <v>3</v>
      </c>
      <c r="L621" t="b">
        <v>1</v>
      </c>
      <c r="M621">
        <v>987</v>
      </c>
      <c r="N621">
        <v>91</v>
      </c>
      <c r="O621" t="s">
        <v>76</v>
      </c>
      <c r="P621" t="s">
        <v>42</v>
      </c>
      <c r="Q621" t="s">
        <v>43</v>
      </c>
      <c r="R621">
        <v>8</v>
      </c>
      <c r="S621">
        <v>4.5999999999999996</v>
      </c>
      <c r="T621" t="b">
        <v>1</v>
      </c>
      <c r="U621" t="s">
        <v>30</v>
      </c>
      <c r="V621">
        <v>1206</v>
      </c>
      <c r="W621" t="s">
        <v>31</v>
      </c>
      <c r="X621" t="s">
        <v>32</v>
      </c>
      <c r="Y621" t="s">
        <v>55</v>
      </c>
    </row>
    <row r="622" spans="1:25" x14ac:dyDescent="0.35">
      <c r="A622">
        <v>1005</v>
      </c>
      <c r="B622" t="s">
        <v>197</v>
      </c>
      <c r="C622" s="1">
        <v>44978</v>
      </c>
      <c r="D622" s="1">
        <v>45636</v>
      </c>
      <c r="E622">
        <v>21</v>
      </c>
      <c r="F622">
        <v>11.99</v>
      </c>
      <c r="G622">
        <f t="shared" si="9"/>
        <v>251.79</v>
      </c>
      <c r="H622">
        <v>163</v>
      </c>
      <c r="I622" t="s">
        <v>57</v>
      </c>
      <c r="J622">
        <v>2</v>
      </c>
      <c r="K622">
        <v>1</v>
      </c>
      <c r="L622" t="b">
        <v>0</v>
      </c>
      <c r="M622">
        <v>817</v>
      </c>
      <c r="N622">
        <v>182</v>
      </c>
      <c r="O622" t="s">
        <v>50</v>
      </c>
      <c r="P622" t="s">
        <v>51</v>
      </c>
      <c r="Q622" t="s">
        <v>58</v>
      </c>
      <c r="R622">
        <v>43</v>
      </c>
      <c r="S622">
        <v>4.5999999999999996</v>
      </c>
      <c r="T622" t="b">
        <v>1</v>
      </c>
      <c r="U622" t="s">
        <v>30</v>
      </c>
      <c r="V622">
        <v>168</v>
      </c>
      <c r="W622" t="s">
        <v>59</v>
      </c>
      <c r="X622" t="s">
        <v>70</v>
      </c>
      <c r="Y622" t="s">
        <v>77</v>
      </c>
    </row>
    <row r="623" spans="1:25" x14ac:dyDescent="0.35">
      <c r="A623">
        <v>6405</v>
      </c>
      <c r="B623" t="s">
        <v>332</v>
      </c>
      <c r="C623" s="1">
        <v>45030</v>
      </c>
      <c r="D623" s="1">
        <v>45637</v>
      </c>
      <c r="E623">
        <v>19</v>
      </c>
      <c r="F623">
        <v>11.99</v>
      </c>
      <c r="G623">
        <f t="shared" si="9"/>
        <v>227.81</v>
      </c>
      <c r="H623">
        <v>321</v>
      </c>
      <c r="I623" t="s">
        <v>64</v>
      </c>
      <c r="J623">
        <v>1</v>
      </c>
      <c r="K623">
        <v>6</v>
      </c>
      <c r="L623" t="b">
        <v>1</v>
      </c>
      <c r="M623">
        <v>361</v>
      </c>
      <c r="N623">
        <v>12</v>
      </c>
      <c r="O623" t="s">
        <v>50</v>
      </c>
      <c r="P623" t="s">
        <v>66</v>
      </c>
      <c r="Q623" t="s">
        <v>36</v>
      </c>
      <c r="R623">
        <v>72</v>
      </c>
      <c r="S623">
        <v>4.9000000000000004</v>
      </c>
      <c r="T623" t="b">
        <v>1</v>
      </c>
      <c r="U623" t="s">
        <v>30</v>
      </c>
      <c r="V623">
        <v>1303</v>
      </c>
      <c r="W623" t="s">
        <v>67</v>
      </c>
      <c r="X623" t="s">
        <v>54</v>
      </c>
      <c r="Y623" t="s">
        <v>33</v>
      </c>
    </row>
    <row r="624" spans="1:25" x14ac:dyDescent="0.35">
      <c r="A624">
        <v>5215</v>
      </c>
      <c r="B624" t="s">
        <v>40</v>
      </c>
      <c r="C624" s="1">
        <v>45033</v>
      </c>
      <c r="D624" s="1">
        <v>45643</v>
      </c>
      <c r="E624">
        <v>20</v>
      </c>
      <c r="F624">
        <v>7.99</v>
      </c>
      <c r="G624">
        <f t="shared" si="9"/>
        <v>159.80000000000001</v>
      </c>
      <c r="H624">
        <v>212</v>
      </c>
      <c r="I624" t="s">
        <v>81</v>
      </c>
      <c r="J624">
        <v>5</v>
      </c>
      <c r="K624">
        <v>5</v>
      </c>
      <c r="L624" t="b">
        <v>0</v>
      </c>
      <c r="M624">
        <v>146</v>
      </c>
      <c r="N624">
        <v>147</v>
      </c>
      <c r="O624" t="s">
        <v>46</v>
      </c>
      <c r="P624" t="s">
        <v>42</v>
      </c>
      <c r="Q624" t="s">
        <v>69</v>
      </c>
      <c r="R624">
        <v>23</v>
      </c>
      <c r="S624">
        <v>3.4</v>
      </c>
      <c r="T624" t="b">
        <v>0</v>
      </c>
      <c r="U624" t="s">
        <v>30</v>
      </c>
      <c r="V624">
        <v>1365</v>
      </c>
      <c r="W624" t="s">
        <v>53</v>
      </c>
      <c r="X624" t="s">
        <v>54</v>
      </c>
      <c r="Y624" t="s">
        <v>77</v>
      </c>
    </row>
    <row r="625" spans="1:25" x14ac:dyDescent="0.35">
      <c r="A625">
        <v>7525</v>
      </c>
      <c r="B625" t="s">
        <v>202</v>
      </c>
      <c r="C625" s="1">
        <v>45469</v>
      </c>
      <c r="D625" s="1">
        <v>45644</v>
      </c>
      <c r="E625">
        <v>5</v>
      </c>
      <c r="F625">
        <v>15.99</v>
      </c>
      <c r="G625">
        <f t="shared" si="9"/>
        <v>79.95</v>
      </c>
      <c r="H625">
        <v>453</v>
      </c>
      <c r="I625" t="s">
        <v>26</v>
      </c>
      <c r="J625">
        <v>1</v>
      </c>
      <c r="K625">
        <v>4</v>
      </c>
      <c r="L625" t="b">
        <v>0</v>
      </c>
      <c r="M625">
        <v>313</v>
      </c>
      <c r="N625">
        <v>1</v>
      </c>
      <c r="O625" t="s">
        <v>65</v>
      </c>
      <c r="P625" t="s">
        <v>28</v>
      </c>
      <c r="Q625" t="s">
        <v>58</v>
      </c>
      <c r="R625">
        <v>7</v>
      </c>
      <c r="S625">
        <v>3.7</v>
      </c>
      <c r="T625" t="b">
        <v>1</v>
      </c>
      <c r="U625" t="s">
        <v>30</v>
      </c>
      <c r="V625">
        <v>1563</v>
      </c>
      <c r="W625" t="s">
        <v>53</v>
      </c>
      <c r="X625" t="s">
        <v>38</v>
      </c>
      <c r="Y625" t="s">
        <v>55</v>
      </c>
    </row>
    <row r="626" spans="1:25" x14ac:dyDescent="0.35">
      <c r="A626">
        <v>9115</v>
      </c>
      <c r="B626" t="s">
        <v>74</v>
      </c>
      <c r="C626" s="1">
        <v>45490</v>
      </c>
      <c r="D626" s="1">
        <v>45643</v>
      </c>
      <c r="E626">
        <v>5</v>
      </c>
      <c r="F626">
        <v>11.99</v>
      </c>
      <c r="G626">
        <f t="shared" si="9"/>
        <v>59.95</v>
      </c>
      <c r="H626">
        <v>34</v>
      </c>
      <c r="I626" t="s">
        <v>64</v>
      </c>
      <c r="J626">
        <v>1</v>
      </c>
      <c r="K626">
        <v>1</v>
      </c>
      <c r="L626" t="b">
        <v>0</v>
      </c>
      <c r="M626">
        <v>80</v>
      </c>
      <c r="N626">
        <v>71</v>
      </c>
      <c r="O626" t="s">
        <v>41</v>
      </c>
      <c r="P626" t="s">
        <v>51</v>
      </c>
      <c r="Q626" t="s">
        <v>36</v>
      </c>
      <c r="R626">
        <v>55</v>
      </c>
      <c r="S626">
        <v>3.6</v>
      </c>
      <c r="T626" t="b">
        <v>0</v>
      </c>
      <c r="U626" t="s">
        <v>30</v>
      </c>
      <c r="V626">
        <v>1172</v>
      </c>
      <c r="W626" t="s">
        <v>59</v>
      </c>
      <c r="X626" t="s">
        <v>62</v>
      </c>
      <c r="Y626" t="s">
        <v>33</v>
      </c>
    </row>
    <row r="627" spans="1:25" x14ac:dyDescent="0.35">
      <c r="A627">
        <v>6454</v>
      </c>
      <c r="B627" t="s">
        <v>130</v>
      </c>
      <c r="C627" s="1">
        <v>45390</v>
      </c>
      <c r="D627" s="1">
        <v>45641</v>
      </c>
      <c r="E627">
        <v>8</v>
      </c>
      <c r="F627">
        <v>15.99</v>
      </c>
      <c r="G627">
        <f t="shared" si="9"/>
        <v>127.92</v>
      </c>
      <c r="H627">
        <v>197</v>
      </c>
      <c r="I627" t="s">
        <v>64</v>
      </c>
      <c r="J627">
        <v>1</v>
      </c>
      <c r="K627">
        <v>4</v>
      </c>
      <c r="L627" t="b">
        <v>1</v>
      </c>
      <c r="M627">
        <v>860</v>
      </c>
      <c r="N627">
        <v>42</v>
      </c>
      <c r="O627" t="s">
        <v>27</v>
      </c>
      <c r="P627" t="s">
        <v>51</v>
      </c>
      <c r="Q627" t="s">
        <v>69</v>
      </c>
      <c r="R627">
        <v>97</v>
      </c>
      <c r="S627">
        <v>4</v>
      </c>
      <c r="T627" t="b">
        <v>1</v>
      </c>
      <c r="U627" t="s">
        <v>30</v>
      </c>
      <c r="V627">
        <v>1704</v>
      </c>
      <c r="W627" t="s">
        <v>67</v>
      </c>
      <c r="X627" t="s">
        <v>32</v>
      </c>
      <c r="Y627" t="s">
        <v>77</v>
      </c>
    </row>
    <row r="628" spans="1:25" x14ac:dyDescent="0.35">
      <c r="A628">
        <v>4781</v>
      </c>
      <c r="B628" t="s">
        <v>334</v>
      </c>
      <c r="C628" s="1">
        <v>45407</v>
      </c>
      <c r="D628" s="1">
        <v>45627</v>
      </c>
      <c r="E628">
        <v>7</v>
      </c>
      <c r="F628">
        <v>15.99</v>
      </c>
      <c r="G628">
        <f t="shared" si="9"/>
        <v>111.93</v>
      </c>
      <c r="H628">
        <v>361</v>
      </c>
      <c r="I628" t="s">
        <v>64</v>
      </c>
      <c r="J628">
        <v>5</v>
      </c>
      <c r="K628">
        <v>3</v>
      </c>
      <c r="L628" t="b">
        <v>1</v>
      </c>
      <c r="M628">
        <v>67</v>
      </c>
      <c r="N628">
        <v>66</v>
      </c>
      <c r="O628" t="s">
        <v>50</v>
      </c>
      <c r="P628" t="s">
        <v>28</v>
      </c>
      <c r="Q628" t="s">
        <v>36</v>
      </c>
      <c r="R628">
        <v>3</v>
      </c>
      <c r="S628">
        <v>3.7</v>
      </c>
      <c r="T628" t="b">
        <v>1</v>
      </c>
      <c r="U628" t="s">
        <v>30</v>
      </c>
      <c r="V628">
        <v>4421</v>
      </c>
      <c r="W628" t="s">
        <v>67</v>
      </c>
      <c r="X628" t="s">
        <v>70</v>
      </c>
      <c r="Y628" t="s">
        <v>39</v>
      </c>
    </row>
    <row r="629" spans="1:25" x14ac:dyDescent="0.35">
      <c r="A629">
        <v>5040</v>
      </c>
      <c r="B629" t="s">
        <v>335</v>
      </c>
      <c r="C629" s="1">
        <v>45264</v>
      </c>
      <c r="D629" s="1">
        <v>45628</v>
      </c>
      <c r="E629">
        <v>11</v>
      </c>
      <c r="F629">
        <v>11.99</v>
      </c>
      <c r="G629">
        <f t="shared" si="9"/>
        <v>131.89000000000001</v>
      </c>
      <c r="H629">
        <v>166</v>
      </c>
      <c r="I629" t="s">
        <v>45</v>
      </c>
      <c r="J629">
        <v>5</v>
      </c>
      <c r="K629">
        <v>2</v>
      </c>
      <c r="L629" t="b">
        <v>1</v>
      </c>
      <c r="M629">
        <v>178</v>
      </c>
      <c r="N629">
        <v>61</v>
      </c>
      <c r="O629" t="s">
        <v>76</v>
      </c>
      <c r="P629" t="s">
        <v>42</v>
      </c>
      <c r="Q629" t="s">
        <v>69</v>
      </c>
      <c r="R629">
        <v>30</v>
      </c>
      <c r="S629">
        <v>3.1</v>
      </c>
      <c r="T629" t="b">
        <v>0</v>
      </c>
      <c r="U629" t="s">
        <v>30</v>
      </c>
      <c r="V629">
        <v>2964</v>
      </c>
      <c r="W629" t="s">
        <v>31</v>
      </c>
      <c r="X629" t="s">
        <v>54</v>
      </c>
      <c r="Y629" t="s">
        <v>33</v>
      </c>
    </row>
    <row r="630" spans="1:25" x14ac:dyDescent="0.35">
      <c r="A630">
        <v>3209</v>
      </c>
      <c r="B630" t="s">
        <v>217</v>
      </c>
      <c r="C630" s="1">
        <v>45250</v>
      </c>
      <c r="D630" s="1">
        <v>45622</v>
      </c>
      <c r="E630">
        <v>12</v>
      </c>
      <c r="F630">
        <v>7.99</v>
      </c>
      <c r="G630">
        <f t="shared" si="9"/>
        <v>95.88</v>
      </c>
      <c r="H630">
        <v>168</v>
      </c>
      <c r="I630" t="s">
        <v>48</v>
      </c>
      <c r="J630">
        <v>3</v>
      </c>
      <c r="K630">
        <v>1</v>
      </c>
      <c r="L630" t="b">
        <v>0</v>
      </c>
      <c r="M630">
        <v>113</v>
      </c>
      <c r="N630">
        <v>85</v>
      </c>
      <c r="O630" t="s">
        <v>46</v>
      </c>
      <c r="P630" t="s">
        <v>66</v>
      </c>
      <c r="Q630" t="s">
        <v>52</v>
      </c>
      <c r="R630">
        <v>52</v>
      </c>
      <c r="S630">
        <v>4.7</v>
      </c>
      <c r="T630" t="b">
        <v>0</v>
      </c>
      <c r="U630" t="s">
        <v>30</v>
      </c>
      <c r="V630">
        <v>1094</v>
      </c>
      <c r="W630" t="s">
        <v>31</v>
      </c>
      <c r="X630" t="s">
        <v>54</v>
      </c>
      <c r="Y630" t="s">
        <v>39</v>
      </c>
    </row>
    <row r="631" spans="1:25" x14ac:dyDescent="0.35">
      <c r="A631">
        <v>8703</v>
      </c>
      <c r="B631" t="s">
        <v>167</v>
      </c>
      <c r="C631" s="1">
        <v>45479</v>
      </c>
      <c r="D631" s="1">
        <v>45618</v>
      </c>
      <c r="E631">
        <v>4</v>
      </c>
      <c r="F631">
        <v>15.99</v>
      </c>
      <c r="G631">
        <f t="shared" si="9"/>
        <v>63.96</v>
      </c>
      <c r="H631">
        <v>336</v>
      </c>
      <c r="I631" t="s">
        <v>35</v>
      </c>
      <c r="J631">
        <v>1</v>
      </c>
      <c r="K631">
        <v>4</v>
      </c>
      <c r="L631" t="b">
        <v>1</v>
      </c>
      <c r="M631">
        <v>855</v>
      </c>
      <c r="N631">
        <v>186</v>
      </c>
      <c r="O631" t="s">
        <v>41</v>
      </c>
      <c r="P631" t="s">
        <v>28</v>
      </c>
      <c r="Q631" t="s">
        <v>43</v>
      </c>
      <c r="R631">
        <v>54</v>
      </c>
      <c r="S631">
        <v>3.6</v>
      </c>
      <c r="T631" t="b">
        <v>0</v>
      </c>
      <c r="U631" t="s">
        <v>30</v>
      </c>
      <c r="V631">
        <v>3674</v>
      </c>
      <c r="W631" t="s">
        <v>67</v>
      </c>
      <c r="X631" t="s">
        <v>38</v>
      </c>
      <c r="Y631" t="s">
        <v>33</v>
      </c>
    </row>
    <row r="632" spans="1:25" x14ac:dyDescent="0.35">
      <c r="A632">
        <v>2536</v>
      </c>
      <c r="B632" t="s">
        <v>178</v>
      </c>
      <c r="C632" s="1">
        <v>45348</v>
      </c>
      <c r="D632" s="1">
        <v>45640</v>
      </c>
      <c r="E632">
        <v>9</v>
      </c>
      <c r="F632">
        <v>15.99</v>
      </c>
      <c r="G632">
        <f t="shared" si="9"/>
        <v>143.91</v>
      </c>
      <c r="H632">
        <v>212</v>
      </c>
      <c r="I632" t="s">
        <v>57</v>
      </c>
      <c r="J632">
        <v>2</v>
      </c>
      <c r="K632">
        <v>4</v>
      </c>
      <c r="L632" t="b">
        <v>0</v>
      </c>
      <c r="M632">
        <v>608</v>
      </c>
      <c r="N632">
        <v>96</v>
      </c>
      <c r="O632" t="s">
        <v>76</v>
      </c>
      <c r="P632" t="s">
        <v>66</v>
      </c>
      <c r="Q632" t="s">
        <v>43</v>
      </c>
      <c r="R632">
        <v>76</v>
      </c>
      <c r="S632">
        <v>4</v>
      </c>
      <c r="T632" t="b">
        <v>0</v>
      </c>
      <c r="U632" t="s">
        <v>30</v>
      </c>
      <c r="V632">
        <v>296</v>
      </c>
      <c r="W632" t="s">
        <v>53</v>
      </c>
      <c r="X632" t="s">
        <v>70</v>
      </c>
      <c r="Y632" t="s">
        <v>77</v>
      </c>
    </row>
    <row r="633" spans="1:25" x14ac:dyDescent="0.35">
      <c r="A633">
        <v>2057</v>
      </c>
      <c r="B633" t="s">
        <v>336</v>
      </c>
      <c r="C633" s="1">
        <v>45041</v>
      </c>
      <c r="D633" s="1">
        <v>45619</v>
      </c>
      <c r="E633">
        <v>18</v>
      </c>
      <c r="F633">
        <v>7.99</v>
      </c>
      <c r="G633">
        <f t="shared" si="9"/>
        <v>143.82</v>
      </c>
      <c r="H633">
        <v>185</v>
      </c>
      <c r="I633" t="s">
        <v>57</v>
      </c>
      <c r="J633">
        <v>3</v>
      </c>
      <c r="K633">
        <v>6</v>
      </c>
      <c r="L633" t="b">
        <v>1</v>
      </c>
      <c r="M633">
        <v>804</v>
      </c>
      <c r="N633">
        <v>49</v>
      </c>
      <c r="O633" t="s">
        <v>27</v>
      </c>
      <c r="P633" t="s">
        <v>51</v>
      </c>
      <c r="Q633" t="s">
        <v>43</v>
      </c>
      <c r="R633">
        <v>32</v>
      </c>
      <c r="S633">
        <v>4.0999999999999996</v>
      </c>
      <c r="T633" t="b">
        <v>0</v>
      </c>
      <c r="U633" t="s">
        <v>30</v>
      </c>
      <c r="V633">
        <v>4164</v>
      </c>
      <c r="W633" t="s">
        <v>31</v>
      </c>
      <c r="X633" t="s">
        <v>32</v>
      </c>
      <c r="Y633" t="s">
        <v>55</v>
      </c>
    </row>
    <row r="634" spans="1:25" x14ac:dyDescent="0.35">
      <c r="A634">
        <v>5627</v>
      </c>
      <c r="B634" t="s">
        <v>337</v>
      </c>
      <c r="C634" s="1">
        <v>45298</v>
      </c>
      <c r="D634" s="1">
        <v>45631</v>
      </c>
      <c r="E634">
        <v>10</v>
      </c>
      <c r="F634">
        <v>11.99</v>
      </c>
      <c r="G634">
        <f t="shared" si="9"/>
        <v>119.9</v>
      </c>
      <c r="H634">
        <v>124</v>
      </c>
      <c r="I634" t="s">
        <v>45</v>
      </c>
      <c r="J634">
        <v>4</v>
      </c>
      <c r="K634">
        <v>2</v>
      </c>
      <c r="L634" t="b">
        <v>1</v>
      </c>
      <c r="M634">
        <v>207</v>
      </c>
      <c r="N634">
        <v>140</v>
      </c>
      <c r="O634" t="s">
        <v>27</v>
      </c>
      <c r="P634" t="s">
        <v>66</v>
      </c>
      <c r="Q634" t="s">
        <v>29</v>
      </c>
      <c r="R634">
        <v>44</v>
      </c>
      <c r="S634">
        <v>4.8</v>
      </c>
      <c r="T634" t="b">
        <v>1</v>
      </c>
      <c r="U634" t="s">
        <v>30</v>
      </c>
      <c r="V634">
        <v>3349</v>
      </c>
      <c r="W634" t="s">
        <v>59</v>
      </c>
      <c r="X634" t="s">
        <v>62</v>
      </c>
      <c r="Y634" t="s">
        <v>39</v>
      </c>
    </row>
    <row r="635" spans="1:25" x14ac:dyDescent="0.35">
      <c r="A635">
        <v>4763</v>
      </c>
      <c r="B635" t="s">
        <v>174</v>
      </c>
      <c r="C635" s="1">
        <v>45334</v>
      </c>
      <c r="D635" s="1">
        <v>45631</v>
      </c>
      <c r="E635">
        <v>9</v>
      </c>
      <c r="F635">
        <v>15.99</v>
      </c>
      <c r="G635">
        <f t="shared" si="9"/>
        <v>143.91</v>
      </c>
      <c r="H635">
        <v>256</v>
      </c>
      <c r="I635" t="s">
        <v>26</v>
      </c>
      <c r="J635">
        <v>1</v>
      </c>
      <c r="K635">
        <v>1</v>
      </c>
      <c r="L635" t="b">
        <v>0</v>
      </c>
      <c r="M635">
        <v>118</v>
      </c>
      <c r="N635">
        <v>104</v>
      </c>
      <c r="O635" t="s">
        <v>61</v>
      </c>
      <c r="P635" t="s">
        <v>42</v>
      </c>
      <c r="Q635" t="s">
        <v>43</v>
      </c>
      <c r="R635">
        <v>8</v>
      </c>
      <c r="S635">
        <v>3.5</v>
      </c>
      <c r="T635" t="b">
        <v>0</v>
      </c>
      <c r="U635" t="s">
        <v>30</v>
      </c>
      <c r="V635">
        <v>2830</v>
      </c>
      <c r="W635" t="s">
        <v>37</v>
      </c>
      <c r="X635" t="s">
        <v>62</v>
      </c>
      <c r="Y635" t="s">
        <v>39</v>
      </c>
    </row>
    <row r="636" spans="1:25" x14ac:dyDescent="0.35">
      <c r="A636">
        <v>4577</v>
      </c>
      <c r="B636" t="s">
        <v>129</v>
      </c>
      <c r="C636" s="1">
        <v>45465</v>
      </c>
      <c r="D636" s="1">
        <v>45637</v>
      </c>
      <c r="E636">
        <v>5</v>
      </c>
      <c r="F636">
        <v>11.99</v>
      </c>
      <c r="G636">
        <f t="shared" si="9"/>
        <v>59.95</v>
      </c>
      <c r="H636">
        <v>58</v>
      </c>
      <c r="I636" t="s">
        <v>64</v>
      </c>
      <c r="J636">
        <v>1</v>
      </c>
      <c r="K636">
        <v>6</v>
      </c>
      <c r="L636" t="b">
        <v>0</v>
      </c>
      <c r="M636">
        <v>983</v>
      </c>
      <c r="N636">
        <v>8</v>
      </c>
      <c r="O636" t="s">
        <v>46</v>
      </c>
      <c r="P636" t="s">
        <v>51</v>
      </c>
      <c r="Q636" t="s">
        <v>58</v>
      </c>
      <c r="R636">
        <v>75</v>
      </c>
      <c r="S636">
        <v>4.3</v>
      </c>
      <c r="T636" t="b">
        <v>1</v>
      </c>
      <c r="U636" t="s">
        <v>30</v>
      </c>
      <c r="V636">
        <v>2409</v>
      </c>
      <c r="W636" t="s">
        <v>67</v>
      </c>
      <c r="X636" t="s">
        <v>70</v>
      </c>
      <c r="Y636" t="s">
        <v>77</v>
      </c>
    </row>
    <row r="637" spans="1:25" x14ac:dyDescent="0.35">
      <c r="A637">
        <v>5216</v>
      </c>
      <c r="B637" t="s">
        <v>229</v>
      </c>
      <c r="C637" s="1">
        <v>45557</v>
      </c>
      <c r="D637" s="1">
        <v>45617</v>
      </c>
      <c r="E637">
        <v>1</v>
      </c>
      <c r="F637">
        <v>15.99</v>
      </c>
      <c r="G637">
        <f t="shared" si="9"/>
        <v>15.99</v>
      </c>
      <c r="H637">
        <v>135</v>
      </c>
      <c r="I637" t="s">
        <v>64</v>
      </c>
      <c r="J637">
        <v>3</v>
      </c>
      <c r="K637">
        <v>2</v>
      </c>
      <c r="L637" t="b">
        <v>0</v>
      </c>
      <c r="M637">
        <v>523</v>
      </c>
      <c r="N637">
        <v>159</v>
      </c>
      <c r="O637" t="s">
        <v>27</v>
      </c>
      <c r="P637" t="s">
        <v>42</v>
      </c>
      <c r="Q637" t="s">
        <v>29</v>
      </c>
      <c r="R637">
        <v>11</v>
      </c>
      <c r="S637">
        <v>4.8</v>
      </c>
      <c r="T637" t="b">
        <v>1</v>
      </c>
      <c r="U637" t="s">
        <v>30</v>
      </c>
      <c r="V637">
        <v>2872</v>
      </c>
      <c r="W637" t="s">
        <v>59</v>
      </c>
      <c r="X637" t="s">
        <v>38</v>
      </c>
      <c r="Y637" t="s">
        <v>33</v>
      </c>
    </row>
    <row r="638" spans="1:25" x14ac:dyDescent="0.35">
      <c r="A638">
        <v>3941</v>
      </c>
      <c r="B638" t="s">
        <v>338</v>
      </c>
      <c r="C638" s="1">
        <v>45551</v>
      </c>
      <c r="D638" s="1">
        <v>45625</v>
      </c>
      <c r="E638">
        <v>2</v>
      </c>
      <c r="F638">
        <v>11.99</v>
      </c>
      <c r="G638">
        <f t="shared" si="9"/>
        <v>23.98</v>
      </c>
      <c r="H638">
        <v>163</v>
      </c>
      <c r="I638" t="s">
        <v>81</v>
      </c>
      <c r="J638">
        <v>5</v>
      </c>
      <c r="K638">
        <v>2</v>
      </c>
      <c r="L638" t="b">
        <v>0</v>
      </c>
      <c r="M638">
        <v>786</v>
      </c>
      <c r="N638">
        <v>94</v>
      </c>
      <c r="O638" t="s">
        <v>46</v>
      </c>
      <c r="P638" t="s">
        <v>66</v>
      </c>
      <c r="Q638" t="s">
        <v>43</v>
      </c>
      <c r="R638">
        <v>18</v>
      </c>
      <c r="S638">
        <v>4.5999999999999996</v>
      </c>
      <c r="T638" t="b">
        <v>1</v>
      </c>
      <c r="U638" t="s">
        <v>30</v>
      </c>
      <c r="V638">
        <v>1364</v>
      </c>
      <c r="W638" t="s">
        <v>59</v>
      </c>
      <c r="X638" t="s">
        <v>38</v>
      </c>
      <c r="Y638" t="s">
        <v>39</v>
      </c>
    </row>
    <row r="639" spans="1:25" x14ac:dyDescent="0.35">
      <c r="A639">
        <v>4396</v>
      </c>
      <c r="B639" t="s">
        <v>153</v>
      </c>
      <c r="C639" s="1">
        <v>44928</v>
      </c>
      <c r="D639" s="1">
        <v>45643</v>
      </c>
      <c r="E639">
        <v>23</v>
      </c>
      <c r="F639">
        <v>15.99</v>
      </c>
      <c r="G639">
        <f t="shared" si="9"/>
        <v>367.77</v>
      </c>
      <c r="H639">
        <v>120</v>
      </c>
      <c r="I639" t="s">
        <v>35</v>
      </c>
      <c r="J639">
        <v>2</v>
      </c>
      <c r="K639">
        <v>3</v>
      </c>
      <c r="L639" t="b">
        <v>0</v>
      </c>
      <c r="M639">
        <v>781</v>
      </c>
      <c r="N639">
        <v>97</v>
      </c>
      <c r="O639" t="s">
        <v>41</v>
      </c>
      <c r="P639" t="s">
        <v>51</v>
      </c>
      <c r="Q639" t="s">
        <v>58</v>
      </c>
      <c r="R639">
        <v>46</v>
      </c>
      <c r="S639">
        <v>3.3</v>
      </c>
      <c r="T639" t="b">
        <v>1</v>
      </c>
      <c r="U639" t="s">
        <v>30</v>
      </c>
      <c r="V639">
        <v>473</v>
      </c>
      <c r="W639" t="s">
        <v>53</v>
      </c>
      <c r="X639" t="s">
        <v>54</v>
      </c>
      <c r="Y639" t="s">
        <v>39</v>
      </c>
    </row>
    <row r="640" spans="1:25" x14ac:dyDescent="0.35">
      <c r="A640">
        <v>4865</v>
      </c>
      <c r="B640" t="s">
        <v>80</v>
      </c>
      <c r="C640" s="1">
        <v>45280</v>
      </c>
      <c r="D640" s="1">
        <v>45624</v>
      </c>
      <c r="E640">
        <v>11</v>
      </c>
      <c r="F640">
        <v>7.99</v>
      </c>
      <c r="G640">
        <f t="shared" si="9"/>
        <v>87.89</v>
      </c>
      <c r="H640">
        <v>439</v>
      </c>
      <c r="I640" t="s">
        <v>45</v>
      </c>
      <c r="J640">
        <v>1</v>
      </c>
      <c r="K640">
        <v>5</v>
      </c>
      <c r="L640" t="b">
        <v>1</v>
      </c>
      <c r="M640">
        <v>434</v>
      </c>
      <c r="N640">
        <v>104</v>
      </c>
      <c r="O640" t="s">
        <v>76</v>
      </c>
      <c r="P640" t="s">
        <v>28</v>
      </c>
      <c r="Q640" t="s">
        <v>29</v>
      </c>
      <c r="R640">
        <v>36</v>
      </c>
      <c r="S640">
        <v>4.5</v>
      </c>
      <c r="T640" t="b">
        <v>1</v>
      </c>
      <c r="U640" t="s">
        <v>30</v>
      </c>
      <c r="V640">
        <v>4883</v>
      </c>
      <c r="W640" t="s">
        <v>31</v>
      </c>
      <c r="X640" t="s">
        <v>70</v>
      </c>
      <c r="Y640" t="s">
        <v>55</v>
      </c>
    </row>
    <row r="641" spans="1:25" x14ac:dyDescent="0.35">
      <c r="A641">
        <v>2497</v>
      </c>
      <c r="B641" t="s">
        <v>237</v>
      </c>
      <c r="C641" s="1">
        <v>45135</v>
      </c>
      <c r="D641" s="1">
        <v>45626</v>
      </c>
      <c r="E641">
        <v>16</v>
      </c>
      <c r="F641">
        <v>7.99</v>
      </c>
      <c r="G641">
        <f t="shared" si="9"/>
        <v>127.84</v>
      </c>
      <c r="H641">
        <v>223</v>
      </c>
      <c r="I641" t="s">
        <v>48</v>
      </c>
      <c r="J641">
        <v>1</v>
      </c>
      <c r="K641">
        <v>4</v>
      </c>
      <c r="L641" t="b">
        <v>0</v>
      </c>
      <c r="M641">
        <v>824</v>
      </c>
      <c r="N641">
        <v>125</v>
      </c>
      <c r="O641" t="s">
        <v>46</v>
      </c>
      <c r="P641" t="s">
        <v>51</v>
      </c>
      <c r="Q641" t="s">
        <v>29</v>
      </c>
      <c r="R641">
        <v>56</v>
      </c>
      <c r="S641">
        <v>4.5</v>
      </c>
      <c r="T641" t="b">
        <v>1</v>
      </c>
      <c r="U641" t="s">
        <v>30</v>
      </c>
      <c r="V641">
        <v>99</v>
      </c>
      <c r="W641" t="s">
        <v>53</v>
      </c>
      <c r="X641" t="s">
        <v>54</v>
      </c>
      <c r="Y641" t="s">
        <v>39</v>
      </c>
    </row>
    <row r="642" spans="1:25" x14ac:dyDescent="0.35">
      <c r="A642">
        <v>4945</v>
      </c>
      <c r="B642" t="s">
        <v>200</v>
      </c>
      <c r="C642" s="1">
        <v>45416</v>
      </c>
      <c r="D642" s="1">
        <v>45618</v>
      </c>
      <c r="E642">
        <v>6</v>
      </c>
      <c r="F642">
        <v>11.99</v>
      </c>
      <c r="G642">
        <f t="shared" si="9"/>
        <v>71.94</v>
      </c>
      <c r="H642">
        <v>485</v>
      </c>
      <c r="I642" t="s">
        <v>81</v>
      </c>
      <c r="J642">
        <v>1</v>
      </c>
      <c r="K642">
        <v>1</v>
      </c>
      <c r="L642" t="b">
        <v>1</v>
      </c>
      <c r="M642">
        <v>230</v>
      </c>
      <c r="N642">
        <v>21</v>
      </c>
      <c r="O642" t="s">
        <v>41</v>
      </c>
      <c r="P642" t="s">
        <v>28</v>
      </c>
      <c r="Q642" t="s">
        <v>52</v>
      </c>
      <c r="R642">
        <v>83</v>
      </c>
      <c r="S642">
        <v>4.0999999999999996</v>
      </c>
      <c r="T642" t="b">
        <v>0</v>
      </c>
      <c r="U642" t="s">
        <v>30</v>
      </c>
      <c r="V642">
        <v>2284</v>
      </c>
      <c r="W642" t="s">
        <v>31</v>
      </c>
      <c r="X642" t="s">
        <v>62</v>
      </c>
      <c r="Y642" t="s">
        <v>77</v>
      </c>
    </row>
    <row r="643" spans="1:25" x14ac:dyDescent="0.35">
      <c r="A643">
        <v>5227</v>
      </c>
      <c r="B643" t="s">
        <v>339</v>
      </c>
      <c r="C643" s="1">
        <v>45337</v>
      </c>
      <c r="D643" s="1">
        <v>45632</v>
      </c>
      <c r="E643">
        <v>9</v>
      </c>
      <c r="F643">
        <v>7.99</v>
      </c>
      <c r="G643">
        <f t="shared" ref="G643:G706" si="10">F643*E643</f>
        <v>71.91</v>
      </c>
      <c r="H643">
        <v>474</v>
      </c>
      <c r="I643" t="s">
        <v>35</v>
      </c>
      <c r="J643">
        <v>3</v>
      </c>
      <c r="K643">
        <v>6</v>
      </c>
      <c r="L643" t="b">
        <v>1</v>
      </c>
      <c r="M643">
        <v>358</v>
      </c>
      <c r="N643">
        <v>147</v>
      </c>
      <c r="O643" t="s">
        <v>27</v>
      </c>
      <c r="P643" t="s">
        <v>66</v>
      </c>
      <c r="Q643" t="s">
        <v>29</v>
      </c>
      <c r="R643">
        <v>44</v>
      </c>
      <c r="S643">
        <v>3.9</v>
      </c>
      <c r="T643" t="b">
        <v>1</v>
      </c>
      <c r="U643" t="s">
        <v>30</v>
      </c>
      <c r="V643">
        <v>3505</v>
      </c>
      <c r="W643" t="s">
        <v>67</v>
      </c>
      <c r="X643" t="s">
        <v>38</v>
      </c>
      <c r="Y643" t="s">
        <v>55</v>
      </c>
    </row>
    <row r="644" spans="1:25" x14ac:dyDescent="0.35">
      <c r="A644">
        <v>2150</v>
      </c>
      <c r="B644" t="s">
        <v>199</v>
      </c>
      <c r="C644" s="1">
        <v>45394</v>
      </c>
      <c r="D644" s="1">
        <v>45635</v>
      </c>
      <c r="E644">
        <v>7</v>
      </c>
      <c r="F644">
        <v>11.99</v>
      </c>
      <c r="G644">
        <f t="shared" si="10"/>
        <v>83.93</v>
      </c>
      <c r="H644">
        <v>259</v>
      </c>
      <c r="I644" t="s">
        <v>57</v>
      </c>
      <c r="J644">
        <v>2</v>
      </c>
      <c r="K644">
        <v>1</v>
      </c>
      <c r="L644" t="b">
        <v>0</v>
      </c>
      <c r="M644">
        <v>380</v>
      </c>
      <c r="N644">
        <v>9</v>
      </c>
      <c r="O644" t="s">
        <v>27</v>
      </c>
      <c r="P644" t="s">
        <v>66</v>
      </c>
      <c r="Q644" t="s">
        <v>43</v>
      </c>
      <c r="R644">
        <v>49</v>
      </c>
      <c r="S644">
        <v>3.2</v>
      </c>
      <c r="T644" t="b">
        <v>0</v>
      </c>
      <c r="U644" t="s">
        <v>30</v>
      </c>
      <c r="V644">
        <v>412</v>
      </c>
      <c r="W644" t="s">
        <v>31</v>
      </c>
      <c r="X644" t="s">
        <v>70</v>
      </c>
      <c r="Y644" t="s">
        <v>39</v>
      </c>
    </row>
    <row r="645" spans="1:25" x14ac:dyDescent="0.35">
      <c r="A645">
        <v>7145</v>
      </c>
      <c r="B645" t="s">
        <v>340</v>
      </c>
      <c r="C645" s="1">
        <v>45593</v>
      </c>
      <c r="D645" s="1">
        <v>45618</v>
      </c>
      <c r="E645">
        <v>0</v>
      </c>
      <c r="F645">
        <v>7.99</v>
      </c>
      <c r="G645">
        <f t="shared" si="10"/>
        <v>0</v>
      </c>
      <c r="H645">
        <v>53</v>
      </c>
      <c r="I645" t="s">
        <v>35</v>
      </c>
      <c r="J645">
        <v>2</v>
      </c>
      <c r="K645">
        <v>1</v>
      </c>
      <c r="L645" t="b">
        <v>0</v>
      </c>
      <c r="M645">
        <v>647</v>
      </c>
      <c r="N645">
        <v>165</v>
      </c>
      <c r="O645" t="s">
        <v>27</v>
      </c>
      <c r="P645" t="s">
        <v>28</v>
      </c>
      <c r="Q645" t="s">
        <v>52</v>
      </c>
      <c r="R645">
        <v>88</v>
      </c>
      <c r="S645">
        <v>4</v>
      </c>
      <c r="T645" t="b">
        <v>0</v>
      </c>
      <c r="U645" t="s">
        <v>30</v>
      </c>
      <c r="V645">
        <v>4867</v>
      </c>
      <c r="W645" t="s">
        <v>67</v>
      </c>
      <c r="X645" t="s">
        <v>62</v>
      </c>
      <c r="Y645" t="s">
        <v>33</v>
      </c>
    </row>
    <row r="646" spans="1:25" x14ac:dyDescent="0.35">
      <c r="A646">
        <v>2040</v>
      </c>
      <c r="B646" t="s">
        <v>341</v>
      </c>
      <c r="C646" s="1">
        <v>45576</v>
      </c>
      <c r="D646" s="1">
        <v>45626</v>
      </c>
      <c r="E646">
        <v>1</v>
      </c>
      <c r="F646">
        <v>7.99</v>
      </c>
      <c r="G646">
        <f t="shared" si="10"/>
        <v>7.99</v>
      </c>
      <c r="H646">
        <v>221</v>
      </c>
      <c r="I646" t="s">
        <v>57</v>
      </c>
      <c r="J646">
        <v>1</v>
      </c>
      <c r="K646">
        <v>3</v>
      </c>
      <c r="L646" t="b">
        <v>1</v>
      </c>
      <c r="M646">
        <v>518</v>
      </c>
      <c r="N646">
        <v>157</v>
      </c>
      <c r="O646" t="s">
        <v>61</v>
      </c>
      <c r="P646" t="s">
        <v>66</v>
      </c>
      <c r="Q646" t="s">
        <v>58</v>
      </c>
      <c r="R646">
        <v>4</v>
      </c>
      <c r="S646">
        <v>3.7</v>
      </c>
      <c r="T646" t="b">
        <v>1</v>
      </c>
      <c r="U646" t="s">
        <v>30</v>
      </c>
      <c r="V646">
        <v>2560</v>
      </c>
      <c r="W646" t="s">
        <v>59</v>
      </c>
      <c r="X646" t="s">
        <v>54</v>
      </c>
      <c r="Y646" t="s">
        <v>33</v>
      </c>
    </row>
    <row r="647" spans="1:25" x14ac:dyDescent="0.35">
      <c r="A647">
        <v>4191</v>
      </c>
      <c r="B647" t="s">
        <v>176</v>
      </c>
      <c r="C647" s="1">
        <v>45035</v>
      </c>
      <c r="D647" s="1">
        <v>45629</v>
      </c>
      <c r="E647">
        <v>19</v>
      </c>
      <c r="F647">
        <v>7.99</v>
      </c>
      <c r="G647">
        <f t="shared" si="10"/>
        <v>151.81</v>
      </c>
      <c r="H647">
        <v>46</v>
      </c>
      <c r="I647" t="s">
        <v>57</v>
      </c>
      <c r="J647">
        <v>2</v>
      </c>
      <c r="K647">
        <v>4</v>
      </c>
      <c r="L647" t="b">
        <v>0</v>
      </c>
      <c r="M647">
        <v>33</v>
      </c>
      <c r="N647">
        <v>120</v>
      </c>
      <c r="O647" t="s">
        <v>65</v>
      </c>
      <c r="P647" t="s">
        <v>66</v>
      </c>
      <c r="Q647" t="s">
        <v>29</v>
      </c>
      <c r="R647">
        <v>77</v>
      </c>
      <c r="S647">
        <v>3.9</v>
      </c>
      <c r="T647" t="b">
        <v>1</v>
      </c>
      <c r="U647" t="s">
        <v>30</v>
      </c>
      <c r="V647">
        <v>4269</v>
      </c>
      <c r="W647" t="s">
        <v>67</v>
      </c>
      <c r="X647" t="s">
        <v>32</v>
      </c>
      <c r="Y647" t="s">
        <v>39</v>
      </c>
    </row>
    <row r="648" spans="1:25" x14ac:dyDescent="0.35">
      <c r="A648">
        <v>4336</v>
      </c>
      <c r="B648" t="s">
        <v>74</v>
      </c>
      <c r="C648" s="1">
        <v>45140</v>
      </c>
      <c r="D648" s="1">
        <v>45637</v>
      </c>
      <c r="E648">
        <v>16</v>
      </c>
      <c r="F648">
        <v>15.99</v>
      </c>
      <c r="G648">
        <f t="shared" si="10"/>
        <v>255.84</v>
      </c>
      <c r="H648">
        <v>253</v>
      </c>
      <c r="I648" t="s">
        <v>48</v>
      </c>
      <c r="J648">
        <v>4</v>
      </c>
      <c r="K648">
        <v>2</v>
      </c>
      <c r="L648" t="b">
        <v>0</v>
      </c>
      <c r="M648">
        <v>660</v>
      </c>
      <c r="N648">
        <v>151</v>
      </c>
      <c r="O648" t="s">
        <v>46</v>
      </c>
      <c r="P648" t="s">
        <v>66</v>
      </c>
      <c r="Q648" t="s">
        <v>29</v>
      </c>
      <c r="R648">
        <v>43</v>
      </c>
      <c r="S648">
        <v>3.4</v>
      </c>
      <c r="T648" t="b">
        <v>1</v>
      </c>
      <c r="U648" t="s">
        <v>30</v>
      </c>
      <c r="V648">
        <v>1317</v>
      </c>
      <c r="W648" t="s">
        <v>31</v>
      </c>
      <c r="X648" t="s">
        <v>54</v>
      </c>
      <c r="Y648" t="s">
        <v>33</v>
      </c>
    </row>
    <row r="649" spans="1:25" x14ac:dyDescent="0.35">
      <c r="A649">
        <v>5438</v>
      </c>
      <c r="B649" t="s">
        <v>252</v>
      </c>
      <c r="C649" s="1">
        <v>45205</v>
      </c>
      <c r="D649" s="1">
        <v>45626</v>
      </c>
      <c r="E649">
        <v>13</v>
      </c>
      <c r="F649">
        <v>11.99</v>
      </c>
      <c r="G649">
        <f t="shared" si="10"/>
        <v>155.87</v>
      </c>
      <c r="H649">
        <v>478</v>
      </c>
      <c r="I649" t="s">
        <v>35</v>
      </c>
      <c r="J649">
        <v>1</v>
      </c>
      <c r="K649">
        <v>6</v>
      </c>
      <c r="L649" t="b">
        <v>1</v>
      </c>
      <c r="M649">
        <v>517</v>
      </c>
      <c r="N649">
        <v>200</v>
      </c>
      <c r="O649" t="s">
        <v>76</v>
      </c>
      <c r="P649" t="s">
        <v>42</v>
      </c>
      <c r="Q649" t="s">
        <v>29</v>
      </c>
      <c r="R649">
        <v>41</v>
      </c>
      <c r="S649">
        <v>4.8</v>
      </c>
      <c r="T649" t="b">
        <v>0</v>
      </c>
      <c r="U649" t="s">
        <v>30</v>
      </c>
      <c r="V649">
        <v>2936</v>
      </c>
      <c r="W649" t="s">
        <v>53</v>
      </c>
      <c r="X649" t="s">
        <v>62</v>
      </c>
      <c r="Y649" t="s">
        <v>33</v>
      </c>
    </row>
    <row r="650" spans="1:25" x14ac:dyDescent="0.35">
      <c r="A650">
        <v>9857</v>
      </c>
      <c r="B650" t="s">
        <v>161</v>
      </c>
      <c r="C650" s="1">
        <v>45195</v>
      </c>
      <c r="D650" s="1">
        <v>45628</v>
      </c>
      <c r="E650">
        <v>14</v>
      </c>
      <c r="F650">
        <v>7.99</v>
      </c>
      <c r="G650">
        <f t="shared" si="10"/>
        <v>111.86</v>
      </c>
      <c r="H650">
        <v>145</v>
      </c>
      <c r="I650" t="s">
        <v>26</v>
      </c>
      <c r="J650">
        <v>2</v>
      </c>
      <c r="K650">
        <v>5</v>
      </c>
      <c r="L650" t="b">
        <v>0</v>
      </c>
      <c r="M650">
        <v>882</v>
      </c>
      <c r="N650">
        <v>23</v>
      </c>
      <c r="O650" t="s">
        <v>65</v>
      </c>
      <c r="P650" t="s">
        <v>66</v>
      </c>
      <c r="Q650" t="s">
        <v>69</v>
      </c>
      <c r="R650">
        <v>79</v>
      </c>
      <c r="S650">
        <v>5</v>
      </c>
      <c r="T650" t="b">
        <v>1</v>
      </c>
      <c r="U650" t="s">
        <v>30</v>
      </c>
      <c r="V650">
        <v>905</v>
      </c>
      <c r="W650" t="s">
        <v>53</v>
      </c>
      <c r="X650" t="s">
        <v>62</v>
      </c>
      <c r="Y650" t="s">
        <v>55</v>
      </c>
    </row>
    <row r="651" spans="1:25" x14ac:dyDescent="0.35">
      <c r="A651">
        <v>4767</v>
      </c>
      <c r="B651" t="s">
        <v>80</v>
      </c>
      <c r="C651" s="1">
        <v>45279</v>
      </c>
      <c r="D651" s="1">
        <v>45620</v>
      </c>
      <c r="E651">
        <v>11</v>
      </c>
      <c r="F651">
        <v>15.99</v>
      </c>
      <c r="G651">
        <f t="shared" si="10"/>
        <v>175.89000000000001</v>
      </c>
      <c r="H651">
        <v>366</v>
      </c>
      <c r="I651" t="s">
        <v>48</v>
      </c>
      <c r="J651">
        <v>1</v>
      </c>
      <c r="K651">
        <v>3</v>
      </c>
      <c r="L651" t="b">
        <v>1</v>
      </c>
      <c r="M651">
        <v>349</v>
      </c>
      <c r="N651">
        <v>50</v>
      </c>
      <c r="O651" t="s">
        <v>61</v>
      </c>
      <c r="P651" t="s">
        <v>66</v>
      </c>
      <c r="Q651" t="s">
        <v>69</v>
      </c>
      <c r="R651">
        <v>21</v>
      </c>
      <c r="S651">
        <v>5</v>
      </c>
      <c r="T651" t="b">
        <v>1</v>
      </c>
      <c r="U651" t="s">
        <v>30</v>
      </c>
      <c r="V651">
        <v>4513</v>
      </c>
      <c r="W651" t="s">
        <v>31</v>
      </c>
      <c r="X651" t="s">
        <v>38</v>
      </c>
      <c r="Y651" t="s">
        <v>33</v>
      </c>
    </row>
    <row r="652" spans="1:25" x14ac:dyDescent="0.35">
      <c r="A652">
        <v>9374</v>
      </c>
      <c r="B652" t="s">
        <v>148</v>
      </c>
      <c r="C652" s="1">
        <v>45643</v>
      </c>
      <c r="D652" s="1">
        <v>45627</v>
      </c>
      <c r="E652">
        <v>0</v>
      </c>
      <c r="F652">
        <v>15.99</v>
      </c>
      <c r="G652">
        <f t="shared" si="10"/>
        <v>0</v>
      </c>
      <c r="H652">
        <v>301</v>
      </c>
      <c r="I652" t="s">
        <v>26</v>
      </c>
      <c r="J652">
        <v>4</v>
      </c>
      <c r="K652">
        <v>6</v>
      </c>
      <c r="L652" t="b">
        <v>0</v>
      </c>
      <c r="M652">
        <v>619</v>
      </c>
      <c r="N652">
        <v>172</v>
      </c>
      <c r="O652" t="s">
        <v>27</v>
      </c>
      <c r="P652" t="s">
        <v>42</v>
      </c>
      <c r="Q652" t="s">
        <v>58</v>
      </c>
      <c r="R652">
        <v>37</v>
      </c>
      <c r="S652">
        <v>4.2</v>
      </c>
      <c r="T652" t="b">
        <v>1</v>
      </c>
      <c r="U652" t="s">
        <v>30</v>
      </c>
      <c r="V652">
        <v>1153</v>
      </c>
      <c r="W652" t="s">
        <v>67</v>
      </c>
      <c r="X652" t="s">
        <v>62</v>
      </c>
      <c r="Y652" t="s">
        <v>39</v>
      </c>
    </row>
    <row r="653" spans="1:25" x14ac:dyDescent="0.35">
      <c r="A653">
        <v>3918</v>
      </c>
      <c r="B653" t="s">
        <v>74</v>
      </c>
      <c r="C653" s="1">
        <v>45216</v>
      </c>
      <c r="D653" s="1">
        <v>45624</v>
      </c>
      <c r="E653">
        <v>13</v>
      </c>
      <c r="F653">
        <v>7.99</v>
      </c>
      <c r="G653">
        <f t="shared" si="10"/>
        <v>103.87</v>
      </c>
      <c r="H653">
        <v>26</v>
      </c>
      <c r="I653" t="s">
        <v>26</v>
      </c>
      <c r="J653">
        <v>4</v>
      </c>
      <c r="K653">
        <v>5</v>
      </c>
      <c r="L653" t="b">
        <v>0</v>
      </c>
      <c r="M653">
        <v>416</v>
      </c>
      <c r="N653">
        <v>146</v>
      </c>
      <c r="O653" t="s">
        <v>46</v>
      </c>
      <c r="P653" t="s">
        <v>42</v>
      </c>
      <c r="Q653" t="s">
        <v>43</v>
      </c>
      <c r="R653">
        <v>41</v>
      </c>
      <c r="S653">
        <v>3.5</v>
      </c>
      <c r="T653" t="b">
        <v>1</v>
      </c>
      <c r="U653" t="s">
        <v>30</v>
      </c>
      <c r="V653">
        <v>1506</v>
      </c>
      <c r="W653" t="s">
        <v>53</v>
      </c>
      <c r="X653" t="s">
        <v>32</v>
      </c>
      <c r="Y653" t="s">
        <v>39</v>
      </c>
    </row>
    <row r="654" spans="1:25" x14ac:dyDescent="0.35">
      <c r="A654">
        <v>9866</v>
      </c>
      <c r="B654" t="s">
        <v>101</v>
      </c>
      <c r="C654" s="1">
        <v>45485</v>
      </c>
      <c r="D654" s="1">
        <v>45643</v>
      </c>
      <c r="E654">
        <v>5</v>
      </c>
      <c r="F654">
        <v>11.99</v>
      </c>
      <c r="G654">
        <f t="shared" si="10"/>
        <v>59.95</v>
      </c>
      <c r="H654">
        <v>208</v>
      </c>
      <c r="I654" t="s">
        <v>35</v>
      </c>
      <c r="J654">
        <v>1</v>
      </c>
      <c r="K654">
        <v>1</v>
      </c>
      <c r="L654" t="b">
        <v>0</v>
      </c>
      <c r="M654">
        <v>466</v>
      </c>
      <c r="N654">
        <v>174</v>
      </c>
      <c r="O654" t="s">
        <v>27</v>
      </c>
      <c r="P654" t="s">
        <v>51</v>
      </c>
      <c r="Q654" t="s">
        <v>58</v>
      </c>
      <c r="R654">
        <v>51</v>
      </c>
      <c r="S654">
        <v>4</v>
      </c>
      <c r="T654" t="b">
        <v>1</v>
      </c>
      <c r="U654" t="s">
        <v>30</v>
      </c>
      <c r="V654">
        <v>3817</v>
      </c>
      <c r="W654" t="s">
        <v>31</v>
      </c>
      <c r="X654" t="s">
        <v>32</v>
      </c>
      <c r="Y654" t="s">
        <v>39</v>
      </c>
    </row>
    <row r="655" spans="1:25" x14ac:dyDescent="0.35">
      <c r="A655">
        <v>6389</v>
      </c>
      <c r="B655" t="s">
        <v>306</v>
      </c>
      <c r="C655" s="1">
        <v>44918</v>
      </c>
      <c r="D655" s="1">
        <v>45644</v>
      </c>
      <c r="E655">
        <v>23</v>
      </c>
      <c r="F655">
        <v>11.99</v>
      </c>
      <c r="G655">
        <f t="shared" si="10"/>
        <v>275.77</v>
      </c>
      <c r="H655">
        <v>109</v>
      </c>
      <c r="I655" t="s">
        <v>48</v>
      </c>
      <c r="J655">
        <v>2</v>
      </c>
      <c r="K655">
        <v>3</v>
      </c>
      <c r="L655" t="b">
        <v>0</v>
      </c>
      <c r="M655">
        <v>701</v>
      </c>
      <c r="N655">
        <v>4</v>
      </c>
      <c r="O655" t="s">
        <v>41</v>
      </c>
      <c r="P655" t="s">
        <v>28</v>
      </c>
      <c r="Q655" t="s">
        <v>29</v>
      </c>
      <c r="R655">
        <v>64</v>
      </c>
      <c r="S655">
        <v>3.5</v>
      </c>
      <c r="T655" t="b">
        <v>0</v>
      </c>
      <c r="U655" t="s">
        <v>30</v>
      </c>
      <c r="V655">
        <v>4662</v>
      </c>
      <c r="W655" t="s">
        <v>59</v>
      </c>
      <c r="X655" t="s">
        <v>32</v>
      </c>
      <c r="Y655" t="s">
        <v>77</v>
      </c>
    </row>
    <row r="656" spans="1:25" x14ac:dyDescent="0.35">
      <c r="A656">
        <v>8733</v>
      </c>
      <c r="B656" t="s">
        <v>191</v>
      </c>
      <c r="C656" s="1">
        <v>45449</v>
      </c>
      <c r="D656" s="1">
        <v>45642</v>
      </c>
      <c r="E656">
        <v>6</v>
      </c>
      <c r="F656">
        <v>15.99</v>
      </c>
      <c r="G656">
        <f t="shared" si="10"/>
        <v>95.94</v>
      </c>
      <c r="H656">
        <v>451</v>
      </c>
      <c r="I656" t="s">
        <v>57</v>
      </c>
      <c r="J656">
        <v>4</v>
      </c>
      <c r="K656">
        <v>4</v>
      </c>
      <c r="L656" t="b">
        <v>1</v>
      </c>
      <c r="M656">
        <v>742</v>
      </c>
      <c r="N656">
        <v>140</v>
      </c>
      <c r="O656" t="s">
        <v>61</v>
      </c>
      <c r="P656" t="s">
        <v>42</v>
      </c>
      <c r="Q656" t="s">
        <v>58</v>
      </c>
      <c r="R656">
        <v>37</v>
      </c>
      <c r="S656">
        <v>4.0999999999999996</v>
      </c>
      <c r="T656" t="b">
        <v>1</v>
      </c>
      <c r="U656" t="s">
        <v>30</v>
      </c>
      <c r="V656">
        <v>3708</v>
      </c>
      <c r="W656" t="s">
        <v>53</v>
      </c>
      <c r="X656" t="s">
        <v>32</v>
      </c>
      <c r="Y656" t="s">
        <v>77</v>
      </c>
    </row>
    <row r="657" spans="1:25" x14ac:dyDescent="0.35">
      <c r="A657">
        <v>8105</v>
      </c>
      <c r="B657" t="s">
        <v>49</v>
      </c>
      <c r="C657" s="1">
        <v>45192</v>
      </c>
      <c r="D657" s="1">
        <v>45622</v>
      </c>
      <c r="E657">
        <v>14</v>
      </c>
      <c r="F657">
        <v>15.99</v>
      </c>
      <c r="G657">
        <f t="shared" si="10"/>
        <v>223.86</v>
      </c>
      <c r="H657">
        <v>33</v>
      </c>
      <c r="I657" t="s">
        <v>35</v>
      </c>
      <c r="J657">
        <v>4</v>
      </c>
      <c r="K657">
        <v>5</v>
      </c>
      <c r="L657" t="b">
        <v>1</v>
      </c>
      <c r="M657">
        <v>228</v>
      </c>
      <c r="N657">
        <v>42</v>
      </c>
      <c r="O657" t="s">
        <v>50</v>
      </c>
      <c r="P657" t="s">
        <v>51</v>
      </c>
      <c r="Q657" t="s">
        <v>29</v>
      </c>
      <c r="R657">
        <v>21</v>
      </c>
      <c r="S657">
        <v>4</v>
      </c>
      <c r="T657" t="b">
        <v>1</v>
      </c>
      <c r="U657" t="s">
        <v>30</v>
      </c>
      <c r="V657">
        <v>1256</v>
      </c>
      <c r="W657" t="s">
        <v>31</v>
      </c>
      <c r="X657" t="s">
        <v>32</v>
      </c>
      <c r="Y657" t="s">
        <v>33</v>
      </c>
    </row>
    <row r="658" spans="1:25" x14ac:dyDescent="0.35">
      <c r="A658">
        <v>3443</v>
      </c>
      <c r="B658" t="s">
        <v>129</v>
      </c>
      <c r="C658" s="1">
        <v>45352</v>
      </c>
      <c r="D658" s="1">
        <v>45631</v>
      </c>
      <c r="E658">
        <v>9</v>
      </c>
      <c r="F658">
        <v>15.99</v>
      </c>
      <c r="G658">
        <f t="shared" si="10"/>
        <v>143.91</v>
      </c>
      <c r="H658">
        <v>467</v>
      </c>
      <c r="I658" t="s">
        <v>48</v>
      </c>
      <c r="J658">
        <v>4</v>
      </c>
      <c r="K658">
        <v>2</v>
      </c>
      <c r="L658" t="b">
        <v>0</v>
      </c>
      <c r="M658">
        <v>18</v>
      </c>
      <c r="N658">
        <v>34</v>
      </c>
      <c r="O658" t="s">
        <v>61</v>
      </c>
      <c r="P658" t="s">
        <v>66</v>
      </c>
      <c r="Q658" t="s">
        <v>69</v>
      </c>
      <c r="R658">
        <v>100</v>
      </c>
      <c r="S658">
        <v>4.0999999999999996</v>
      </c>
      <c r="T658" t="b">
        <v>1</v>
      </c>
      <c r="U658" t="s">
        <v>30</v>
      </c>
      <c r="V658">
        <v>1792</v>
      </c>
      <c r="W658" t="s">
        <v>31</v>
      </c>
      <c r="X658" t="s">
        <v>54</v>
      </c>
      <c r="Y658" t="s">
        <v>77</v>
      </c>
    </row>
    <row r="659" spans="1:25" x14ac:dyDescent="0.35">
      <c r="A659">
        <v>2664</v>
      </c>
      <c r="B659" t="s">
        <v>80</v>
      </c>
      <c r="C659" s="1">
        <v>45214</v>
      </c>
      <c r="D659" s="1">
        <v>45623</v>
      </c>
      <c r="E659">
        <v>13</v>
      </c>
      <c r="F659">
        <v>7.99</v>
      </c>
      <c r="G659">
        <f t="shared" si="10"/>
        <v>103.87</v>
      </c>
      <c r="H659">
        <v>123</v>
      </c>
      <c r="I659" t="s">
        <v>64</v>
      </c>
      <c r="J659">
        <v>2</v>
      </c>
      <c r="K659">
        <v>3</v>
      </c>
      <c r="L659" t="b">
        <v>1</v>
      </c>
      <c r="M659">
        <v>826</v>
      </c>
      <c r="N659">
        <v>79</v>
      </c>
      <c r="O659" t="s">
        <v>65</v>
      </c>
      <c r="P659" t="s">
        <v>51</v>
      </c>
      <c r="Q659" t="s">
        <v>36</v>
      </c>
      <c r="R659">
        <v>34</v>
      </c>
      <c r="S659">
        <v>3.5</v>
      </c>
      <c r="T659" t="b">
        <v>0</v>
      </c>
      <c r="U659" t="s">
        <v>30</v>
      </c>
      <c r="V659">
        <v>402</v>
      </c>
      <c r="W659" t="s">
        <v>37</v>
      </c>
      <c r="X659" t="s">
        <v>54</v>
      </c>
      <c r="Y659" t="s">
        <v>39</v>
      </c>
    </row>
    <row r="660" spans="1:25" x14ac:dyDescent="0.35">
      <c r="A660">
        <v>1782</v>
      </c>
      <c r="B660" t="s">
        <v>342</v>
      </c>
      <c r="C660" s="1">
        <v>45047</v>
      </c>
      <c r="D660" s="1">
        <v>45625</v>
      </c>
      <c r="E660">
        <v>18</v>
      </c>
      <c r="F660">
        <v>15.99</v>
      </c>
      <c r="G660">
        <f t="shared" si="10"/>
        <v>287.82</v>
      </c>
      <c r="H660">
        <v>139</v>
      </c>
      <c r="I660" t="s">
        <v>81</v>
      </c>
      <c r="J660">
        <v>1</v>
      </c>
      <c r="K660">
        <v>4</v>
      </c>
      <c r="L660" t="b">
        <v>1</v>
      </c>
      <c r="M660">
        <v>357</v>
      </c>
      <c r="N660">
        <v>44</v>
      </c>
      <c r="O660" t="s">
        <v>50</v>
      </c>
      <c r="P660" t="s">
        <v>42</v>
      </c>
      <c r="Q660" t="s">
        <v>52</v>
      </c>
      <c r="R660">
        <v>67</v>
      </c>
      <c r="S660">
        <v>4.0999999999999996</v>
      </c>
      <c r="T660" t="b">
        <v>0</v>
      </c>
      <c r="U660" t="s">
        <v>30</v>
      </c>
      <c r="V660">
        <v>1271</v>
      </c>
      <c r="W660" t="s">
        <v>37</v>
      </c>
      <c r="X660" t="s">
        <v>62</v>
      </c>
      <c r="Y660" t="s">
        <v>39</v>
      </c>
    </row>
    <row r="661" spans="1:25" x14ac:dyDescent="0.35">
      <c r="A661">
        <v>1337</v>
      </c>
      <c r="B661" t="s">
        <v>343</v>
      </c>
      <c r="C661" s="1">
        <v>45036</v>
      </c>
      <c r="D661" s="1">
        <v>45642</v>
      </c>
      <c r="E661">
        <v>19</v>
      </c>
      <c r="F661">
        <v>7.99</v>
      </c>
      <c r="G661">
        <f t="shared" si="10"/>
        <v>151.81</v>
      </c>
      <c r="H661">
        <v>103</v>
      </c>
      <c r="I661" t="s">
        <v>81</v>
      </c>
      <c r="J661">
        <v>2</v>
      </c>
      <c r="K661">
        <v>1</v>
      </c>
      <c r="L661" t="b">
        <v>0</v>
      </c>
      <c r="M661">
        <v>474</v>
      </c>
      <c r="N661">
        <v>2</v>
      </c>
      <c r="O661" t="s">
        <v>65</v>
      </c>
      <c r="P661" t="s">
        <v>28</v>
      </c>
      <c r="Q661" t="s">
        <v>36</v>
      </c>
      <c r="R661">
        <v>31</v>
      </c>
      <c r="S661">
        <v>3.5</v>
      </c>
      <c r="T661" t="b">
        <v>0</v>
      </c>
      <c r="U661" t="s">
        <v>30</v>
      </c>
      <c r="V661">
        <v>4537</v>
      </c>
      <c r="W661" t="s">
        <v>53</v>
      </c>
      <c r="X661" t="s">
        <v>54</v>
      </c>
      <c r="Y661" t="s">
        <v>77</v>
      </c>
    </row>
    <row r="662" spans="1:25" x14ac:dyDescent="0.35">
      <c r="A662">
        <v>5901</v>
      </c>
      <c r="B662" t="s">
        <v>40</v>
      </c>
      <c r="C662" s="1">
        <v>45022</v>
      </c>
      <c r="D662" s="1">
        <v>45644</v>
      </c>
      <c r="E662">
        <v>20</v>
      </c>
      <c r="F662">
        <v>7.99</v>
      </c>
      <c r="G662">
        <f t="shared" si="10"/>
        <v>159.80000000000001</v>
      </c>
      <c r="H662">
        <v>207</v>
      </c>
      <c r="I662" t="s">
        <v>57</v>
      </c>
      <c r="J662">
        <v>5</v>
      </c>
      <c r="K662">
        <v>5</v>
      </c>
      <c r="L662" t="b">
        <v>1</v>
      </c>
      <c r="M662">
        <v>946</v>
      </c>
      <c r="N662">
        <v>166</v>
      </c>
      <c r="O662" t="s">
        <v>76</v>
      </c>
      <c r="P662" t="s">
        <v>66</v>
      </c>
      <c r="Q662" t="s">
        <v>29</v>
      </c>
      <c r="R662">
        <v>96</v>
      </c>
      <c r="S662">
        <v>4.5999999999999996</v>
      </c>
      <c r="T662" t="b">
        <v>0</v>
      </c>
      <c r="U662" t="s">
        <v>30</v>
      </c>
      <c r="V662">
        <v>4815</v>
      </c>
      <c r="W662" t="s">
        <v>67</v>
      </c>
      <c r="X662" t="s">
        <v>70</v>
      </c>
      <c r="Y662" t="s">
        <v>39</v>
      </c>
    </row>
    <row r="663" spans="1:25" x14ac:dyDescent="0.35">
      <c r="A663">
        <v>2731</v>
      </c>
      <c r="B663" t="s">
        <v>344</v>
      </c>
      <c r="C663" s="1">
        <v>45454</v>
      </c>
      <c r="D663" s="1">
        <v>45639</v>
      </c>
      <c r="E663">
        <v>6</v>
      </c>
      <c r="F663">
        <v>15.99</v>
      </c>
      <c r="G663">
        <f t="shared" si="10"/>
        <v>95.94</v>
      </c>
      <c r="H663">
        <v>267</v>
      </c>
      <c r="I663" t="s">
        <v>81</v>
      </c>
      <c r="J663">
        <v>5</v>
      </c>
      <c r="K663">
        <v>5</v>
      </c>
      <c r="L663" t="b">
        <v>1</v>
      </c>
      <c r="M663">
        <v>890</v>
      </c>
      <c r="N663">
        <v>187</v>
      </c>
      <c r="O663" t="s">
        <v>46</v>
      </c>
      <c r="P663" t="s">
        <v>28</v>
      </c>
      <c r="Q663" t="s">
        <v>69</v>
      </c>
      <c r="R663">
        <v>98</v>
      </c>
      <c r="S663">
        <v>3</v>
      </c>
      <c r="T663" t="b">
        <v>1</v>
      </c>
      <c r="U663" t="s">
        <v>30</v>
      </c>
      <c r="V663">
        <v>3510</v>
      </c>
      <c r="W663" t="s">
        <v>59</v>
      </c>
      <c r="X663" t="s">
        <v>62</v>
      </c>
      <c r="Y663" t="s">
        <v>55</v>
      </c>
    </row>
    <row r="664" spans="1:25" x14ac:dyDescent="0.35">
      <c r="A664">
        <v>8307</v>
      </c>
      <c r="B664" t="s">
        <v>160</v>
      </c>
      <c r="C664" s="1">
        <v>45295</v>
      </c>
      <c r="D664" s="1">
        <v>45632</v>
      </c>
      <c r="E664">
        <v>11</v>
      </c>
      <c r="F664">
        <v>7.99</v>
      </c>
      <c r="G664">
        <f t="shared" si="10"/>
        <v>87.89</v>
      </c>
      <c r="H664">
        <v>266</v>
      </c>
      <c r="I664" t="s">
        <v>57</v>
      </c>
      <c r="J664">
        <v>5</v>
      </c>
      <c r="K664">
        <v>3</v>
      </c>
      <c r="L664" t="b">
        <v>1</v>
      </c>
      <c r="M664">
        <v>583</v>
      </c>
      <c r="N664">
        <v>131</v>
      </c>
      <c r="O664" t="s">
        <v>41</v>
      </c>
      <c r="P664" t="s">
        <v>42</v>
      </c>
      <c r="Q664" t="s">
        <v>43</v>
      </c>
      <c r="R664">
        <v>0</v>
      </c>
      <c r="S664">
        <v>4</v>
      </c>
      <c r="T664" t="b">
        <v>0</v>
      </c>
      <c r="U664" t="s">
        <v>30</v>
      </c>
      <c r="V664">
        <v>4789</v>
      </c>
      <c r="W664" t="s">
        <v>67</v>
      </c>
      <c r="X664" t="s">
        <v>32</v>
      </c>
      <c r="Y664" t="s">
        <v>55</v>
      </c>
    </row>
    <row r="665" spans="1:25" x14ac:dyDescent="0.35">
      <c r="A665">
        <v>8019</v>
      </c>
      <c r="B665" t="s">
        <v>345</v>
      </c>
      <c r="C665" s="1">
        <v>44976</v>
      </c>
      <c r="D665" s="1">
        <v>45615</v>
      </c>
      <c r="E665">
        <v>21</v>
      </c>
      <c r="F665">
        <v>11.99</v>
      </c>
      <c r="G665">
        <f t="shared" si="10"/>
        <v>251.79</v>
      </c>
      <c r="H665">
        <v>240</v>
      </c>
      <c r="I665" t="s">
        <v>64</v>
      </c>
      <c r="J665">
        <v>4</v>
      </c>
      <c r="K665">
        <v>1</v>
      </c>
      <c r="L665" t="b">
        <v>0</v>
      </c>
      <c r="M665">
        <v>304</v>
      </c>
      <c r="N665">
        <v>25</v>
      </c>
      <c r="O665" t="s">
        <v>41</v>
      </c>
      <c r="P665" t="s">
        <v>28</v>
      </c>
      <c r="Q665" t="s">
        <v>36</v>
      </c>
      <c r="R665">
        <v>66</v>
      </c>
      <c r="S665">
        <v>4.5999999999999996</v>
      </c>
      <c r="T665" t="b">
        <v>0</v>
      </c>
      <c r="U665" t="s">
        <v>30</v>
      </c>
      <c r="V665">
        <v>863</v>
      </c>
      <c r="W665" t="s">
        <v>53</v>
      </c>
      <c r="X665" t="s">
        <v>54</v>
      </c>
      <c r="Y665" t="s">
        <v>39</v>
      </c>
    </row>
    <row r="666" spans="1:25" x14ac:dyDescent="0.35">
      <c r="A666">
        <v>4847</v>
      </c>
      <c r="B666" t="s">
        <v>155</v>
      </c>
      <c r="C666" s="1">
        <v>45627</v>
      </c>
      <c r="D666" s="1">
        <v>45626</v>
      </c>
      <c r="E666">
        <v>0</v>
      </c>
      <c r="F666">
        <v>15.99</v>
      </c>
      <c r="G666">
        <f t="shared" si="10"/>
        <v>0</v>
      </c>
      <c r="H666">
        <v>315</v>
      </c>
      <c r="I666" t="s">
        <v>57</v>
      </c>
      <c r="J666">
        <v>1</v>
      </c>
      <c r="K666">
        <v>6</v>
      </c>
      <c r="L666" t="b">
        <v>0</v>
      </c>
      <c r="M666">
        <v>205</v>
      </c>
      <c r="N666">
        <v>92</v>
      </c>
      <c r="O666" t="s">
        <v>50</v>
      </c>
      <c r="P666" t="s">
        <v>28</v>
      </c>
      <c r="Q666" t="s">
        <v>58</v>
      </c>
      <c r="R666">
        <v>67</v>
      </c>
      <c r="S666">
        <v>3.5</v>
      </c>
      <c r="T666" t="b">
        <v>0</v>
      </c>
      <c r="U666" t="s">
        <v>30</v>
      </c>
      <c r="V666">
        <v>1584</v>
      </c>
      <c r="W666" t="s">
        <v>67</v>
      </c>
      <c r="X666" t="s">
        <v>70</v>
      </c>
      <c r="Y666" t="s">
        <v>33</v>
      </c>
    </row>
    <row r="667" spans="1:25" x14ac:dyDescent="0.35">
      <c r="A667">
        <v>9822</v>
      </c>
      <c r="B667" t="s">
        <v>142</v>
      </c>
      <c r="C667" s="1">
        <v>45100</v>
      </c>
      <c r="D667" s="1">
        <v>45639</v>
      </c>
      <c r="E667">
        <v>17</v>
      </c>
      <c r="F667">
        <v>7.99</v>
      </c>
      <c r="G667">
        <f t="shared" si="10"/>
        <v>135.83000000000001</v>
      </c>
      <c r="H667">
        <v>276</v>
      </c>
      <c r="I667" t="s">
        <v>64</v>
      </c>
      <c r="J667">
        <v>4</v>
      </c>
      <c r="K667">
        <v>1</v>
      </c>
      <c r="L667" t="b">
        <v>1</v>
      </c>
      <c r="M667">
        <v>348</v>
      </c>
      <c r="N667">
        <v>13</v>
      </c>
      <c r="O667" t="s">
        <v>50</v>
      </c>
      <c r="P667" t="s">
        <v>66</v>
      </c>
      <c r="Q667" t="s">
        <v>36</v>
      </c>
      <c r="R667">
        <v>34</v>
      </c>
      <c r="S667">
        <v>4.7</v>
      </c>
      <c r="T667" t="b">
        <v>0</v>
      </c>
      <c r="U667" t="s">
        <v>30</v>
      </c>
      <c r="V667">
        <v>3178</v>
      </c>
      <c r="W667" t="s">
        <v>53</v>
      </c>
      <c r="X667" t="s">
        <v>70</v>
      </c>
      <c r="Y667" t="s">
        <v>77</v>
      </c>
    </row>
    <row r="668" spans="1:25" x14ac:dyDescent="0.35">
      <c r="A668">
        <v>9141</v>
      </c>
      <c r="B668" t="s">
        <v>346</v>
      </c>
      <c r="C668" s="1">
        <v>45229</v>
      </c>
      <c r="D668" s="1">
        <v>45621</v>
      </c>
      <c r="E668">
        <v>12</v>
      </c>
      <c r="F668">
        <v>7.99</v>
      </c>
      <c r="G668">
        <f t="shared" si="10"/>
        <v>95.88</v>
      </c>
      <c r="H668">
        <v>308</v>
      </c>
      <c r="I668" t="s">
        <v>35</v>
      </c>
      <c r="J668">
        <v>1</v>
      </c>
      <c r="K668">
        <v>5</v>
      </c>
      <c r="L668" t="b">
        <v>0</v>
      </c>
      <c r="M668">
        <v>107</v>
      </c>
      <c r="N668">
        <v>87</v>
      </c>
      <c r="O668" t="s">
        <v>41</v>
      </c>
      <c r="P668" t="s">
        <v>66</v>
      </c>
      <c r="Q668" t="s">
        <v>69</v>
      </c>
      <c r="R668">
        <v>17</v>
      </c>
      <c r="S668">
        <v>3.4</v>
      </c>
      <c r="T668" t="b">
        <v>0</v>
      </c>
      <c r="U668" t="s">
        <v>30</v>
      </c>
      <c r="V668">
        <v>4108</v>
      </c>
      <c r="W668" t="s">
        <v>37</v>
      </c>
      <c r="X668" t="s">
        <v>54</v>
      </c>
      <c r="Y668" t="s">
        <v>33</v>
      </c>
    </row>
    <row r="669" spans="1:25" x14ac:dyDescent="0.35">
      <c r="A669">
        <v>7539</v>
      </c>
      <c r="B669" t="s">
        <v>337</v>
      </c>
      <c r="C669" s="1">
        <v>45170</v>
      </c>
      <c r="D669" s="1">
        <v>45634</v>
      </c>
      <c r="E669">
        <v>15</v>
      </c>
      <c r="F669">
        <v>7.99</v>
      </c>
      <c r="G669">
        <f t="shared" si="10"/>
        <v>119.85000000000001</v>
      </c>
      <c r="H669">
        <v>297</v>
      </c>
      <c r="I669" t="s">
        <v>57</v>
      </c>
      <c r="J669">
        <v>1</v>
      </c>
      <c r="K669">
        <v>6</v>
      </c>
      <c r="L669" t="b">
        <v>1</v>
      </c>
      <c r="M669">
        <v>959</v>
      </c>
      <c r="N669">
        <v>71</v>
      </c>
      <c r="O669" t="s">
        <v>65</v>
      </c>
      <c r="P669" t="s">
        <v>66</v>
      </c>
      <c r="Q669" t="s">
        <v>69</v>
      </c>
      <c r="R669">
        <v>82</v>
      </c>
      <c r="S669">
        <v>3.3</v>
      </c>
      <c r="T669" t="b">
        <v>1</v>
      </c>
      <c r="U669" t="s">
        <v>30</v>
      </c>
      <c r="V669">
        <v>2562</v>
      </c>
      <c r="W669" t="s">
        <v>67</v>
      </c>
      <c r="X669" t="s">
        <v>38</v>
      </c>
      <c r="Y669" t="s">
        <v>77</v>
      </c>
    </row>
    <row r="670" spans="1:25" x14ac:dyDescent="0.35">
      <c r="A670">
        <v>1390</v>
      </c>
      <c r="B670" t="s">
        <v>347</v>
      </c>
      <c r="C670" s="1">
        <v>45501</v>
      </c>
      <c r="D670" s="1">
        <v>45625</v>
      </c>
      <c r="E670">
        <v>4</v>
      </c>
      <c r="F670">
        <v>11.99</v>
      </c>
      <c r="G670">
        <f t="shared" si="10"/>
        <v>47.96</v>
      </c>
      <c r="H670">
        <v>326</v>
      </c>
      <c r="I670" t="s">
        <v>57</v>
      </c>
      <c r="J670">
        <v>4</v>
      </c>
      <c r="K670">
        <v>1</v>
      </c>
      <c r="L670" t="b">
        <v>0</v>
      </c>
      <c r="M670">
        <v>439</v>
      </c>
      <c r="N670">
        <v>88</v>
      </c>
      <c r="O670" t="s">
        <v>76</v>
      </c>
      <c r="P670" t="s">
        <v>42</v>
      </c>
      <c r="Q670" t="s">
        <v>58</v>
      </c>
      <c r="R670">
        <v>3</v>
      </c>
      <c r="S670">
        <v>3.3</v>
      </c>
      <c r="T670" t="b">
        <v>1</v>
      </c>
      <c r="U670" t="s">
        <v>30</v>
      </c>
      <c r="V670">
        <v>3499</v>
      </c>
      <c r="W670" t="s">
        <v>53</v>
      </c>
      <c r="X670" t="s">
        <v>38</v>
      </c>
      <c r="Y670" t="s">
        <v>77</v>
      </c>
    </row>
    <row r="671" spans="1:25" x14ac:dyDescent="0.35">
      <c r="A671">
        <v>9505</v>
      </c>
      <c r="B671" t="s">
        <v>186</v>
      </c>
      <c r="C671" s="1">
        <v>45469</v>
      </c>
      <c r="D671" s="1">
        <v>45630</v>
      </c>
      <c r="E671">
        <v>5</v>
      </c>
      <c r="F671">
        <v>15.99</v>
      </c>
      <c r="G671">
        <f t="shared" si="10"/>
        <v>79.95</v>
      </c>
      <c r="H671">
        <v>352</v>
      </c>
      <c r="I671" t="s">
        <v>64</v>
      </c>
      <c r="J671">
        <v>4</v>
      </c>
      <c r="K671">
        <v>6</v>
      </c>
      <c r="L671" t="b">
        <v>0</v>
      </c>
      <c r="M671">
        <v>757</v>
      </c>
      <c r="N671">
        <v>13</v>
      </c>
      <c r="O671" t="s">
        <v>76</v>
      </c>
      <c r="P671" t="s">
        <v>42</v>
      </c>
      <c r="Q671" t="s">
        <v>29</v>
      </c>
      <c r="R671">
        <v>67</v>
      </c>
      <c r="S671">
        <v>4.3</v>
      </c>
      <c r="T671" t="b">
        <v>1</v>
      </c>
      <c r="U671" t="s">
        <v>30</v>
      </c>
      <c r="V671">
        <v>3645</v>
      </c>
      <c r="W671" t="s">
        <v>67</v>
      </c>
      <c r="X671" t="s">
        <v>32</v>
      </c>
      <c r="Y671" t="s">
        <v>77</v>
      </c>
    </row>
    <row r="672" spans="1:25" x14ac:dyDescent="0.35">
      <c r="A672">
        <v>6741</v>
      </c>
      <c r="B672" t="s">
        <v>170</v>
      </c>
      <c r="C672" s="1">
        <v>45227</v>
      </c>
      <c r="D672" s="1">
        <v>45616</v>
      </c>
      <c r="E672">
        <v>12</v>
      </c>
      <c r="F672">
        <v>7.99</v>
      </c>
      <c r="G672">
        <f t="shared" si="10"/>
        <v>95.88</v>
      </c>
      <c r="H672">
        <v>180</v>
      </c>
      <c r="I672" t="s">
        <v>45</v>
      </c>
      <c r="J672">
        <v>5</v>
      </c>
      <c r="K672">
        <v>2</v>
      </c>
      <c r="L672" t="b">
        <v>1</v>
      </c>
      <c r="M672">
        <v>647</v>
      </c>
      <c r="N672">
        <v>2</v>
      </c>
      <c r="O672" t="s">
        <v>41</v>
      </c>
      <c r="P672" t="s">
        <v>66</v>
      </c>
      <c r="Q672" t="s">
        <v>69</v>
      </c>
      <c r="R672">
        <v>9</v>
      </c>
      <c r="S672">
        <v>3.5</v>
      </c>
      <c r="T672" t="b">
        <v>0</v>
      </c>
      <c r="U672" t="s">
        <v>30</v>
      </c>
      <c r="V672">
        <v>2989</v>
      </c>
      <c r="W672" t="s">
        <v>31</v>
      </c>
      <c r="X672" t="s">
        <v>70</v>
      </c>
      <c r="Y672" t="s">
        <v>77</v>
      </c>
    </row>
    <row r="673" spans="1:25" x14ac:dyDescent="0.35">
      <c r="A673">
        <v>1790</v>
      </c>
      <c r="B673" t="s">
        <v>348</v>
      </c>
      <c r="C673" s="1">
        <v>45362</v>
      </c>
      <c r="D673" s="1">
        <v>45627</v>
      </c>
      <c r="E673">
        <v>8</v>
      </c>
      <c r="F673">
        <v>11.99</v>
      </c>
      <c r="G673">
        <f t="shared" si="10"/>
        <v>95.92</v>
      </c>
      <c r="H673">
        <v>362</v>
      </c>
      <c r="I673" t="s">
        <v>45</v>
      </c>
      <c r="J673">
        <v>2</v>
      </c>
      <c r="K673">
        <v>2</v>
      </c>
      <c r="L673" t="b">
        <v>0</v>
      </c>
      <c r="M673">
        <v>535</v>
      </c>
      <c r="N673">
        <v>200</v>
      </c>
      <c r="O673" t="s">
        <v>65</v>
      </c>
      <c r="P673" t="s">
        <v>42</v>
      </c>
      <c r="Q673" t="s">
        <v>29</v>
      </c>
      <c r="R673">
        <v>60</v>
      </c>
      <c r="S673">
        <v>4.9000000000000004</v>
      </c>
      <c r="T673" t="b">
        <v>1</v>
      </c>
      <c r="U673" t="s">
        <v>30</v>
      </c>
      <c r="V673">
        <v>55</v>
      </c>
      <c r="W673" t="s">
        <v>67</v>
      </c>
      <c r="X673" t="s">
        <v>54</v>
      </c>
      <c r="Y673" t="s">
        <v>33</v>
      </c>
    </row>
    <row r="674" spans="1:25" x14ac:dyDescent="0.35">
      <c r="A674">
        <v>6491</v>
      </c>
      <c r="B674" t="s">
        <v>349</v>
      </c>
      <c r="C674" s="1">
        <v>44941</v>
      </c>
      <c r="D674" s="1">
        <v>45624</v>
      </c>
      <c r="E674">
        <v>22</v>
      </c>
      <c r="F674">
        <v>7.99</v>
      </c>
      <c r="G674">
        <f t="shared" si="10"/>
        <v>175.78</v>
      </c>
      <c r="H674">
        <v>154</v>
      </c>
      <c r="I674" t="s">
        <v>26</v>
      </c>
      <c r="J674">
        <v>5</v>
      </c>
      <c r="K674">
        <v>4</v>
      </c>
      <c r="L674" t="b">
        <v>1</v>
      </c>
      <c r="M674">
        <v>340</v>
      </c>
      <c r="N674">
        <v>53</v>
      </c>
      <c r="O674" t="s">
        <v>65</v>
      </c>
      <c r="P674" t="s">
        <v>51</v>
      </c>
      <c r="Q674" t="s">
        <v>58</v>
      </c>
      <c r="R674">
        <v>31</v>
      </c>
      <c r="S674">
        <v>4.4000000000000004</v>
      </c>
      <c r="T674" t="b">
        <v>0</v>
      </c>
      <c r="U674" t="s">
        <v>30</v>
      </c>
      <c r="V674">
        <v>1850</v>
      </c>
      <c r="W674" t="s">
        <v>37</v>
      </c>
      <c r="X674" t="s">
        <v>70</v>
      </c>
      <c r="Y674" t="s">
        <v>33</v>
      </c>
    </row>
    <row r="675" spans="1:25" x14ac:dyDescent="0.35">
      <c r="A675">
        <v>3102</v>
      </c>
      <c r="B675" t="s">
        <v>171</v>
      </c>
      <c r="C675" s="1">
        <v>45538</v>
      </c>
      <c r="D675" s="1">
        <v>45623</v>
      </c>
      <c r="E675">
        <v>2</v>
      </c>
      <c r="F675">
        <v>7.99</v>
      </c>
      <c r="G675">
        <f t="shared" si="10"/>
        <v>15.98</v>
      </c>
      <c r="H675">
        <v>287</v>
      </c>
      <c r="I675" t="s">
        <v>35</v>
      </c>
      <c r="J675">
        <v>1</v>
      </c>
      <c r="K675">
        <v>2</v>
      </c>
      <c r="L675" t="b">
        <v>0</v>
      </c>
      <c r="M675">
        <v>670</v>
      </c>
      <c r="N675">
        <v>147</v>
      </c>
      <c r="O675" t="s">
        <v>27</v>
      </c>
      <c r="P675" t="s">
        <v>42</v>
      </c>
      <c r="Q675" t="s">
        <v>29</v>
      </c>
      <c r="R675">
        <v>42</v>
      </c>
      <c r="S675">
        <v>4.3</v>
      </c>
      <c r="T675" t="b">
        <v>1</v>
      </c>
      <c r="U675" t="s">
        <v>30</v>
      </c>
      <c r="V675">
        <v>4672</v>
      </c>
      <c r="W675" t="s">
        <v>31</v>
      </c>
      <c r="X675" t="s">
        <v>54</v>
      </c>
      <c r="Y675" t="s">
        <v>39</v>
      </c>
    </row>
    <row r="676" spans="1:25" x14ac:dyDescent="0.35">
      <c r="A676">
        <v>1300</v>
      </c>
      <c r="B676" t="s">
        <v>350</v>
      </c>
      <c r="C676" s="1">
        <v>45104</v>
      </c>
      <c r="D676" s="1">
        <v>45642</v>
      </c>
      <c r="E676">
        <v>17</v>
      </c>
      <c r="F676">
        <v>11.99</v>
      </c>
      <c r="G676">
        <f t="shared" si="10"/>
        <v>203.83</v>
      </c>
      <c r="H676">
        <v>303</v>
      </c>
      <c r="I676" t="s">
        <v>81</v>
      </c>
      <c r="J676">
        <v>3</v>
      </c>
      <c r="K676">
        <v>6</v>
      </c>
      <c r="L676" t="b">
        <v>1</v>
      </c>
      <c r="M676">
        <v>780</v>
      </c>
      <c r="N676">
        <v>128</v>
      </c>
      <c r="O676" t="s">
        <v>76</v>
      </c>
      <c r="P676" t="s">
        <v>42</v>
      </c>
      <c r="Q676" t="s">
        <v>58</v>
      </c>
      <c r="R676">
        <v>12</v>
      </c>
      <c r="S676">
        <v>4.5999999999999996</v>
      </c>
      <c r="T676" t="b">
        <v>1</v>
      </c>
      <c r="U676" t="s">
        <v>30</v>
      </c>
      <c r="V676">
        <v>2615</v>
      </c>
      <c r="W676" t="s">
        <v>37</v>
      </c>
      <c r="X676" t="s">
        <v>32</v>
      </c>
      <c r="Y676" t="s">
        <v>55</v>
      </c>
    </row>
    <row r="677" spans="1:25" x14ac:dyDescent="0.35">
      <c r="A677">
        <v>5410</v>
      </c>
      <c r="B677" t="s">
        <v>351</v>
      </c>
      <c r="C677" s="1">
        <v>45113</v>
      </c>
      <c r="D677" s="1">
        <v>45627</v>
      </c>
      <c r="E677">
        <v>16</v>
      </c>
      <c r="F677">
        <v>15.99</v>
      </c>
      <c r="G677">
        <f t="shared" si="10"/>
        <v>255.84</v>
      </c>
      <c r="H677">
        <v>447</v>
      </c>
      <c r="I677" t="s">
        <v>57</v>
      </c>
      <c r="J677">
        <v>1</v>
      </c>
      <c r="K677">
        <v>5</v>
      </c>
      <c r="L677" t="b">
        <v>0</v>
      </c>
      <c r="M677">
        <v>615</v>
      </c>
      <c r="N677">
        <v>132</v>
      </c>
      <c r="O677" t="s">
        <v>61</v>
      </c>
      <c r="P677" t="s">
        <v>66</v>
      </c>
      <c r="Q677" t="s">
        <v>43</v>
      </c>
      <c r="R677">
        <v>88</v>
      </c>
      <c r="S677">
        <v>3.9</v>
      </c>
      <c r="T677" t="b">
        <v>0</v>
      </c>
      <c r="U677" t="s">
        <v>30</v>
      </c>
      <c r="V677">
        <v>4927</v>
      </c>
      <c r="W677" t="s">
        <v>59</v>
      </c>
      <c r="X677" t="s">
        <v>62</v>
      </c>
      <c r="Y677" t="s">
        <v>55</v>
      </c>
    </row>
    <row r="678" spans="1:25" x14ac:dyDescent="0.35">
      <c r="A678">
        <v>2714</v>
      </c>
      <c r="B678" t="s">
        <v>352</v>
      </c>
      <c r="C678" s="1">
        <v>45635</v>
      </c>
      <c r="D678" s="1">
        <v>45624</v>
      </c>
      <c r="E678">
        <v>0</v>
      </c>
      <c r="F678">
        <v>11.99</v>
      </c>
      <c r="G678">
        <f t="shared" si="10"/>
        <v>0</v>
      </c>
      <c r="H678">
        <v>480</v>
      </c>
      <c r="I678" t="s">
        <v>45</v>
      </c>
      <c r="J678">
        <v>4</v>
      </c>
      <c r="K678">
        <v>6</v>
      </c>
      <c r="L678" t="b">
        <v>1</v>
      </c>
      <c r="M678">
        <v>277</v>
      </c>
      <c r="N678">
        <v>25</v>
      </c>
      <c r="O678" t="s">
        <v>65</v>
      </c>
      <c r="P678" t="s">
        <v>51</v>
      </c>
      <c r="Q678" t="s">
        <v>69</v>
      </c>
      <c r="R678">
        <v>41</v>
      </c>
      <c r="S678">
        <v>4.8</v>
      </c>
      <c r="T678" t="b">
        <v>0</v>
      </c>
      <c r="U678" t="s">
        <v>30</v>
      </c>
      <c r="V678">
        <v>3069</v>
      </c>
      <c r="W678" t="s">
        <v>67</v>
      </c>
      <c r="X678" t="s">
        <v>32</v>
      </c>
      <c r="Y678" t="s">
        <v>77</v>
      </c>
    </row>
    <row r="679" spans="1:25" x14ac:dyDescent="0.35">
      <c r="A679">
        <v>4700</v>
      </c>
      <c r="B679" t="s">
        <v>123</v>
      </c>
      <c r="C679" s="1">
        <v>45612</v>
      </c>
      <c r="D679" s="1">
        <v>45630</v>
      </c>
      <c r="E679">
        <v>0</v>
      </c>
      <c r="F679">
        <v>7.99</v>
      </c>
      <c r="G679">
        <f t="shared" si="10"/>
        <v>0</v>
      </c>
      <c r="H679">
        <v>438</v>
      </c>
      <c r="I679" t="s">
        <v>26</v>
      </c>
      <c r="J679">
        <v>4</v>
      </c>
      <c r="K679">
        <v>4</v>
      </c>
      <c r="L679" t="b">
        <v>1</v>
      </c>
      <c r="M679">
        <v>546</v>
      </c>
      <c r="N679">
        <v>88</v>
      </c>
      <c r="O679" t="s">
        <v>46</v>
      </c>
      <c r="P679" t="s">
        <v>66</v>
      </c>
      <c r="Q679" t="s">
        <v>69</v>
      </c>
      <c r="R679">
        <v>36</v>
      </c>
      <c r="S679">
        <v>3.5</v>
      </c>
      <c r="T679" t="b">
        <v>0</v>
      </c>
      <c r="U679" t="s">
        <v>30</v>
      </c>
      <c r="V679">
        <v>1906</v>
      </c>
      <c r="W679" t="s">
        <v>59</v>
      </c>
      <c r="X679" t="s">
        <v>70</v>
      </c>
      <c r="Y679" t="s">
        <v>77</v>
      </c>
    </row>
    <row r="680" spans="1:25" x14ac:dyDescent="0.35">
      <c r="A680">
        <v>7589</v>
      </c>
      <c r="B680" t="s">
        <v>183</v>
      </c>
      <c r="C680" s="1">
        <v>45145</v>
      </c>
      <c r="D680" s="1">
        <v>45628</v>
      </c>
      <c r="E680">
        <v>15</v>
      </c>
      <c r="F680">
        <v>15.99</v>
      </c>
      <c r="G680">
        <f t="shared" si="10"/>
        <v>239.85</v>
      </c>
      <c r="H680">
        <v>295</v>
      </c>
      <c r="I680" t="s">
        <v>57</v>
      </c>
      <c r="J680">
        <v>2</v>
      </c>
      <c r="K680">
        <v>5</v>
      </c>
      <c r="L680" t="b">
        <v>0</v>
      </c>
      <c r="M680">
        <v>514</v>
      </c>
      <c r="N680">
        <v>102</v>
      </c>
      <c r="O680" t="s">
        <v>65</v>
      </c>
      <c r="P680" t="s">
        <v>28</v>
      </c>
      <c r="Q680" t="s">
        <v>36</v>
      </c>
      <c r="R680">
        <v>3</v>
      </c>
      <c r="S680">
        <v>4.8</v>
      </c>
      <c r="T680" t="b">
        <v>0</v>
      </c>
      <c r="U680" t="s">
        <v>30</v>
      </c>
      <c r="V680">
        <v>105</v>
      </c>
      <c r="W680" t="s">
        <v>31</v>
      </c>
      <c r="X680" t="s">
        <v>62</v>
      </c>
      <c r="Y680" t="s">
        <v>77</v>
      </c>
    </row>
    <row r="681" spans="1:25" x14ac:dyDescent="0.35">
      <c r="A681">
        <v>6866</v>
      </c>
      <c r="B681" t="s">
        <v>135</v>
      </c>
      <c r="C681" s="1">
        <v>45430</v>
      </c>
      <c r="D681" s="1">
        <v>45620</v>
      </c>
      <c r="E681">
        <v>6</v>
      </c>
      <c r="F681">
        <v>11.99</v>
      </c>
      <c r="G681">
        <f t="shared" si="10"/>
        <v>71.94</v>
      </c>
      <c r="H681">
        <v>479</v>
      </c>
      <c r="I681" t="s">
        <v>57</v>
      </c>
      <c r="J681">
        <v>1</v>
      </c>
      <c r="K681">
        <v>3</v>
      </c>
      <c r="L681" t="b">
        <v>1</v>
      </c>
      <c r="M681">
        <v>952</v>
      </c>
      <c r="N681">
        <v>48</v>
      </c>
      <c r="O681" t="s">
        <v>27</v>
      </c>
      <c r="P681" t="s">
        <v>51</v>
      </c>
      <c r="Q681" t="s">
        <v>58</v>
      </c>
      <c r="R681">
        <v>54</v>
      </c>
      <c r="S681">
        <v>4.5999999999999996</v>
      </c>
      <c r="T681" t="b">
        <v>1</v>
      </c>
      <c r="U681" t="s">
        <v>30</v>
      </c>
      <c r="V681">
        <v>4</v>
      </c>
      <c r="W681" t="s">
        <v>37</v>
      </c>
      <c r="X681" t="s">
        <v>70</v>
      </c>
      <c r="Y681" t="s">
        <v>39</v>
      </c>
    </row>
    <row r="682" spans="1:25" x14ac:dyDescent="0.35">
      <c r="A682">
        <v>6960</v>
      </c>
      <c r="B682" t="s">
        <v>353</v>
      </c>
      <c r="C682" s="1">
        <v>45242</v>
      </c>
      <c r="D682" s="1">
        <v>45622</v>
      </c>
      <c r="E682">
        <v>12</v>
      </c>
      <c r="F682">
        <v>15.99</v>
      </c>
      <c r="G682">
        <f t="shared" si="10"/>
        <v>191.88</v>
      </c>
      <c r="H682">
        <v>214</v>
      </c>
      <c r="I682" t="s">
        <v>48</v>
      </c>
      <c r="J682">
        <v>5</v>
      </c>
      <c r="K682">
        <v>6</v>
      </c>
      <c r="L682" t="b">
        <v>1</v>
      </c>
      <c r="M682">
        <v>780</v>
      </c>
      <c r="N682">
        <v>16</v>
      </c>
      <c r="O682" t="s">
        <v>76</v>
      </c>
      <c r="P682" t="s">
        <v>28</v>
      </c>
      <c r="Q682" t="s">
        <v>69</v>
      </c>
      <c r="R682">
        <v>1</v>
      </c>
      <c r="S682">
        <v>3.3</v>
      </c>
      <c r="T682" t="b">
        <v>1</v>
      </c>
      <c r="U682" t="s">
        <v>30</v>
      </c>
      <c r="V682">
        <v>1651</v>
      </c>
      <c r="W682" t="s">
        <v>53</v>
      </c>
      <c r="X682" t="s">
        <v>70</v>
      </c>
      <c r="Y682" t="s">
        <v>39</v>
      </c>
    </row>
    <row r="683" spans="1:25" x14ac:dyDescent="0.35">
      <c r="A683">
        <v>5808</v>
      </c>
      <c r="B683" t="s">
        <v>280</v>
      </c>
      <c r="C683" s="1">
        <v>45373</v>
      </c>
      <c r="D683" s="1">
        <v>45615</v>
      </c>
      <c r="E683">
        <v>7</v>
      </c>
      <c r="F683">
        <v>15.99</v>
      </c>
      <c r="G683">
        <f t="shared" si="10"/>
        <v>111.93</v>
      </c>
      <c r="H683">
        <v>69</v>
      </c>
      <c r="I683" t="s">
        <v>26</v>
      </c>
      <c r="J683">
        <v>4</v>
      </c>
      <c r="K683">
        <v>5</v>
      </c>
      <c r="L683" t="b">
        <v>0</v>
      </c>
      <c r="M683">
        <v>976</v>
      </c>
      <c r="N683">
        <v>105</v>
      </c>
      <c r="O683" t="s">
        <v>27</v>
      </c>
      <c r="P683" t="s">
        <v>66</v>
      </c>
      <c r="Q683" t="s">
        <v>43</v>
      </c>
      <c r="R683">
        <v>50</v>
      </c>
      <c r="S683">
        <v>4.7</v>
      </c>
      <c r="T683" t="b">
        <v>1</v>
      </c>
      <c r="U683" t="s">
        <v>30</v>
      </c>
      <c r="V683">
        <v>1828</v>
      </c>
      <c r="W683" t="s">
        <v>67</v>
      </c>
      <c r="X683" t="s">
        <v>62</v>
      </c>
      <c r="Y683" t="s">
        <v>39</v>
      </c>
    </row>
    <row r="684" spans="1:25" x14ac:dyDescent="0.35">
      <c r="A684">
        <v>5525</v>
      </c>
      <c r="B684" t="s">
        <v>148</v>
      </c>
      <c r="C684" s="1">
        <v>45204</v>
      </c>
      <c r="D684" s="1">
        <v>45632</v>
      </c>
      <c r="E684">
        <v>14</v>
      </c>
      <c r="F684">
        <v>15.99</v>
      </c>
      <c r="G684">
        <f t="shared" si="10"/>
        <v>223.86</v>
      </c>
      <c r="H684">
        <v>344</v>
      </c>
      <c r="I684" t="s">
        <v>26</v>
      </c>
      <c r="J684">
        <v>5</v>
      </c>
      <c r="K684">
        <v>2</v>
      </c>
      <c r="L684" t="b">
        <v>0</v>
      </c>
      <c r="M684">
        <v>91</v>
      </c>
      <c r="N684">
        <v>137</v>
      </c>
      <c r="O684" t="s">
        <v>65</v>
      </c>
      <c r="P684" t="s">
        <v>66</v>
      </c>
      <c r="Q684" t="s">
        <v>36</v>
      </c>
      <c r="R684">
        <v>37</v>
      </c>
      <c r="S684">
        <v>3.4</v>
      </c>
      <c r="T684" t="b">
        <v>1</v>
      </c>
      <c r="U684" t="s">
        <v>30</v>
      </c>
      <c r="V684">
        <v>396</v>
      </c>
      <c r="W684" t="s">
        <v>53</v>
      </c>
      <c r="X684" t="s">
        <v>32</v>
      </c>
      <c r="Y684" t="s">
        <v>33</v>
      </c>
    </row>
    <row r="685" spans="1:25" x14ac:dyDescent="0.35">
      <c r="A685">
        <v>1272</v>
      </c>
      <c r="B685" t="s">
        <v>178</v>
      </c>
      <c r="C685" s="1">
        <v>45490</v>
      </c>
      <c r="D685" s="1">
        <v>45616</v>
      </c>
      <c r="E685">
        <v>4</v>
      </c>
      <c r="F685">
        <v>15.99</v>
      </c>
      <c r="G685">
        <f t="shared" si="10"/>
        <v>63.96</v>
      </c>
      <c r="H685">
        <v>163</v>
      </c>
      <c r="I685" t="s">
        <v>64</v>
      </c>
      <c r="J685">
        <v>5</v>
      </c>
      <c r="K685">
        <v>1</v>
      </c>
      <c r="L685" t="b">
        <v>0</v>
      </c>
      <c r="M685">
        <v>683</v>
      </c>
      <c r="N685">
        <v>108</v>
      </c>
      <c r="O685" t="s">
        <v>46</v>
      </c>
      <c r="P685" t="s">
        <v>66</v>
      </c>
      <c r="Q685" t="s">
        <v>43</v>
      </c>
      <c r="R685">
        <v>10</v>
      </c>
      <c r="S685">
        <v>4.2</v>
      </c>
      <c r="T685" t="b">
        <v>0</v>
      </c>
      <c r="U685" t="s">
        <v>30</v>
      </c>
      <c r="V685">
        <v>809</v>
      </c>
      <c r="W685" t="s">
        <v>31</v>
      </c>
      <c r="X685" t="s">
        <v>70</v>
      </c>
      <c r="Y685" t="s">
        <v>39</v>
      </c>
    </row>
    <row r="686" spans="1:25" x14ac:dyDescent="0.35">
      <c r="A686">
        <v>8063</v>
      </c>
      <c r="B686" t="s">
        <v>197</v>
      </c>
      <c r="C686" s="1">
        <v>45104</v>
      </c>
      <c r="D686" s="1">
        <v>45638</v>
      </c>
      <c r="E686">
        <v>17</v>
      </c>
      <c r="F686">
        <v>7.99</v>
      </c>
      <c r="G686">
        <f t="shared" si="10"/>
        <v>135.83000000000001</v>
      </c>
      <c r="H686">
        <v>217</v>
      </c>
      <c r="I686" t="s">
        <v>64</v>
      </c>
      <c r="J686">
        <v>1</v>
      </c>
      <c r="K686">
        <v>6</v>
      </c>
      <c r="L686" t="b">
        <v>0</v>
      </c>
      <c r="M686">
        <v>53</v>
      </c>
      <c r="N686">
        <v>153</v>
      </c>
      <c r="O686" t="s">
        <v>41</v>
      </c>
      <c r="P686" t="s">
        <v>28</v>
      </c>
      <c r="Q686" t="s">
        <v>52</v>
      </c>
      <c r="R686">
        <v>2</v>
      </c>
      <c r="S686">
        <v>3.1</v>
      </c>
      <c r="T686" t="b">
        <v>1</v>
      </c>
      <c r="U686" t="s">
        <v>30</v>
      </c>
      <c r="V686">
        <v>1431</v>
      </c>
      <c r="W686" t="s">
        <v>59</v>
      </c>
      <c r="X686" t="s">
        <v>70</v>
      </c>
      <c r="Y686" t="s">
        <v>39</v>
      </c>
    </row>
    <row r="687" spans="1:25" x14ac:dyDescent="0.35">
      <c r="A687">
        <v>1856</v>
      </c>
      <c r="B687" t="s">
        <v>354</v>
      </c>
      <c r="C687" s="1">
        <v>45192</v>
      </c>
      <c r="D687" s="1">
        <v>45637</v>
      </c>
      <c r="E687">
        <v>14</v>
      </c>
      <c r="F687">
        <v>15.99</v>
      </c>
      <c r="G687">
        <f t="shared" si="10"/>
        <v>223.86</v>
      </c>
      <c r="H687">
        <v>177</v>
      </c>
      <c r="I687" t="s">
        <v>57</v>
      </c>
      <c r="J687">
        <v>3</v>
      </c>
      <c r="K687">
        <v>2</v>
      </c>
      <c r="L687" t="b">
        <v>1</v>
      </c>
      <c r="M687">
        <v>246</v>
      </c>
      <c r="N687">
        <v>182</v>
      </c>
      <c r="O687" t="s">
        <v>65</v>
      </c>
      <c r="P687" t="s">
        <v>42</v>
      </c>
      <c r="Q687" t="s">
        <v>52</v>
      </c>
      <c r="R687">
        <v>89</v>
      </c>
      <c r="S687">
        <v>3.1</v>
      </c>
      <c r="T687" t="b">
        <v>0</v>
      </c>
      <c r="U687" t="s">
        <v>30</v>
      </c>
      <c r="V687">
        <v>2394</v>
      </c>
      <c r="W687" t="s">
        <v>67</v>
      </c>
      <c r="X687" t="s">
        <v>54</v>
      </c>
      <c r="Y687" t="s">
        <v>77</v>
      </c>
    </row>
    <row r="688" spans="1:25" x14ac:dyDescent="0.35">
      <c r="A688">
        <v>2830</v>
      </c>
      <c r="B688" t="s">
        <v>324</v>
      </c>
      <c r="C688" s="1">
        <v>45049</v>
      </c>
      <c r="D688" s="1">
        <v>45634</v>
      </c>
      <c r="E688">
        <v>19</v>
      </c>
      <c r="F688">
        <v>11.99</v>
      </c>
      <c r="G688">
        <f t="shared" si="10"/>
        <v>227.81</v>
      </c>
      <c r="H688">
        <v>304</v>
      </c>
      <c r="I688" t="s">
        <v>64</v>
      </c>
      <c r="J688">
        <v>1</v>
      </c>
      <c r="K688">
        <v>1</v>
      </c>
      <c r="L688" t="b">
        <v>1</v>
      </c>
      <c r="M688">
        <v>389</v>
      </c>
      <c r="N688">
        <v>137</v>
      </c>
      <c r="O688" t="s">
        <v>50</v>
      </c>
      <c r="P688" t="s">
        <v>66</v>
      </c>
      <c r="Q688" t="s">
        <v>69</v>
      </c>
      <c r="R688">
        <v>2</v>
      </c>
      <c r="S688">
        <v>4.8</v>
      </c>
      <c r="T688" t="b">
        <v>1</v>
      </c>
      <c r="U688" t="s">
        <v>30</v>
      </c>
      <c r="V688">
        <v>4685</v>
      </c>
      <c r="W688" t="s">
        <v>37</v>
      </c>
      <c r="X688" t="s">
        <v>70</v>
      </c>
      <c r="Y688" t="s">
        <v>55</v>
      </c>
    </row>
    <row r="689" spans="1:25" x14ac:dyDescent="0.35">
      <c r="A689">
        <v>3287</v>
      </c>
      <c r="B689" t="s">
        <v>291</v>
      </c>
      <c r="C689" s="1">
        <v>45280</v>
      </c>
      <c r="D689" s="1">
        <v>45617</v>
      </c>
      <c r="E689">
        <v>11</v>
      </c>
      <c r="F689">
        <v>15.99</v>
      </c>
      <c r="G689">
        <f t="shared" si="10"/>
        <v>175.89000000000001</v>
      </c>
      <c r="H689">
        <v>90</v>
      </c>
      <c r="I689" t="s">
        <v>57</v>
      </c>
      <c r="J689">
        <v>3</v>
      </c>
      <c r="K689">
        <v>2</v>
      </c>
      <c r="L689" t="b">
        <v>0</v>
      </c>
      <c r="M689">
        <v>399</v>
      </c>
      <c r="N689">
        <v>9</v>
      </c>
      <c r="O689" t="s">
        <v>76</v>
      </c>
      <c r="P689" t="s">
        <v>28</v>
      </c>
      <c r="Q689" t="s">
        <v>43</v>
      </c>
      <c r="R689">
        <v>73</v>
      </c>
      <c r="S689">
        <v>4.4000000000000004</v>
      </c>
      <c r="T689" t="b">
        <v>1</v>
      </c>
      <c r="U689" t="s">
        <v>30</v>
      </c>
      <c r="V689">
        <v>4332</v>
      </c>
      <c r="W689" t="s">
        <v>31</v>
      </c>
      <c r="X689" t="s">
        <v>70</v>
      </c>
      <c r="Y689" t="s">
        <v>77</v>
      </c>
    </row>
    <row r="690" spans="1:25" x14ac:dyDescent="0.35">
      <c r="A690">
        <v>5679</v>
      </c>
      <c r="B690" t="s">
        <v>264</v>
      </c>
      <c r="C690" s="1">
        <v>45230</v>
      </c>
      <c r="D690" s="1">
        <v>45632</v>
      </c>
      <c r="E690">
        <v>13</v>
      </c>
      <c r="F690">
        <v>15.99</v>
      </c>
      <c r="G690">
        <f t="shared" si="10"/>
        <v>207.87</v>
      </c>
      <c r="H690">
        <v>108</v>
      </c>
      <c r="I690" t="s">
        <v>26</v>
      </c>
      <c r="J690">
        <v>4</v>
      </c>
      <c r="K690">
        <v>2</v>
      </c>
      <c r="L690" t="b">
        <v>0</v>
      </c>
      <c r="M690">
        <v>694</v>
      </c>
      <c r="N690">
        <v>199</v>
      </c>
      <c r="O690" t="s">
        <v>46</v>
      </c>
      <c r="P690" t="s">
        <v>66</v>
      </c>
      <c r="Q690" t="s">
        <v>43</v>
      </c>
      <c r="R690">
        <v>81</v>
      </c>
      <c r="S690">
        <v>5</v>
      </c>
      <c r="T690" t="b">
        <v>0</v>
      </c>
      <c r="U690" t="s">
        <v>30</v>
      </c>
      <c r="V690">
        <v>851</v>
      </c>
      <c r="W690" t="s">
        <v>59</v>
      </c>
      <c r="X690" t="s">
        <v>62</v>
      </c>
      <c r="Y690" t="s">
        <v>77</v>
      </c>
    </row>
    <row r="691" spans="1:25" x14ac:dyDescent="0.35">
      <c r="A691">
        <v>6399</v>
      </c>
      <c r="B691" t="s">
        <v>111</v>
      </c>
      <c r="C691" s="1">
        <v>44927</v>
      </c>
      <c r="D691" s="1">
        <v>45631</v>
      </c>
      <c r="E691">
        <v>23</v>
      </c>
      <c r="F691">
        <v>11.99</v>
      </c>
      <c r="G691">
        <f t="shared" si="10"/>
        <v>275.77</v>
      </c>
      <c r="H691">
        <v>96</v>
      </c>
      <c r="I691" t="s">
        <v>48</v>
      </c>
      <c r="J691">
        <v>3</v>
      </c>
      <c r="K691">
        <v>2</v>
      </c>
      <c r="L691" t="b">
        <v>0</v>
      </c>
      <c r="M691">
        <v>434</v>
      </c>
      <c r="N691">
        <v>11</v>
      </c>
      <c r="O691" t="s">
        <v>27</v>
      </c>
      <c r="P691" t="s">
        <v>51</v>
      </c>
      <c r="Q691" t="s">
        <v>69</v>
      </c>
      <c r="R691">
        <v>80</v>
      </c>
      <c r="S691">
        <v>4.5999999999999996</v>
      </c>
      <c r="T691" t="b">
        <v>0</v>
      </c>
      <c r="U691" t="s">
        <v>30</v>
      </c>
      <c r="V691">
        <v>2261</v>
      </c>
      <c r="W691" t="s">
        <v>59</v>
      </c>
      <c r="X691" t="s">
        <v>54</v>
      </c>
      <c r="Y691" t="s">
        <v>77</v>
      </c>
    </row>
    <row r="692" spans="1:25" x14ac:dyDescent="0.35">
      <c r="A692">
        <v>8753</v>
      </c>
      <c r="B692" t="s">
        <v>169</v>
      </c>
      <c r="C692" s="1">
        <v>45339</v>
      </c>
      <c r="D692" s="1">
        <v>45626</v>
      </c>
      <c r="E692">
        <v>9</v>
      </c>
      <c r="F692">
        <v>11.99</v>
      </c>
      <c r="G692">
        <f t="shared" si="10"/>
        <v>107.91</v>
      </c>
      <c r="H692">
        <v>247</v>
      </c>
      <c r="I692" t="s">
        <v>26</v>
      </c>
      <c r="J692">
        <v>2</v>
      </c>
      <c r="K692">
        <v>3</v>
      </c>
      <c r="L692" t="b">
        <v>0</v>
      </c>
      <c r="M692">
        <v>696</v>
      </c>
      <c r="N692">
        <v>28</v>
      </c>
      <c r="O692" t="s">
        <v>65</v>
      </c>
      <c r="P692" t="s">
        <v>42</v>
      </c>
      <c r="Q692" t="s">
        <v>69</v>
      </c>
      <c r="R692">
        <v>79</v>
      </c>
      <c r="S692">
        <v>4.8</v>
      </c>
      <c r="T692" t="b">
        <v>0</v>
      </c>
      <c r="U692" t="s">
        <v>30</v>
      </c>
      <c r="V692">
        <v>1500</v>
      </c>
      <c r="W692" t="s">
        <v>31</v>
      </c>
      <c r="X692" t="s">
        <v>70</v>
      </c>
      <c r="Y692" t="s">
        <v>33</v>
      </c>
    </row>
    <row r="693" spans="1:25" x14ac:dyDescent="0.35">
      <c r="A693">
        <v>9267</v>
      </c>
      <c r="B693" t="s">
        <v>186</v>
      </c>
      <c r="C693" s="1">
        <v>45419</v>
      </c>
      <c r="D693" s="1">
        <v>45620</v>
      </c>
      <c r="E693">
        <v>6</v>
      </c>
      <c r="F693">
        <v>15.99</v>
      </c>
      <c r="G693">
        <f t="shared" si="10"/>
        <v>95.94</v>
      </c>
      <c r="H693">
        <v>245</v>
      </c>
      <c r="I693" t="s">
        <v>81</v>
      </c>
      <c r="J693">
        <v>3</v>
      </c>
      <c r="K693">
        <v>5</v>
      </c>
      <c r="L693" t="b">
        <v>1</v>
      </c>
      <c r="M693">
        <v>862</v>
      </c>
      <c r="N693">
        <v>129</v>
      </c>
      <c r="O693" t="s">
        <v>50</v>
      </c>
      <c r="P693" t="s">
        <v>42</v>
      </c>
      <c r="Q693" t="s">
        <v>43</v>
      </c>
      <c r="R693">
        <v>6</v>
      </c>
      <c r="S693">
        <v>3.7</v>
      </c>
      <c r="T693" t="b">
        <v>1</v>
      </c>
      <c r="U693" t="s">
        <v>30</v>
      </c>
      <c r="V693">
        <v>2130</v>
      </c>
      <c r="W693" t="s">
        <v>67</v>
      </c>
      <c r="X693" t="s">
        <v>38</v>
      </c>
      <c r="Y693" t="s">
        <v>39</v>
      </c>
    </row>
    <row r="694" spans="1:25" x14ac:dyDescent="0.35">
      <c r="A694">
        <v>9846</v>
      </c>
      <c r="B694" t="s">
        <v>95</v>
      </c>
      <c r="C694" s="1">
        <v>44970</v>
      </c>
      <c r="D694" s="1">
        <v>45639</v>
      </c>
      <c r="E694">
        <v>22</v>
      </c>
      <c r="F694">
        <v>7.99</v>
      </c>
      <c r="G694">
        <f t="shared" si="10"/>
        <v>175.78</v>
      </c>
      <c r="H694">
        <v>366</v>
      </c>
      <c r="I694" t="s">
        <v>35</v>
      </c>
      <c r="J694">
        <v>4</v>
      </c>
      <c r="K694">
        <v>5</v>
      </c>
      <c r="L694" t="b">
        <v>0</v>
      </c>
      <c r="M694">
        <v>631</v>
      </c>
      <c r="N694">
        <v>56</v>
      </c>
      <c r="O694" t="s">
        <v>76</v>
      </c>
      <c r="P694" t="s">
        <v>28</v>
      </c>
      <c r="Q694" t="s">
        <v>52</v>
      </c>
      <c r="R694">
        <v>35</v>
      </c>
      <c r="S694">
        <v>4.0999999999999996</v>
      </c>
      <c r="T694" t="b">
        <v>0</v>
      </c>
      <c r="U694" t="s">
        <v>30</v>
      </c>
      <c r="V694">
        <v>4308</v>
      </c>
      <c r="W694" t="s">
        <v>37</v>
      </c>
      <c r="X694" t="s">
        <v>32</v>
      </c>
      <c r="Y694" t="s">
        <v>33</v>
      </c>
    </row>
    <row r="695" spans="1:25" x14ac:dyDescent="0.35">
      <c r="A695">
        <v>2382</v>
      </c>
      <c r="B695" t="s">
        <v>327</v>
      </c>
      <c r="C695" s="1">
        <v>45453</v>
      </c>
      <c r="D695" s="1">
        <v>45635</v>
      </c>
      <c r="E695">
        <v>5</v>
      </c>
      <c r="F695">
        <v>15.99</v>
      </c>
      <c r="G695">
        <f t="shared" si="10"/>
        <v>79.95</v>
      </c>
      <c r="H695">
        <v>170</v>
      </c>
      <c r="I695" t="s">
        <v>45</v>
      </c>
      <c r="J695">
        <v>1</v>
      </c>
      <c r="K695">
        <v>3</v>
      </c>
      <c r="L695" t="b">
        <v>0</v>
      </c>
      <c r="M695">
        <v>144</v>
      </c>
      <c r="N695">
        <v>142</v>
      </c>
      <c r="O695" t="s">
        <v>50</v>
      </c>
      <c r="P695" t="s">
        <v>66</v>
      </c>
      <c r="Q695" t="s">
        <v>29</v>
      </c>
      <c r="R695">
        <v>81</v>
      </c>
      <c r="S695">
        <v>4.7</v>
      </c>
      <c r="T695" t="b">
        <v>1</v>
      </c>
      <c r="U695" t="s">
        <v>30</v>
      </c>
      <c r="V695">
        <v>421</v>
      </c>
      <c r="W695" t="s">
        <v>59</v>
      </c>
      <c r="X695" t="s">
        <v>38</v>
      </c>
      <c r="Y695" t="s">
        <v>77</v>
      </c>
    </row>
    <row r="696" spans="1:25" x14ac:dyDescent="0.35">
      <c r="A696">
        <v>3593</v>
      </c>
      <c r="B696" t="s">
        <v>211</v>
      </c>
      <c r="C696" s="1">
        <v>45185</v>
      </c>
      <c r="D696" s="1">
        <v>45620</v>
      </c>
      <c r="E696">
        <v>14</v>
      </c>
      <c r="F696">
        <v>7.99</v>
      </c>
      <c r="G696">
        <f t="shared" si="10"/>
        <v>111.86</v>
      </c>
      <c r="H696">
        <v>447</v>
      </c>
      <c r="I696" t="s">
        <v>48</v>
      </c>
      <c r="J696">
        <v>3</v>
      </c>
      <c r="K696">
        <v>1</v>
      </c>
      <c r="L696" t="b">
        <v>1</v>
      </c>
      <c r="M696">
        <v>466</v>
      </c>
      <c r="N696">
        <v>198</v>
      </c>
      <c r="O696" t="s">
        <v>50</v>
      </c>
      <c r="P696" t="s">
        <v>66</v>
      </c>
      <c r="Q696" t="s">
        <v>29</v>
      </c>
      <c r="R696">
        <v>3</v>
      </c>
      <c r="S696">
        <v>4.5</v>
      </c>
      <c r="T696" t="b">
        <v>0</v>
      </c>
      <c r="U696" t="s">
        <v>30</v>
      </c>
      <c r="V696">
        <v>2163</v>
      </c>
      <c r="W696" t="s">
        <v>59</v>
      </c>
      <c r="X696" t="s">
        <v>32</v>
      </c>
      <c r="Y696" t="s">
        <v>33</v>
      </c>
    </row>
    <row r="697" spans="1:25" x14ac:dyDescent="0.35">
      <c r="A697">
        <v>4097</v>
      </c>
      <c r="B697" t="s">
        <v>183</v>
      </c>
      <c r="C697" s="1">
        <v>45033</v>
      </c>
      <c r="D697" s="1">
        <v>45642</v>
      </c>
      <c r="E697">
        <v>19</v>
      </c>
      <c r="F697">
        <v>7.99</v>
      </c>
      <c r="G697">
        <f t="shared" si="10"/>
        <v>151.81</v>
      </c>
      <c r="H697">
        <v>369</v>
      </c>
      <c r="I697" t="s">
        <v>57</v>
      </c>
      <c r="J697">
        <v>3</v>
      </c>
      <c r="K697">
        <v>1</v>
      </c>
      <c r="L697" t="b">
        <v>0</v>
      </c>
      <c r="M697">
        <v>759</v>
      </c>
      <c r="N697">
        <v>56</v>
      </c>
      <c r="O697" t="s">
        <v>61</v>
      </c>
      <c r="P697" t="s">
        <v>28</v>
      </c>
      <c r="Q697" t="s">
        <v>29</v>
      </c>
      <c r="R697">
        <v>30</v>
      </c>
      <c r="S697">
        <v>4</v>
      </c>
      <c r="T697" t="b">
        <v>0</v>
      </c>
      <c r="U697" t="s">
        <v>30</v>
      </c>
      <c r="V697">
        <v>3354</v>
      </c>
      <c r="W697" t="s">
        <v>67</v>
      </c>
      <c r="X697" t="s">
        <v>54</v>
      </c>
      <c r="Y697" t="s">
        <v>33</v>
      </c>
    </row>
    <row r="698" spans="1:25" x14ac:dyDescent="0.35">
      <c r="A698">
        <v>2886</v>
      </c>
      <c r="B698" t="s">
        <v>84</v>
      </c>
      <c r="C698" s="1">
        <v>45101</v>
      </c>
      <c r="D698" s="1">
        <v>45622</v>
      </c>
      <c r="E698">
        <v>17</v>
      </c>
      <c r="F698">
        <v>15.99</v>
      </c>
      <c r="G698">
        <f t="shared" si="10"/>
        <v>271.83</v>
      </c>
      <c r="H698">
        <v>62</v>
      </c>
      <c r="I698" t="s">
        <v>64</v>
      </c>
      <c r="J698">
        <v>5</v>
      </c>
      <c r="K698">
        <v>1</v>
      </c>
      <c r="L698" t="b">
        <v>0</v>
      </c>
      <c r="M698">
        <v>811</v>
      </c>
      <c r="N698">
        <v>109</v>
      </c>
      <c r="O698" t="s">
        <v>65</v>
      </c>
      <c r="P698" t="s">
        <v>66</v>
      </c>
      <c r="Q698" t="s">
        <v>36</v>
      </c>
      <c r="R698">
        <v>14</v>
      </c>
      <c r="S698">
        <v>3.1</v>
      </c>
      <c r="T698" t="b">
        <v>0</v>
      </c>
      <c r="U698" t="s">
        <v>30</v>
      </c>
      <c r="V698">
        <v>3702</v>
      </c>
      <c r="W698" t="s">
        <v>59</v>
      </c>
      <c r="X698" t="s">
        <v>70</v>
      </c>
      <c r="Y698" t="s">
        <v>55</v>
      </c>
    </row>
    <row r="699" spans="1:25" x14ac:dyDescent="0.35">
      <c r="A699">
        <v>3255</v>
      </c>
      <c r="B699" t="s">
        <v>311</v>
      </c>
      <c r="C699" s="1">
        <v>45297</v>
      </c>
      <c r="D699" s="1">
        <v>45623</v>
      </c>
      <c r="E699">
        <v>10</v>
      </c>
      <c r="F699">
        <v>7.99</v>
      </c>
      <c r="G699">
        <f t="shared" si="10"/>
        <v>79.900000000000006</v>
      </c>
      <c r="H699">
        <v>294</v>
      </c>
      <c r="I699" t="s">
        <v>57</v>
      </c>
      <c r="J699">
        <v>1</v>
      </c>
      <c r="K699">
        <v>3</v>
      </c>
      <c r="L699" t="b">
        <v>1</v>
      </c>
      <c r="M699">
        <v>936</v>
      </c>
      <c r="N699">
        <v>120</v>
      </c>
      <c r="O699" t="s">
        <v>76</v>
      </c>
      <c r="P699" t="s">
        <v>42</v>
      </c>
      <c r="Q699" t="s">
        <v>52</v>
      </c>
      <c r="R699">
        <v>49</v>
      </c>
      <c r="S699">
        <v>3.2</v>
      </c>
      <c r="T699" t="b">
        <v>1</v>
      </c>
      <c r="U699" t="s">
        <v>30</v>
      </c>
      <c r="V699">
        <v>3758</v>
      </c>
      <c r="W699" t="s">
        <v>67</v>
      </c>
      <c r="X699" t="s">
        <v>32</v>
      </c>
      <c r="Y699" t="s">
        <v>77</v>
      </c>
    </row>
    <row r="700" spans="1:25" x14ac:dyDescent="0.35">
      <c r="A700">
        <v>6752</v>
      </c>
      <c r="B700" t="s">
        <v>132</v>
      </c>
      <c r="C700" s="1">
        <v>45406</v>
      </c>
      <c r="D700" s="1">
        <v>45635</v>
      </c>
      <c r="E700">
        <v>7</v>
      </c>
      <c r="F700">
        <v>11.99</v>
      </c>
      <c r="G700">
        <f t="shared" si="10"/>
        <v>83.93</v>
      </c>
      <c r="H700">
        <v>10</v>
      </c>
      <c r="I700" t="s">
        <v>48</v>
      </c>
      <c r="J700">
        <v>2</v>
      </c>
      <c r="K700">
        <v>4</v>
      </c>
      <c r="L700" t="b">
        <v>0</v>
      </c>
      <c r="M700">
        <v>146</v>
      </c>
      <c r="N700">
        <v>95</v>
      </c>
      <c r="O700" t="s">
        <v>61</v>
      </c>
      <c r="P700" t="s">
        <v>51</v>
      </c>
      <c r="Q700" t="s">
        <v>52</v>
      </c>
      <c r="R700">
        <v>99</v>
      </c>
      <c r="S700">
        <v>3.8</v>
      </c>
      <c r="T700" t="b">
        <v>1</v>
      </c>
      <c r="U700" t="s">
        <v>30</v>
      </c>
      <c r="V700">
        <v>3942</v>
      </c>
      <c r="W700" t="s">
        <v>67</v>
      </c>
      <c r="X700" t="s">
        <v>32</v>
      </c>
      <c r="Y700" t="s">
        <v>77</v>
      </c>
    </row>
    <row r="701" spans="1:25" x14ac:dyDescent="0.35">
      <c r="A701">
        <v>7945</v>
      </c>
      <c r="B701" t="s">
        <v>354</v>
      </c>
      <c r="C701" s="1">
        <v>45031</v>
      </c>
      <c r="D701" s="1">
        <v>45625</v>
      </c>
      <c r="E701">
        <v>19</v>
      </c>
      <c r="F701">
        <v>11.99</v>
      </c>
      <c r="G701">
        <f t="shared" si="10"/>
        <v>227.81</v>
      </c>
      <c r="H701">
        <v>389</v>
      </c>
      <c r="I701" t="s">
        <v>57</v>
      </c>
      <c r="J701">
        <v>2</v>
      </c>
      <c r="K701">
        <v>2</v>
      </c>
      <c r="L701" t="b">
        <v>1</v>
      </c>
      <c r="M701">
        <v>631</v>
      </c>
      <c r="N701">
        <v>85</v>
      </c>
      <c r="O701" t="s">
        <v>61</v>
      </c>
      <c r="P701" t="s">
        <v>42</v>
      </c>
      <c r="Q701" t="s">
        <v>52</v>
      </c>
      <c r="R701">
        <v>53</v>
      </c>
      <c r="S701">
        <v>3.3</v>
      </c>
      <c r="T701" t="b">
        <v>1</v>
      </c>
      <c r="U701" t="s">
        <v>30</v>
      </c>
      <c r="V701">
        <v>2242</v>
      </c>
      <c r="W701" t="s">
        <v>37</v>
      </c>
      <c r="X701" t="s">
        <v>70</v>
      </c>
      <c r="Y701" t="s">
        <v>77</v>
      </c>
    </row>
    <row r="702" spans="1:25" x14ac:dyDescent="0.35">
      <c r="A702">
        <v>6658</v>
      </c>
      <c r="B702" t="s">
        <v>111</v>
      </c>
      <c r="C702" s="1">
        <v>45383</v>
      </c>
      <c r="D702" s="1">
        <v>45631</v>
      </c>
      <c r="E702">
        <v>8</v>
      </c>
      <c r="F702">
        <v>7.99</v>
      </c>
      <c r="G702">
        <f t="shared" si="10"/>
        <v>63.92</v>
      </c>
      <c r="H702">
        <v>55</v>
      </c>
      <c r="I702" t="s">
        <v>45</v>
      </c>
      <c r="J702">
        <v>5</v>
      </c>
      <c r="K702">
        <v>6</v>
      </c>
      <c r="L702" t="b">
        <v>0</v>
      </c>
      <c r="M702">
        <v>682</v>
      </c>
      <c r="N702">
        <v>141</v>
      </c>
      <c r="O702" t="s">
        <v>27</v>
      </c>
      <c r="P702" t="s">
        <v>42</v>
      </c>
      <c r="Q702" t="s">
        <v>29</v>
      </c>
      <c r="R702">
        <v>42</v>
      </c>
      <c r="S702">
        <v>3.6</v>
      </c>
      <c r="T702" t="b">
        <v>1</v>
      </c>
      <c r="U702" t="s">
        <v>30</v>
      </c>
      <c r="V702">
        <v>2561</v>
      </c>
      <c r="W702" t="s">
        <v>37</v>
      </c>
      <c r="X702" t="s">
        <v>62</v>
      </c>
      <c r="Y702" t="s">
        <v>33</v>
      </c>
    </row>
    <row r="703" spans="1:25" x14ac:dyDescent="0.35">
      <c r="A703">
        <v>5468</v>
      </c>
      <c r="B703" t="s">
        <v>355</v>
      </c>
      <c r="C703" s="1">
        <v>45384</v>
      </c>
      <c r="D703" s="1">
        <v>45616</v>
      </c>
      <c r="E703">
        <v>7</v>
      </c>
      <c r="F703">
        <v>11.99</v>
      </c>
      <c r="G703">
        <f t="shared" si="10"/>
        <v>83.93</v>
      </c>
      <c r="H703">
        <v>208</v>
      </c>
      <c r="I703" t="s">
        <v>81</v>
      </c>
      <c r="J703">
        <v>4</v>
      </c>
      <c r="K703">
        <v>6</v>
      </c>
      <c r="L703" t="b">
        <v>1</v>
      </c>
      <c r="M703">
        <v>135</v>
      </c>
      <c r="N703">
        <v>9</v>
      </c>
      <c r="O703" t="s">
        <v>27</v>
      </c>
      <c r="P703" t="s">
        <v>28</v>
      </c>
      <c r="Q703" t="s">
        <v>29</v>
      </c>
      <c r="R703">
        <v>41</v>
      </c>
      <c r="S703">
        <v>3</v>
      </c>
      <c r="T703" t="b">
        <v>1</v>
      </c>
      <c r="U703" t="s">
        <v>30</v>
      </c>
      <c r="V703">
        <v>2465</v>
      </c>
      <c r="W703" t="s">
        <v>67</v>
      </c>
      <c r="X703" t="s">
        <v>32</v>
      </c>
      <c r="Y703" t="s">
        <v>33</v>
      </c>
    </row>
    <row r="704" spans="1:25" x14ac:dyDescent="0.35">
      <c r="A704">
        <v>7451</v>
      </c>
      <c r="B704" t="s">
        <v>159</v>
      </c>
      <c r="C704" s="1">
        <v>45497</v>
      </c>
      <c r="D704" s="1">
        <v>45635</v>
      </c>
      <c r="E704">
        <v>4</v>
      </c>
      <c r="F704">
        <v>15.99</v>
      </c>
      <c r="G704">
        <f t="shared" si="10"/>
        <v>63.96</v>
      </c>
      <c r="H704">
        <v>198</v>
      </c>
      <c r="I704" t="s">
        <v>45</v>
      </c>
      <c r="J704">
        <v>5</v>
      </c>
      <c r="K704">
        <v>5</v>
      </c>
      <c r="L704" t="b">
        <v>1</v>
      </c>
      <c r="M704">
        <v>255</v>
      </c>
      <c r="N704">
        <v>183</v>
      </c>
      <c r="O704" t="s">
        <v>41</v>
      </c>
      <c r="P704" t="s">
        <v>42</v>
      </c>
      <c r="Q704" t="s">
        <v>69</v>
      </c>
      <c r="R704">
        <v>92</v>
      </c>
      <c r="S704">
        <v>4.9000000000000004</v>
      </c>
      <c r="T704" t="b">
        <v>0</v>
      </c>
      <c r="U704" t="s">
        <v>30</v>
      </c>
      <c r="V704">
        <v>4435</v>
      </c>
      <c r="W704" t="s">
        <v>67</v>
      </c>
      <c r="X704" t="s">
        <v>54</v>
      </c>
      <c r="Y704" t="s">
        <v>55</v>
      </c>
    </row>
    <row r="705" spans="1:25" x14ac:dyDescent="0.35">
      <c r="A705">
        <v>1253</v>
      </c>
      <c r="B705" t="s">
        <v>111</v>
      </c>
      <c r="C705" s="1">
        <v>45482</v>
      </c>
      <c r="D705" s="1">
        <v>45631</v>
      </c>
      <c r="E705">
        <v>4</v>
      </c>
      <c r="F705">
        <v>11.99</v>
      </c>
      <c r="G705">
        <f t="shared" si="10"/>
        <v>47.96</v>
      </c>
      <c r="H705">
        <v>280</v>
      </c>
      <c r="I705" t="s">
        <v>57</v>
      </c>
      <c r="J705">
        <v>1</v>
      </c>
      <c r="K705">
        <v>1</v>
      </c>
      <c r="L705" t="b">
        <v>1</v>
      </c>
      <c r="M705">
        <v>702</v>
      </c>
      <c r="N705">
        <v>58</v>
      </c>
      <c r="O705" t="s">
        <v>76</v>
      </c>
      <c r="P705" t="s">
        <v>28</v>
      </c>
      <c r="Q705" t="s">
        <v>69</v>
      </c>
      <c r="R705">
        <v>13</v>
      </c>
      <c r="S705">
        <v>3.2</v>
      </c>
      <c r="T705" t="b">
        <v>0</v>
      </c>
      <c r="U705" t="s">
        <v>30</v>
      </c>
      <c r="V705">
        <v>4116</v>
      </c>
      <c r="W705" t="s">
        <v>31</v>
      </c>
      <c r="X705" t="s">
        <v>62</v>
      </c>
      <c r="Y705" t="s">
        <v>77</v>
      </c>
    </row>
    <row r="706" spans="1:25" x14ac:dyDescent="0.35">
      <c r="A706">
        <v>6746</v>
      </c>
      <c r="B706" t="s">
        <v>316</v>
      </c>
      <c r="C706" s="1">
        <v>45598</v>
      </c>
      <c r="D706" s="1">
        <v>45624</v>
      </c>
      <c r="E706">
        <v>0</v>
      </c>
      <c r="F706">
        <v>7.99</v>
      </c>
      <c r="G706">
        <f t="shared" si="10"/>
        <v>0</v>
      </c>
      <c r="H706">
        <v>161</v>
      </c>
      <c r="I706" t="s">
        <v>64</v>
      </c>
      <c r="J706">
        <v>2</v>
      </c>
      <c r="K706">
        <v>5</v>
      </c>
      <c r="L706" t="b">
        <v>0</v>
      </c>
      <c r="M706">
        <v>151</v>
      </c>
      <c r="N706">
        <v>109</v>
      </c>
      <c r="O706" t="s">
        <v>46</v>
      </c>
      <c r="P706" t="s">
        <v>66</v>
      </c>
      <c r="Q706" t="s">
        <v>58</v>
      </c>
      <c r="R706">
        <v>27</v>
      </c>
      <c r="S706">
        <v>3.3</v>
      </c>
      <c r="T706" t="b">
        <v>0</v>
      </c>
      <c r="U706" t="s">
        <v>30</v>
      </c>
      <c r="V706">
        <v>944</v>
      </c>
      <c r="W706" t="s">
        <v>53</v>
      </c>
      <c r="X706" t="s">
        <v>32</v>
      </c>
      <c r="Y706" t="s">
        <v>77</v>
      </c>
    </row>
    <row r="707" spans="1:25" x14ac:dyDescent="0.35">
      <c r="A707">
        <v>8089</v>
      </c>
      <c r="B707" t="s">
        <v>152</v>
      </c>
      <c r="C707" s="1">
        <v>45451</v>
      </c>
      <c r="D707" s="1">
        <v>45623</v>
      </c>
      <c r="E707">
        <v>5</v>
      </c>
      <c r="F707">
        <v>7.99</v>
      </c>
      <c r="G707">
        <f t="shared" ref="G707:G770" si="11">F707*E707</f>
        <v>39.950000000000003</v>
      </c>
      <c r="H707">
        <v>439</v>
      </c>
      <c r="I707" t="s">
        <v>26</v>
      </c>
      <c r="J707">
        <v>2</v>
      </c>
      <c r="K707">
        <v>2</v>
      </c>
      <c r="L707" t="b">
        <v>1</v>
      </c>
      <c r="M707">
        <v>421</v>
      </c>
      <c r="N707">
        <v>138</v>
      </c>
      <c r="O707" t="s">
        <v>50</v>
      </c>
      <c r="P707" t="s">
        <v>42</v>
      </c>
      <c r="Q707" t="s">
        <v>52</v>
      </c>
      <c r="R707">
        <v>14</v>
      </c>
      <c r="S707">
        <v>4.0999999999999996</v>
      </c>
      <c r="T707" t="b">
        <v>0</v>
      </c>
      <c r="U707" t="s">
        <v>30</v>
      </c>
      <c r="V707">
        <v>4219</v>
      </c>
      <c r="W707" t="s">
        <v>53</v>
      </c>
      <c r="X707" t="s">
        <v>32</v>
      </c>
      <c r="Y707" t="s">
        <v>55</v>
      </c>
    </row>
    <row r="708" spans="1:25" x14ac:dyDescent="0.35">
      <c r="A708">
        <v>8045</v>
      </c>
      <c r="B708" t="s">
        <v>197</v>
      </c>
      <c r="C708" s="1">
        <v>45233</v>
      </c>
      <c r="D708" s="1">
        <v>45628</v>
      </c>
      <c r="E708">
        <v>12</v>
      </c>
      <c r="F708">
        <v>7.99</v>
      </c>
      <c r="G708">
        <f t="shared" si="11"/>
        <v>95.88</v>
      </c>
      <c r="H708">
        <v>339</v>
      </c>
      <c r="I708" t="s">
        <v>81</v>
      </c>
      <c r="J708">
        <v>5</v>
      </c>
      <c r="K708">
        <v>5</v>
      </c>
      <c r="L708" t="b">
        <v>1</v>
      </c>
      <c r="M708">
        <v>354</v>
      </c>
      <c r="N708">
        <v>129</v>
      </c>
      <c r="O708" t="s">
        <v>76</v>
      </c>
      <c r="P708" t="s">
        <v>66</v>
      </c>
      <c r="Q708" t="s">
        <v>69</v>
      </c>
      <c r="R708">
        <v>14</v>
      </c>
      <c r="S708">
        <v>3.9</v>
      </c>
      <c r="T708" t="b">
        <v>0</v>
      </c>
      <c r="U708" t="s">
        <v>30</v>
      </c>
      <c r="V708">
        <v>4311</v>
      </c>
      <c r="W708" t="s">
        <v>37</v>
      </c>
      <c r="X708" t="s">
        <v>62</v>
      </c>
      <c r="Y708" t="s">
        <v>33</v>
      </c>
    </row>
    <row r="709" spans="1:25" x14ac:dyDescent="0.35">
      <c r="A709">
        <v>9417</v>
      </c>
      <c r="B709" t="s">
        <v>94</v>
      </c>
      <c r="C709" s="1">
        <v>45580</v>
      </c>
      <c r="D709" s="1">
        <v>45624</v>
      </c>
      <c r="E709">
        <v>1</v>
      </c>
      <c r="F709">
        <v>11.99</v>
      </c>
      <c r="G709">
        <f t="shared" si="11"/>
        <v>11.99</v>
      </c>
      <c r="H709">
        <v>52</v>
      </c>
      <c r="I709" t="s">
        <v>26</v>
      </c>
      <c r="J709">
        <v>4</v>
      </c>
      <c r="K709">
        <v>4</v>
      </c>
      <c r="L709" t="b">
        <v>0</v>
      </c>
      <c r="M709">
        <v>377</v>
      </c>
      <c r="N709">
        <v>135</v>
      </c>
      <c r="O709" t="s">
        <v>46</v>
      </c>
      <c r="P709" t="s">
        <v>51</v>
      </c>
      <c r="Q709" t="s">
        <v>52</v>
      </c>
      <c r="R709">
        <v>90</v>
      </c>
      <c r="S709">
        <v>4.0999999999999996</v>
      </c>
      <c r="T709" t="b">
        <v>1</v>
      </c>
      <c r="U709" t="s">
        <v>30</v>
      </c>
      <c r="V709">
        <v>1972</v>
      </c>
      <c r="W709" t="s">
        <v>53</v>
      </c>
      <c r="X709" t="s">
        <v>38</v>
      </c>
      <c r="Y709" t="s">
        <v>39</v>
      </c>
    </row>
    <row r="710" spans="1:25" x14ac:dyDescent="0.35">
      <c r="A710">
        <v>3217</v>
      </c>
      <c r="B710" t="s">
        <v>102</v>
      </c>
      <c r="C710" s="1">
        <v>45420</v>
      </c>
      <c r="D710" s="1">
        <v>45642</v>
      </c>
      <c r="E710">
        <v>7</v>
      </c>
      <c r="F710">
        <v>15.99</v>
      </c>
      <c r="G710">
        <f t="shared" si="11"/>
        <v>111.93</v>
      </c>
      <c r="H710">
        <v>297</v>
      </c>
      <c r="I710" t="s">
        <v>64</v>
      </c>
      <c r="J710">
        <v>5</v>
      </c>
      <c r="K710">
        <v>3</v>
      </c>
      <c r="L710" t="b">
        <v>0</v>
      </c>
      <c r="M710">
        <v>796</v>
      </c>
      <c r="N710">
        <v>200</v>
      </c>
      <c r="O710" t="s">
        <v>76</v>
      </c>
      <c r="P710" t="s">
        <v>66</v>
      </c>
      <c r="Q710" t="s">
        <v>69</v>
      </c>
      <c r="R710">
        <v>36</v>
      </c>
      <c r="S710">
        <v>3.1</v>
      </c>
      <c r="T710" t="b">
        <v>1</v>
      </c>
      <c r="U710" t="s">
        <v>30</v>
      </c>
      <c r="V710">
        <v>2132</v>
      </c>
      <c r="W710" t="s">
        <v>31</v>
      </c>
      <c r="X710" t="s">
        <v>70</v>
      </c>
      <c r="Y710" t="s">
        <v>39</v>
      </c>
    </row>
    <row r="711" spans="1:25" x14ac:dyDescent="0.35">
      <c r="A711">
        <v>4234</v>
      </c>
      <c r="B711" t="s">
        <v>111</v>
      </c>
      <c r="C711" s="1">
        <v>44934</v>
      </c>
      <c r="D711" s="1">
        <v>45615</v>
      </c>
      <c r="E711">
        <v>22</v>
      </c>
      <c r="F711">
        <v>15.99</v>
      </c>
      <c r="G711">
        <f t="shared" si="11"/>
        <v>351.78000000000003</v>
      </c>
      <c r="H711">
        <v>40</v>
      </c>
      <c r="I711" t="s">
        <v>48</v>
      </c>
      <c r="J711">
        <v>5</v>
      </c>
      <c r="K711">
        <v>1</v>
      </c>
      <c r="L711" t="b">
        <v>1</v>
      </c>
      <c r="M711">
        <v>841</v>
      </c>
      <c r="N711">
        <v>179</v>
      </c>
      <c r="O711" t="s">
        <v>61</v>
      </c>
      <c r="P711" t="s">
        <v>28</v>
      </c>
      <c r="Q711" t="s">
        <v>36</v>
      </c>
      <c r="R711">
        <v>59</v>
      </c>
      <c r="S711">
        <v>3.5</v>
      </c>
      <c r="T711" t="b">
        <v>1</v>
      </c>
      <c r="U711" t="s">
        <v>30</v>
      </c>
      <c r="V711">
        <v>2370</v>
      </c>
      <c r="W711" t="s">
        <v>53</v>
      </c>
      <c r="X711" t="s">
        <v>70</v>
      </c>
      <c r="Y711" t="s">
        <v>77</v>
      </c>
    </row>
    <row r="712" spans="1:25" x14ac:dyDescent="0.35">
      <c r="A712">
        <v>1118</v>
      </c>
      <c r="B712" t="s">
        <v>156</v>
      </c>
      <c r="C712" s="1">
        <v>45329</v>
      </c>
      <c r="D712" s="1">
        <v>45637</v>
      </c>
      <c r="E712">
        <v>10</v>
      </c>
      <c r="F712">
        <v>15.99</v>
      </c>
      <c r="G712">
        <f t="shared" si="11"/>
        <v>159.9</v>
      </c>
      <c r="H712">
        <v>379</v>
      </c>
      <c r="I712" t="s">
        <v>26</v>
      </c>
      <c r="J712">
        <v>2</v>
      </c>
      <c r="K712">
        <v>1</v>
      </c>
      <c r="L712" t="b">
        <v>1</v>
      </c>
      <c r="M712">
        <v>885</v>
      </c>
      <c r="N712">
        <v>110</v>
      </c>
      <c r="O712" t="s">
        <v>46</v>
      </c>
      <c r="P712" t="s">
        <v>42</v>
      </c>
      <c r="Q712" t="s">
        <v>52</v>
      </c>
      <c r="R712">
        <v>43</v>
      </c>
      <c r="S712">
        <v>4.2</v>
      </c>
      <c r="T712" t="b">
        <v>1</v>
      </c>
      <c r="U712" t="s">
        <v>30</v>
      </c>
      <c r="V712">
        <v>1312</v>
      </c>
      <c r="W712" t="s">
        <v>53</v>
      </c>
      <c r="X712" t="s">
        <v>70</v>
      </c>
      <c r="Y712" t="s">
        <v>39</v>
      </c>
    </row>
    <row r="713" spans="1:25" x14ac:dyDescent="0.35">
      <c r="A713">
        <v>4027</v>
      </c>
      <c r="B713" t="s">
        <v>354</v>
      </c>
      <c r="C713" s="1">
        <v>45395</v>
      </c>
      <c r="D713" s="1">
        <v>45620</v>
      </c>
      <c r="E713">
        <v>7</v>
      </c>
      <c r="F713">
        <v>15.99</v>
      </c>
      <c r="G713">
        <f t="shared" si="11"/>
        <v>111.93</v>
      </c>
      <c r="H713">
        <v>82</v>
      </c>
      <c r="I713" t="s">
        <v>57</v>
      </c>
      <c r="J713">
        <v>2</v>
      </c>
      <c r="K713">
        <v>3</v>
      </c>
      <c r="L713" t="b">
        <v>0</v>
      </c>
      <c r="M713">
        <v>999</v>
      </c>
      <c r="N713">
        <v>190</v>
      </c>
      <c r="O713" t="s">
        <v>76</v>
      </c>
      <c r="P713" t="s">
        <v>28</v>
      </c>
      <c r="Q713" t="s">
        <v>52</v>
      </c>
      <c r="R713">
        <v>57</v>
      </c>
      <c r="S713">
        <v>3.1</v>
      </c>
      <c r="T713" t="b">
        <v>1</v>
      </c>
      <c r="U713" t="s">
        <v>30</v>
      </c>
      <c r="V713">
        <v>4920</v>
      </c>
      <c r="W713" t="s">
        <v>67</v>
      </c>
      <c r="X713" t="s">
        <v>32</v>
      </c>
      <c r="Y713" t="s">
        <v>77</v>
      </c>
    </row>
    <row r="714" spans="1:25" x14ac:dyDescent="0.35">
      <c r="A714">
        <v>8451</v>
      </c>
      <c r="B714" t="s">
        <v>356</v>
      </c>
      <c r="C714" s="1">
        <v>44987</v>
      </c>
      <c r="D714" s="1">
        <v>45619</v>
      </c>
      <c r="E714">
        <v>20</v>
      </c>
      <c r="F714">
        <v>11.99</v>
      </c>
      <c r="G714">
        <f t="shared" si="11"/>
        <v>239.8</v>
      </c>
      <c r="H714">
        <v>192</v>
      </c>
      <c r="I714" t="s">
        <v>26</v>
      </c>
      <c r="J714">
        <v>3</v>
      </c>
      <c r="K714">
        <v>3</v>
      </c>
      <c r="L714" t="b">
        <v>0</v>
      </c>
      <c r="M714">
        <v>585</v>
      </c>
      <c r="N714">
        <v>82</v>
      </c>
      <c r="O714" t="s">
        <v>65</v>
      </c>
      <c r="P714" t="s">
        <v>66</v>
      </c>
      <c r="Q714" t="s">
        <v>29</v>
      </c>
      <c r="R714">
        <v>59</v>
      </c>
      <c r="S714">
        <v>4.0999999999999996</v>
      </c>
      <c r="T714" t="b">
        <v>1</v>
      </c>
      <c r="U714" t="s">
        <v>30</v>
      </c>
      <c r="V714">
        <v>2897</v>
      </c>
      <c r="W714" t="s">
        <v>53</v>
      </c>
      <c r="X714" t="s">
        <v>62</v>
      </c>
      <c r="Y714" t="s">
        <v>55</v>
      </c>
    </row>
    <row r="715" spans="1:25" x14ac:dyDescent="0.35">
      <c r="A715">
        <v>6647</v>
      </c>
      <c r="B715" t="s">
        <v>74</v>
      </c>
      <c r="C715" s="1">
        <v>45584</v>
      </c>
      <c r="D715" s="1">
        <v>45625</v>
      </c>
      <c r="E715">
        <v>1</v>
      </c>
      <c r="F715">
        <v>15.99</v>
      </c>
      <c r="G715">
        <f t="shared" si="11"/>
        <v>15.99</v>
      </c>
      <c r="H715">
        <v>286</v>
      </c>
      <c r="I715" t="s">
        <v>35</v>
      </c>
      <c r="J715">
        <v>5</v>
      </c>
      <c r="K715">
        <v>2</v>
      </c>
      <c r="L715" t="b">
        <v>0</v>
      </c>
      <c r="M715">
        <v>617</v>
      </c>
      <c r="N715">
        <v>89</v>
      </c>
      <c r="O715" t="s">
        <v>41</v>
      </c>
      <c r="P715" t="s">
        <v>28</v>
      </c>
      <c r="Q715" t="s">
        <v>36</v>
      </c>
      <c r="R715">
        <v>64</v>
      </c>
      <c r="S715">
        <v>3.2</v>
      </c>
      <c r="T715" t="b">
        <v>1</v>
      </c>
      <c r="U715" t="s">
        <v>30</v>
      </c>
      <c r="V715">
        <v>1275</v>
      </c>
      <c r="W715" t="s">
        <v>31</v>
      </c>
      <c r="X715" t="s">
        <v>62</v>
      </c>
      <c r="Y715" t="s">
        <v>77</v>
      </c>
    </row>
    <row r="716" spans="1:25" x14ac:dyDescent="0.35">
      <c r="A716">
        <v>4002</v>
      </c>
      <c r="B716" t="s">
        <v>263</v>
      </c>
      <c r="C716" s="1">
        <v>45389</v>
      </c>
      <c r="D716" s="1">
        <v>45637</v>
      </c>
      <c r="E716">
        <v>8</v>
      </c>
      <c r="F716">
        <v>11.99</v>
      </c>
      <c r="G716">
        <f t="shared" si="11"/>
        <v>95.92</v>
      </c>
      <c r="H716">
        <v>452</v>
      </c>
      <c r="I716" t="s">
        <v>57</v>
      </c>
      <c r="J716">
        <v>2</v>
      </c>
      <c r="K716">
        <v>6</v>
      </c>
      <c r="L716" t="b">
        <v>0</v>
      </c>
      <c r="M716">
        <v>196</v>
      </c>
      <c r="N716">
        <v>132</v>
      </c>
      <c r="O716" t="s">
        <v>76</v>
      </c>
      <c r="P716" t="s">
        <v>66</v>
      </c>
      <c r="Q716" t="s">
        <v>52</v>
      </c>
      <c r="R716">
        <v>84</v>
      </c>
      <c r="S716">
        <v>3.7</v>
      </c>
      <c r="T716" t="b">
        <v>1</v>
      </c>
      <c r="U716" t="s">
        <v>30</v>
      </c>
      <c r="V716">
        <v>340</v>
      </c>
      <c r="W716" t="s">
        <v>67</v>
      </c>
      <c r="X716" t="s">
        <v>54</v>
      </c>
      <c r="Y716" t="s">
        <v>39</v>
      </c>
    </row>
    <row r="717" spans="1:25" x14ac:dyDescent="0.35">
      <c r="A717">
        <v>6910</v>
      </c>
      <c r="B717" t="s">
        <v>217</v>
      </c>
      <c r="C717" s="1">
        <v>44988</v>
      </c>
      <c r="D717" s="1">
        <v>45623</v>
      </c>
      <c r="E717">
        <v>20</v>
      </c>
      <c r="F717">
        <v>7.99</v>
      </c>
      <c r="G717">
        <f t="shared" si="11"/>
        <v>159.80000000000001</v>
      </c>
      <c r="H717">
        <v>417</v>
      </c>
      <c r="I717" t="s">
        <v>57</v>
      </c>
      <c r="J717">
        <v>4</v>
      </c>
      <c r="K717">
        <v>5</v>
      </c>
      <c r="L717" t="b">
        <v>0</v>
      </c>
      <c r="M717">
        <v>792</v>
      </c>
      <c r="N717">
        <v>187</v>
      </c>
      <c r="O717" t="s">
        <v>76</v>
      </c>
      <c r="P717" t="s">
        <v>66</v>
      </c>
      <c r="Q717" t="s">
        <v>58</v>
      </c>
      <c r="R717">
        <v>5</v>
      </c>
      <c r="S717">
        <v>4.5999999999999996</v>
      </c>
      <c r="T717" t="b">
        <v>1</v>
      </c>
      <c r="U717" t="s">
        <v>30</v>
      </c>
      <c r="V717">
        <v>444</v>
      </c>
      <c r="W717" t="s">
        <v>53</v>
      </c>
      <c r="X717" t="s">
        <v>38</v>
      </c>
      <c r="Y717" t="s">
        <v>77</v>
      </c>
    </row>
    <row r="718" spans="1:25" x14ac:dyDescent="0.35">
      <c r="A718">
        <v>3164</v>
      </c>
      <c r="B718" t="s">
        <v>205</v>
      </c>
      <c r="C718" s="1">
        <v>45191</v>
      </c>
      <c r="D718" s="1">
        <v>45639</v>
      </c>
      <c r="E718">
        <v>14</v>
      </c>
      <c r="F718">
        <v>15.99</v>
      </c>
      <c r="G718">
        <f t="shared" si="11"/>
        <v>223.86</v>
      </c>
      <c r="H718">
        <v>371</v>
      </c>
      <c r="I718" t="s">
        <v>64</v>
      </c>
      <c r="J718">
        <v>1</v>
      </c>
      <c r="K718">
        <v>5</v>
      </c>
      <c r="L718" t="b">
        <v>1</v>
      </c>
      <c r="M718">
        <v>466</v>
      </c>
      <c r="N718">
        <v>176</v>
      </c>
      <c r="O718" t="s">
        <v>41</v>
      </c>
      <c r="P718" t="s">
        <v>66</v>
      </c>
      <c r="Q718" t="s">
        <v>29</v>
      </c>
      <c r="R718">
        <v>73</v>
      </c>
      <c r="S718">
        <v>4.9000000000000004</v>
      </c>
      <c r="T718" t="b">
        <v>0</v>
      </c>
      <c r="U718" t="s">
        <v>30</v>
      </c>
      <c r="V718">
        <v>292</v>
      </c>
      <c r="W718" t="s">
        <v>37</v>
      </c>
      <c r="X718" t="s">
        <v>38</v>
      </c>
      <c r="Y718" t="s">
        <v>55</v>
      </c>
    </row>
    <row r="719" spans="1:25" x14ac:dyDescent="0.35">
      <c r="A719">
        <v>2400</v>
      </c>
      <c r="B719" t="s">
        <v>101</v>
      </c>
      <c r="C719" s="1">
        <v>45239</v>
      </c>
      <c r="D719" s="1">
        <v>45638</v>
      </c>
      <c r="E719">
        <v>13</v>
      </c>
      <c r="F719">
        <v>15.99</v>
      </c>
      <c r="G719">
        <f t="shared" si="11"/>
        <v>207.87</v>
      </c>
      <c r="H719">
        <v>110</v>
      </c>
      <c r="I719" t="s">
        <v>57</v>
      </c>
      <c r="J719">
        <v>2</v>
      </c>
      <c r="K719">
        <v>5</v>
      </c>
      <c r="L719" t="b">
        <v>1</v>
      </c>
      <c r="M719">
        <v>684</v>
      </c>
      <c r="N719">
        <v>32</v>
      </c>
      <c r="O719" t="s">
        <v>46</v>
      </c>
      <c r="P719" t="s">
        <v>28</v>
      </c>
      <c r="Q719" t="s">
        <v>69</v>
      </c>
      <c r="R719">
        <v>68</v>
      </c>
      <c r="S719">
        <v>4</v>
      </c>
      <c r="T719" t="b">
        <v>0</v>
      </c>
      <c r="U719" t="s">
        <v>30</v>
      </c>
      <c r="V719">
        <v>53</v>
      </c>
      <c r="W719" t="s">
        <v>59</v>
      </c>
      <c r="X719" t="s">
        <v>38</v>
      </c>
      <c r="Y719" t="s">
        <v>33</v>
      </c>
    </row>
    <row r="720" spans="1:25" x14ac:dyDescent="0.35">
      <c r="A720">
        <v>5499</v>
      </c>
      <c r="B720" t="s">
        <v>247</v>
      </c>
      <c r="C720" s="1">
        <v>45101</v>
      </c>
      <c r="D720" s="1">
        <v>45628</v>
      </c>
      <c r="E720">
        <v>17</v>
      </c>
      <c r="F720">
        <v>15.99</v>
      </c>
      <c r="G720">
        <f t="shared" si="11"/>
        <v>271.83</v>
      </c>
      <c r="H720">
        <v>274</v>
      </c>
      <c r="I720" t="s">
        <v>57</v>
      </c>
      <c r="J720">
        <v>2</v>
      </c>
      <c r="K720">
        <v>1</v>
      </c>
      <c r="L720" t="b">
        <v>1</v>
      </c>
      <c r="M720">
        <v>155</v>
      </c>
      <c r="N720">
        <v>94</v>
      </c>
      <c r="O720" t="s">
        <v>46</v>
      </c>
      <c r="P720" t="s">
        <v>42</v>
      </c>
      <c r="Q720" t="s">
        <v>36</v>
      </c>
      <c r="R720">
        <v>96</v>
      </c>
      <c r="S720">
        <v>3.5</v>
      </c>
      <c r="T720" t="b">
        <v>0</v>
      </c>
      <c r="U720" t="s">
        <v>30</v>
      </c>
      <c r="V720">
        <v>1638</v>
      </c>
      <c r="W720" t="s">
        <v>37</v>
      </c>
      <c r="X720" t="s">
        <v>32</v>
      </c>
      <c r="Y720" t="s">
        <v>39</v>
      </c>
    </row>
    <row r="721" spans="1:25" x14ac:dyDescent="0.35">
      <c r="A721">
        <v>7221</v>
      </c>
      <c r="B721" t="s">
        <v>229</v>
      </c>
      <c r="C721" s="1">
        <v>45366</v>
      </c>
      <c r="D721" s="1">
        <v>45621</v>
      </c>
      <c r="E721">
        <v>8</v>
      </c>
      <c r="F721">
        <v>15.99</v>
      </c>
      <c r="G721">
        <f t="shared" si="11"/>
        <v>127.92</v>
      </c>
      <c r="H721">
        <v>412</v>
      </c>
      <c r="I721" t="s">
        <v>45</v>
      </c>
      <c r="J721">
        <v>2</v>
      </c>
      <c r="K721">
        <v>5</v>
      </c>
      <c r="L721" t="b">
        <v>1</v>
      </c>
      <c r="M721">
        <v>450</v>
      </c>
      <c r="N721">
        <v>147</v>
      </c>
      <c r="O721" t="s">
        <v>61</v>
      </c>
      <c r="P721" t="s">
        <v>42</v>
      </c>
      <c r="Q721" t="s">
        <v>29</v>
      </c>
      <c r="R721">
        <v>11</v>
      </c>
      <c r="S721">
        <v>4.4000000000000004</v>
      </c>
      <c r="T721" t="b">
        <v>1</v>
      </c>
      <c r="U721" t="s">
        <v>30</v>
      </c>
      <c r="V721">
        <v>3542</v>
      </c>
      <c r="W721" t="s">
        <v>67</v>
      </c>
      <c r="X721" t="s">
        <v>38</v>
      </c>
      <c r="Y721" t="s">
        <v>33</v>
      </c>
    </row>
    <row r="722" spans="1:25" x14ac:dyDescent="0.35">
      <c r="A722">
        <v>4556</v>
      </c>
      <c r="B722" t="s">
        <v>90</v>
      </c>
      <c r="C722" s="1">
        <v>44967</v>
      </c>
      <c r="D722" s="1">
        <v>45625</v>
      </c>
      <c r="E722">
        <v>21</v>
      </c>
      <c r="F722">
        <v>11.99</v>
      </c>
      <c r="G722">
        <f t="shared" si="11"/>
        <v>251.79</v>
      </c>
      <c r="H722">
        <v>341</v>
      </c>
      <c r="I722" t="s">
        <v>81</v>
      </c>
      <c r="J722">
        <v>4</v>
      </c>
      <c r="K722">
        <v>1</v>
      </c>
      <c r="L722" t="b">
        <v>1</v>
      </c>
      <c r="M722">
        <v>744</v>
      </c>
      <c r="N722">
        <v>146</v>
      </c>
      <c r="O722" t="s">
        <v>61</v>
      </c>
      <c r="P722" t="s">
        <v>28</v>
      </c>
      <c r="Q722" t="s">
        <v>58</v>
      </c>
      <c r="R722">
        <v>75</v>
      </c>
      <c r="S722">
        <v>4.4000000000000004</v>
      </c>
      <c r="T722" t="b">
        <v>0</v>
      </c>
      <c r="U722" t="s">
        <v>30</v>
      </c>
      <c r="V722">
        <v>4935</v>
      </c>
      <c r="W722" t="s">
        <v>53</v>
      </c>
      <c r="X722" t="s">
        <v>32</v>
      </c>
      <c r="Y722" t="s">
        <v>55</v>
      </c>
    </row>
    <row r="723" spans="1:25" x14ac:dyDescent="0.35">
      <c r="A723">
        <v>7175</v>
      </c>
      <c r="B723" t="s">
        <v>296</v>
      </c>
      <c r="C723" s="1">
        <v>45609</v>
      </c>
      <c r="D723" s="1">
        <v>45641</v>
      </c>
      <c r="E723">
        <v>1</v>
      </c>
      <c r="F723">
        <v>11.99</v>
      </c>
      <c r="G723">
        <f t="shared" si="11"/>
        <v>11.99</v>
      </c>
      <c r="H723">
        <v>388</v>
      </c>
      <c r="I723" t="s">
        <v>81</v>
      </c>
      <c r="J723">
        <v>3</v>
      </c>
      <c r="K723">
        <v>6</v>
      </c>
      <c r="L723" t="b">
        <v>0</v>
      </c>
      <c r="M723">
        <v>51</v>
      </c>
      <c r="N723">
        <v>27</v>
      </c>
      <c r="O723" t="s">
        <v>41</v>
      </c>
      <c r="P723" t="s">
        <v>42</v>
      </c>
      <c r="Q723" t="s">
        <v>36</v>
      </c>
      <c r="R723">
        <v>66</v>
      </c>
      <c r="S723">
        <v>3.2</v>
      </c>
      <c r="T723" t="b">
        <v>1</v>
      </c>
      <c r="U723" t="s">
        <v>30</v>
      </c>
      <c r="V723">
        <v>1216</v>
      </c>
      <c r="W723" t="s">
        <v>59</v>
      </c>
      <c r="X723" t="s">
        <v>70</v>
      </c>
      <c r="Y723" t="s">
        <v>77</v>
      </c>
    </row>
    <row r="724" spans="1:25" x14ac:dyDescent="0.35">
      <c r="A724">
        <v>7072</v>
      </c>
      <c r="B724" t="s">
        <v>329</v>
      </c>
      <c r="C724" s="1">
        <v>44964</v>
      </c>
      <c r="D724" s="1">
        <v>45615</v>
      </c>
      <c r="E724">
        <v>21</v>
      </c>
      <c r="F724">
        <v>15.99</v>
      </c>
      <c r="G724">
        <f t="shared" si="11"/>
        <v>335.79</v>
      </c>
      <c r="H724">
        <v>446</v>
      </c>
      <c r="I724" t="s">
        <v>45</v>
      </c>
      <c r="J724">
        <v>1</v>
      </c>
      <c r="K724">
        <v>4</v>
      </c>
      <c r="L724" t="b">
        <v>1</v>
      </c>
      <c r="M724">
        <v>897</v>
      </c>
      <c r="N724">
        <v>19</v>
      </c>
      <c r="O724" t="s">
        <v>65</v>
      </c>
      <c r="P724" t="s">
        <v>28</v>
      </c>
      <c r="Q724" t="s">
        <v>58</v>
      </c>
      <c r="R724">
        <v>14</v>
      </c>
      <c r="S724">
        <v>3.5</v>
      </c>
      <c r="T724" t="b">
        <v>1</v>
      </c>
      <c r="U724" t="s">
        <v>30</v>
      </c>
      <c r="V724">
        <v>4409</v>
      </c>
      <c r="W724" t="s">
        <v>37</v>
      </c>
      <c r="X724" t="s">
        <v>38</v>
      </c>
      <c r="Y724" t="s">
        <v>33</v>
      </c>
    </row>
    <row r="725" spans="1:25" x14ac:dyDescent="0.35">
      <c r="A725">
        <v>4320</v>
      </c>
      <c r="B725" t="s">
        <v>198</v>
      </c>
      <c r="C725" s="1">
        <v>45292</v>
      </c>
      <c r="D725" s="1">
        <v>45643</v>
      </c>
      <c r="E725">
        <v>11</v>
      </c>
      <c r="F725">
        <v>15.99</v>
      </c>
      <c r="G725">
        <f t="shared" si="11"/>
        <v>175.89000000000001</v>
      </c>
      <c r="H725">
        <v>223</v>
      </c>
      <c r="I725" t="s">
        <v>26</v>
      </c>
      <c r="J725">
        <v>5</v>
      </c>
      <c r="K725">
        <v>3</v>
      </c>
      <c r="L725" t="b">
        <v>1</v>
      </c>
      <c r="M725">
        <v>499</v>
      </c>
      <c r="N725">
        <v>124</v>
      </c>
      <c r="O725" t="s">
        <v>41</v>
      </c>
      <c r="P725" t="s">
        <v>28</v>
      </c>
      <c r="Q725" t="s">
        <v>36</v>
      </c>
      <c r="R725">
        <v>78</v>
      </c>
      <c r="S725">
        <v>4.7</v>
      </c>
      <c r="T725" t="b">
        <v>1</v>
      </c>
      <c r="U725" t="s">
        <v>30</v>
      </c>
      <c r="V725">
        <v>2853</v>
      </c>
      <c r="W725" t="s">
        <v>59</v>
      </c>
      <c r="X725" t="s">
        <v>62</v>
      </c>
      <c r="Y725" t="s">
        <v>55</v>
      </c>
    </row>
    <row r="726" spans="1:25" x14ac:dyDescent="0.35">
      <c r="A726">
        <v>3558</v>
      </c>
      <c r="B726" t="s">
        <v>357</v>
      </c>
      <c r="C726" s="1">
        <v>45292</v>
      </c>
      <c r="D726" s="1">
        <v>45642</v>
      </c>
      <c r="E726">
        <v>11</v>
      </c>
      <c r="F726">
        <v>15.99</v>
      </c>
      <c r="G726">
        <f t="shared" si="11"/>
        <v>175.89000000000001</v>
      </c>
      <c r="H726">
        <v>417</v>
      </c>
      <c r="I726" t="s">
        <v>45</v>
      </c>
      <c r="J726">
        <v>5</v>
      </c>
      <c r="K726">
        <v>4</v>
      </c>
      <c r="L726" t="b">
        <v>0</v>
      </c>
      <c r="M726">
        <v>179</v>
      </c>
      <c r="N726">
        <v>29</v>
      </c>
      <c r="O726" t="s">
        <v>41</v>
      </c>
      <c r="P726" t="s">
        <v>51</v>
      </c>
      <c r="Q726" t="s">
        <v>43</v>
      </c>
      <c r="R726">
        <v>84</v>
      </c>
      <c r="S726">
        <v>4.5</v>
      </c>
      <c r="T726" t="b">
        <v>0</v>
      </c>
      <c r="U726" t="s">
        <v>30</v>
      </c>
      <c r="V726">
        <v>1252</v>
      </c>
      <c r="W726" t="s">
        <v>53</v>
      </c>
      <c r="X726" t="s">
        <v>32</v>
      </c>
      <c r="Y726" t="s">
        <v>39</v>
      </c>
    </row>
    <row r="727" spans="1:25" x14ac:dyDescent="0.35">
      <c r="A727">
        <v>8581</v>
      </c>
      <c r="B727" t="s">
        <v>133</v>
      </c>
      <c r="C727" s="1">
        <v>45276</v>
      </c>
      <c r="D727" s="1">
        <v>45616</v>
      </c>
      <c r="E727">
        <v>11</v>
      </c>
      <c r="F727">
        <v>11.99</v>
      </c>
      <c r="G727">
        <f t="shared" si="11"/>
        <v>131.89000000000001</v>
      </c>
      <c r="H727">
        <v>390</v>
      </c>
      <c r="I727" t="s">
        <v>81</v>
      </c>
      <c r="J727">
        <v>5</v>
      </c>
      <c r="K727">
        <v>1</v>
      </c>
      <c r="L727" t="b">
        <v>1</v>
      </c>
      <c r="M727">
        <v>889</v>
      </c>
      <c r="N727">
        <v>145</v>
      </c>
      <c r="O727" t="s">
        <v>27</v>
      </c>
      <c r="P727" t="s">
        <v>28</v>
      </c>
      <c r="Q727" t="s">
        <v>29</v>
      </c>
      <c r="R727">
        <v>60</v>
      </c>
      <c r="S727">
        <v>4.5</v>
      </c>
      <c r="T727" t="b">
        <v>1</v>
      </c>
      <c r="U727" t="s">
        <v>30</v>
      </c>
      <c r="V727">
        <v>3027</v>
      </c>
      <c r="W727" t="s">
        <v>53</v>
      </c>
      <c r="X727" t="s">
        <v>70</v>
      </c>
      <c r="Y727" t="s">
        <v>33</v>
      </c>
    </row>
    <row r="728" spans="1:25" x14ac:dyDescent="0.35">
      <c r="A728">
        <v>5827</v>
      </c>
      <c r="B728" t="s">
        <v>148</v>
      </c>
      <c r="C728" s="1">
        <v>45007</v>
      </c>
      <c r="D728" s="1">
        <v>45628</v>
      </c>
      <c r="E728">
        <v>20</v>
      </c>
      <c r="F728">
        <v>15.99</v>
      </c>
      <c r="G728">
        <f t="shared" si="11"/>
        <v>319.8</v>
      </c>
      <c r="H728">
        <v>33</v>
      </c>
      <c r="I728" t="s">
        <v>64</v>
      </c>
      <c r="J728">
        <v>4</v>
      </c>
      <c r="K728">
        <v>2</v>
      </c>
      <c r="L728" t="b">
        <v>0</v>
      </c>
      <c r="M728">
        <v>191</v>
      </c>
      <c r="N728">
        <v>25</v>
      </c>
      <c r="O728" t="s">
        <v>46</v>
      </c>
      <c r="P728" t="s">
        <v>51</v>
      </c>
      <c r="Q728" t="s">
        <v>36</v>
      </c>
      <c r="R728">
        <v>44</v>
      </c>
      <c r="S728">
        <v>4.5</v>
      </c>
      <c r="T728" t="b">
        <v>1</v>
      </c>
      <c r="U728" t="s">
        <v>30</v>
      </c>
      <c r="V728">
        <v>1228</v>
      </c>
      <c r="W728" t="s">
        <v>59</v>
      </c>
      <c r="X728" t="s">
        <v>62</v>
      </c>
      <c r="Y728" t="s">
        <v>39</v>
      </c>
    </row>
    <row r="729" spans="1:25" x14ac:dyDescent="0.35">
      <c r="A729">
        <v>6929</v>
      </c>
      <c r="B729" t="s">
        <v>87</v>
      </c>
      <c r="C729" s="1">
        <v>45594</v>
      </c>
      <c r="D729" s="1">
        <v>45631</v>
      </c>
      <c r="E729">
        <v>1</v>
      </c>
      <c r="F729">
        <v>11.99</v>
      </c>
      <c r="G729">
        <f t="shared" si="11"/>
        <v>11.99</v>
      </c>
      <c r="H729">
        <v>302</v>
      </c>
      <c r="I729" t="s">
        <v>26</v>
      </c>
      <c r="J729">
        <v>5</v>
      </c>
      <c r="K729">
        <v>5</v>
      </c>
      <c r="L729" t="b">
        <v>1</v>
      </c>
      <c r="M729">
        <v>42</v>
      </c>
      <c r="N729">
        <v>196</v>
      </c>
      <c r="O729" t="s">
        <v>50</v>
      </c>
      <c r="P729" t="s">
        <v>51</v>
      </c>
      <c r="Q729" t="s">
        <v>29</v>
      </c>
      <c r="R729">
        <v>74</v>
      </c>
      <c r="S729">
        <v>4.5999999999999996</v>
      </c>
      <c r="T729" t="b">
        <v>0</v>
      </c>
      <c r="U729" t="s">
        <v>30</v>
      </c>
      <c r="V729">
        <v>3616</v>
      </c>
      <c r="W729" t="s">
        <v>37</v>
      </c>
      <c r="X729" t="s">
        <v>54</v>
      </c>
      <c r="Y729" t="s">
        <v>39</v>
      </c>
    </row>
    <row r="730" spans="1:25" x14ac:dyDescent="0.35">
      <c r="A730">
        <v>9179</v>
      </c>
      <c r="B730" t="s">
        <v>358</v>
      </c>
      <c r="C730" s="1">
        <v>45637</v>
      </c>
      <c r="D730" s="1">
        <v>45623</v>
      </c>
      <c r="E730">
        <v>0</v>
      </c>
      <c r="F730">
        <v>15.99</v>
      </c>
      <c r="G730">
        <f t="shared" si="11"/>
        <v>0</v>
      </c>
      <c r="H730">
        <v>121</v>
      </c>
      <c r="I730" t="s">
        <v>57</v>
      </c>
      <c r="J730">
        <v>4</v>
      </c>
      <c r="K730">
        <v>5</v>
      </c>
      <c r="L730" t="b">
        <v>1</v>
      </c>
      <c r="M730">
        <v>53</v>
      </c>
      <c r="N730">
        <v>77</v>
      </c>
      <c r="O730" t="s">
        <v>61</v>
      </c>
      <c r="P730" t="s">
        <v>28</v>
      </c>
      <c r="Q730" t="s">
        <v>29</v>
      </c>
      <c r="R730">
        <v>54</v>
      </c>
      <c r="S730">
        <v>3.1</v>
      </c>
      <c r="T730" t="b">
        <v>1</v>
      </c>
      <c r="U730" t="s">
        <v>30</v>
      </c>
      <c r="V730">
        <v>3913</v>
      </c>
      <c r="W730" t="s">
        <v>59</v>
      </c>
      <c r="X730" t="s">
        <v>32</v>
      </c>
      <c r="Y730" t="s">
        <v>55</v>
      </c>
    </row>
    <row r="731" spans="1:25" x14ac:dyDescent="0.35">
      <c r="A731">
        <v>7580</v>
      </c>
      <c r="B731" t="s">
        <v>49</v>
      </c>
      <c r="C731" s="1">
        <v>44965</v>
      </c>
      <c r="D731" s="1">
        <v>45617</v>
      </c>
      <c r="E731">
        <v>21</v>
      </c>
      <c r="F731">
        <v>7.99</v>
      </c>
      <c r="G731">
        <f t="shared" si="11"/>
        <v>167.79</v>
      </c>
      <c r="H731">
        <v>112</v>
      </c>
      <c r="I731" t="s">
        <v>57</v>
      </c>
      <c r="J731">
        <v>5</v>
      </c>
      <c r="K731">
        <v>6</v>
      </c>
      <c r="L731" t="b">
        <v>0</v>
      </c>
      <c r="M731">
        <v>535</v>
      </c>
      <c r="N731">
        <v>43</v>
      </c>
      <c r="O731" t="s">
        <v>46</v>
      </c>
      <c r="P731" t="s">
        <v>66</v>
      </c>
      <c r="Q731" t="s">
        <v>58</v>
      </c>
      <c r="R731">
        <v>89</v>
      </c>
      <c r="S731">
        <v>3.1</v>
      </c>
      <c r="T731" t="b">
        <v>1</v>
      </c>
      <c r="U731" t="s">
        <v>30</v>
      </c>
      <c r="V731">
        <v>775</v>
      </c>
      <c r="W731" t="s">
        <v>37</v>
      </c>
      <c r="X731" t="s">
        <v>54</v>
      </c>
      <c r="Y731" t="s">
        <v>39</v>
      </c>
    </row>
    <row r="732" spans="1:25" x14ac:dyDescent="0.35">
      <c r="A732">
        <v>3858</v>
      </c>
      <c r="B732" t="s">
        <v>123</v>
      </c>
      <c r="C732" s="1">
        <v>45107</v>
      </c>
      <c r="D732" s="1">
        <v>45631</v>
      </c>
      <c r="E732">
        <v>17</v>
      </c>
      <c r="F732">
        <v>15.99</v>
      </c>
      <c r="G732">
        <f t="shared" si="11"/>
        <v>271.83</v>
      </c>
      <c r="H732">
        <v>375</v>
      </c>
      <c r="I732" t="s">
        <v>81</v>
      </c>
      <c r="J732">
        <v>3</v>
      </c>
      <c r="K732">
        <v>6</v>
      </c>
      <c r="L732" t="b">
        <v>0</v>
      </c>
      <c r="M732">
        <v>416</v>
      </c>
      <c r="N732">
        <v>79</v>
      </c>
      <c r="O732" t="s">
        <v>76</v>
      </c>
      <c r="P732" t="s">
        <v>28</v>
      </c>
      <c r="Q732" t="s">
        <v>29</v>
      </c>
      <c r="R732">
        <v>33</v>
      </c>
      <c r="S732">
        <v>3.2</v>
      </c>
      <c r="T732" t="b">
        <v>1</v>
      </c>
      <c r="U732" t="s">
        <v>30</v>
      </c>
      <c r="V732">
        <v>2536</v>
      </c>
      <c r="W732" t="s">
        <v>37</v>
      </c>
      <c r="X732" t="s">
        <v>70</v>
      </c>
      <c r="Y732" t="s">
        <v>39</v>
      </c>
    </row>
    <row r="733" spans="1:25" x14ac:dyDescent="0.35">
      <c r="A733">
        <v>8627</v>
      </c>
      <c r="B733" t="s">
        <v>155</v>
      </c>
      <c r="C733" s="1">
        <v>45552</v>
      </c>
      <c r="D733" s="1">
        <v>45627</v>
      </c>
      <c r="E733">
        <v>2</v>
      </c>
      <c r="F733">
        <v>11.99</v>
      </c>
      <c r="G733">
        <f t="shared" si="11"/>
        <v>23.98</v>
      </c>
      <c r="H733">
        <v>97</v>
      </c>
      <c r="I733" t="s">
        <v>64</v>
      </c>
      <c r="J733">
        <v>3</v>
      </c>
      <c r="K733">
        <v>2</v>
      </c>
      <c r="L733" t="b">
        <v>0</v>
      </c>
      <c r="M733">
        <v>287</v>
      </c>
      <c r="N733">
        <v>39</v>
      </c>
      <c r="O733" t="s">
        <v>76</v>
      </c>
      <c r="P733" t="s">
        <v>28</v>
      </c>
      <c r="Q733" t="s">
        <v>58</v>
      </c>
      <c r="R733">
        <v>9</v>
      </c>
      <c r="S733">
        <v>4.9000000000000004</v>
      </c>
      <c r="T733" t="b">
        <v>0</v>
      </c>
      <c r="U733" t="s">
        <v>30</v>
      </c>
      <c r="V733">
        <v>2331</v>
      </c>
      <c r="W733" t="s">
        <v>59</v>
      </c>
      <c r="X733" t="s">
        <v>38</v>
      </c>
      <c r="Y733" t="s">
        <v>39</v>
      </c>
    </row>
    <row r="734" spans="1:25" x14ac:dyDescent="0.35">
      <c r="A734">
        <v>7552</v>
      </c>
      <c r="B734" t="s">
        <v>359</v>
      </c>
      <c r="C734" s="1">
        <v>45451</v>
      </c>
      <c r="D734" s="1">
        <v>45630</v>
      </c>
      <c r="E734">
        <v>5</v>
      </c>
      <c r="F734">
        <v>15.99</v>
      </c>
      <c r="G734">
        <f t="shared" si="11"/>
        <v>79.95</v>
      </c>
      <c r="H734">
        <v>306</v>
      </c>
      <c r="I734" t="s">
        <v>48</v>
      </c>
      <c r="J734">
        <v>4</v>
      </c>
      <c r="K734">
        <v>5</v>
      </c>
      <c r="L734" t="b">
        <v>0</v>
      </c>
      <c r="M734">
        <v>651</v>
      </c>
      <c r="N734">
        <v>60</v>
      </c>
      <c r="O734" t="s">
        <v>65</v>
      </c>
      <c r="P734" t="s">
        <v>66</v>
      </c>
      <c r="Q734" t="s">
        <v>43</v>
      </c>
      <c r="R734">
        <v>86</v>
      </c>
      <c r="S734">
        <v>3.1</v>
      </c>
      <c r="T734" t="b">
        <v>0</v>
      </c>
      <c r="U734" t="s">
        <v>30</v>
      </c>
      <c r="V734">
        <v>2953</v>
      </c>
      <c r="W734" t="s">
        <v>37</v>
      </c>
      <c r="X734" t="s">
        <v>70</v>
      </c>
      <c r="Y734" t="s">
        <v>77</v>
      </c>
    </row>
    <row r="735" spans="1:25" x14ac:dyDescent="0.35">
      <c r="A735">
        <v>6020</v>
      </c>
      <c r="B735" t="s">
        <v>357</v>
      </c>
      <c r="C735" s="1">
        <v>45498</v>
      </c>
      <c r="D735" s="1">
        <v>45617</v>
      </c>
      <c r="E735">
        <v>3</v>
      </c>
      <c r="F735">
        <v>11.99</v>
      </c>
      <c r="G735">
        <f t="shared" si="11"/>
        <v>35.97</v>
      </c>
      <c r="H735">
        <v>136</v>
      </c>
      <c r="I735" t="s">
        <v>57</v>
      </c>
      <c r="J735">
        <v>5</v>
      </c>
      <c r="K735">
        <v>2</v>
      </c>
      <c r="L735" t="b">
        <v>1</v>
      </c>
      <c r="M735">
        <v>821</v>
      </c>
      <c r="N735">
        <v>174</v>
      </c>
      <c r="O735" t="s">
        <v>76</v>
      </c>
      <c r="P735" t="s">
        <v>51</v>
      </c>
      <c r="Q735" t="s">
        <v>36</v>
      </c>
      <c r="R735">
        <v>92</v>
      </c>
      <c r="S735">
        <v>3.6</v>
      </c>
      <c r="T735" t="b">
        <v>1</v>
      </c>
      <c r="U735" t="s">
        <v>30</v>
      </c>
      <c r="V735">
        <v>868</v>
      </c>
      <c r="W735" t="s">
        <v>37</v>
      </c>
      <c r="X735" t="s">
        <v>62</v>
      </c>
      <c r="Y735" t="s">
        <v>77</v>
      </c>
    </row>
    <row r="736" spans="1:25" x14ac:dyDescent="0.35">
      <c r="A736">
        <v>9408</v>
      </c>
      <c r="B736" t="s">
        <v>190</v>
      </c>
      <c r="C736" s="1">
        <v>45058</v>
      </c>
      <c r="D736" s="1">
        <v>45622</v>
      </c>
      <c r="E736">
        <v>18</v>
      </c>
      <c r="F736">
        <v>7.99</v>
      </c>
      <c r="G736">
        <f t="shared" si="11"/>
        <v>143.82</v>
      </c>
      <c r="H736">
        <v>12</v>
      </c>
      <c r="I736" t="s">
        <v>64</v>
      </c>
      <c r="J736">
        <v>2</v>
      </c>
      <c r="K736">
        <v>3</v>
      </c>
      <c r="L736" t="b">
        <v>1</v>
      </c>
      <c r="M736">
        <v>396</v>
      </c>
      <c r="N736">
        <v>22</v>
      </c>
      <c r="O736" t="s">
        <v>61</v>
      </c>
      <c r="P736" t="s">
        <v>66</v>
      </c>
      <c r="Q736" t="s">
        <v>29</v>
      </c>
      <c r="R736">
        <v>70</v>
      </c>
      <c r="S736">
        <v>3.5</v>
      </c>
      <c r="T736" t="b">
        <v>1</v>
      </c>
      <c r="U736" t="s">
        <v>30</v>
      </c>
      <c r="V736">
        <v>4808</v>
      </c>
      <c r="W736" t="s">
        <v>67</v>
      </c>
      <c r="X736" t="s">
        <v>62</v>
      </c>
      <c r="Y736" t="s">
        <v>33</v>
      </c>
    </row>
    <row r="737" spans="1:25" x14ac:dyDescent="0.35">
      <c r="A737">
        <v>9990</v>
      </c>
      <c r="B737" t="s">
        <v>360</v>
      </c>
      <c r="C737" s="1">
        <v>45316</v>
      </c>
      <c r="D737" s="1">
        <v>45631</v>
      </c>
      <c r="E737">
        <v>10</v>
      </c>
      <c r="F737">
        <v>15.99</v>
      </c>
      <c r="G737">
        <f t="shared" si="11"/>
        <v>159.9</v>
      </c>
      <c r="H737">
        <v>379</v>
      </c>
      <c r="I737" t="s">
        <v>48</v>
      </c>
      <c r="J737">
        <v>4</v>
      </c>
      <c r="K737">
        <v>5</v>
      </c>
      <c r="L737" t="b">
        <v>1</v>
      </c>
      <c r="M737">
        <v>726</v>
      </c>
      <c r="N737">
        <v>103</v>
      </c>
      <c r="O737" t="s">
        <v>65</v>
      </c>
      <c r="P737" t="s">
        <v>28</v>
      </c>
      <c r="Q737" t="s">
        <v>43</v>
      </c>
      <c r="R737">
        <v>39</v>
      </c>
      <c r="S737">
        <v>3.5</v>
      </c>
      <c r="T737" t="b">
        <v>1</v>
      </c>
      <c r="U737" t="s">
        <v>30</v>
      </c>
      <c r="V737">
        <v>4177</v>
      </c>
      <c r="W737" t="s">
        <v>37</v>
      </c>
      <c r="X737" t="s">
        <v>54</v>
      </c>
      <c r="Y737" t="s">
        <v>33</v>
      </c>
    </row>
    <row r="738" spans="1:25" x14ac:dyDescent="0.35">
      <c r="A738">
        <v>3687</v>
      </c>
      <c r="B738" t="s">
        <v>198</v>
      </c>
      <c r="C738" s="1">
        <v>45234</v>
      </c>
      <c r="D738" s="1">
        <v>45644</v>
      </c>
      <c r="E738">
        <v>13</v>
      </c>
      <c r="F738">
        <v>15.99</v>
      </c>
      <c r="G738">
        <f t="shared" si="11"/>
        <v>207.87</v>
      </c>
      <c r="H738">
        <v>205</v>
      </c>
      <c r="I738" t="s">
        <v>57</v>
      </c>
      <c r="J738">
        <v>3</v>
      </c>
      <c r="K738">
        <v>2</v>
      </c>
      <c r="L738" t="b">
        <v>1</v>
      </c>
      <c r="M738">
        <v>420</v>
      </c>
      <c r="N738">
        <v>24</v>
      </c>
      <c r="O738" t="s">
        <v>76</v>
      </c>
      <c r="P738" t="s">
        <v>42</v>
      </c>
      <c r="Q738" t="s">
        <v>52</v>
      </c>
      <c r="R738">
        <v>61</v>
      </c>
      <c r="S738">
        <v>4.8</v>
      </c>
      <c r="T738" t="b">
        <v>0</v>
      </c>
      <c r="U738" t="s">
        <v>30</v>
      </c>
      <c r="V738">
        <v>564</v>
      </c>
      <c r="W738" t="s">
        <v>37</v>
      </c>
      <c r="X738" t="s">
        <v>62</v>
      </c>
      <c r="Y738" t="s">
        <v>77</v>
      </c>
    </row>
    <row r="739" spans="1:25" x14ac:dyDescent="0.35">
      <c r="A739">
        <v>4540</v>
      </c>
      <c r="B739" t="s">
        <v>361</v>
      </c>
      <c r="C739" s="1">
        <v>45176</v>
      </c>
      <c r="D739" s="1">
        <v>45621</v>
      </c>
      <c r="E739">
        <v>14</v>
      </c>
      <c r="F739">
        <v>15.99</v>
      </c>
      <c r="G739">
        <f t="shared" si="11"/>
        <v>223.86</v>
      </c>
      <c r="H739">
        <v>335</v>
      </c>
      <c r="I739" t="s">
        <v>26</v>
      </c>
      <c r="J739">
        <v>3</v>
      </c>
      <c r="K739">
        <v>6</v>
      </c>
      <c r="L739" t="b">
        <v>1</v>
      </c>
      <c r="M739">
        <v>75</v>
      </c>
      <c r="N739">
        <v>177</v>
      </c>
      <c r="O739" t="s">
        <v>46</v>
      </c>
      <c r="P739" t="s">
        <v>28</v>
      </c>
      <c r="Q739" t="s">
        <v>29</v>
      </c>
      <c r="R739">
        <v>73</v>
      </c>
      <c r="S739">
        <v>3.9</v>
      </c>
      <c r="T739" t="b">
        <v>1</v>
      </c>
      <c r="U739" t="s">
        <v>30</v>
      </c>
      <c r="V739">
        <v>1702</v>
      </c>
      <c r="W739" t="s">
        <v>37</v>
      </c>
      <c r="X739" t="s">
        <v>54</v>
      </c>
      <c r="Y739" t="s">
        <v>39</v>
      </c>
    </row>
    <row r="740" spans="1:25" x14ac:dyDescent="0.35">
      <c r="A740">
        <v>8264</v>
      </c>
      <c r="B740" t="s">
        <v>218</v>
      </c>
      <c r="C740" s="1">
        <v>45437</v>
      </c>
      <c r="D740" s="1">
        <v>45618</v>
      </c>
      <c r="E740">
        <v>5</v>
      </c>
      <c r="F740">
        <v>15.99</v>
      </c>
      <c r="G740">
        <f t="shared" si="11"/>
        <v>79.95</v>
      </c>
      <c r="H740">
        <v>449</v>
      </c>
      <c r="I740" t="s">
        <v>57</v>
      </c>
      <c r="J740">
        <v>5</v>
      </c>
      <c r="K740">
        <v>6</v>
      </c>
      <c r="L740" t="b">
        <v>0</v>
      </c>
      <c r="M740">
        <v>683</v>
      </c>
      <c r="N740">
        <v>85</v>
      </c>
      <c r="O740" t="s">
        <v>65</v>
      </c>
      <c r="P740" t="s">
        <v>42</v>
      </c>
      <c r="Q740" t="s">
        <v>43</v>
      </c>
      <c r="R740">
        <v>25</v>
      </c>
      <c r="S740">
        <v>4.2</v>
      </c>
      <c r="T740" t="b">
        <v>1</v>
      </c>
      <c r="U740" t="s">
        <v>30</v>
      </c>
      <c r="V740">
        <v>249</v>
      </c>
      <c r="W740" t="s">
        <v>59</v>
      </c>
      <c r="X740" t="s">
        <v>38</v>
      </c>
      <c r="Y740" t="s">
        <v>77</v>
      </c>
    </row>
    <row r="741" spans="1:25" x14ac:dyDescent="0.35">
      <c r="A741">
        <v>7448</v>
      </c>
      <c r="B741" t="s">
        <v>74</v>
      </c>
      <c r="C741" s="1">
        <v>45026</v>
      </c>
      <c r="D741" s="1">
        <v>45633</v>
      </c>
      <c r="E741">
        <v>19</v>
      </c>
      <c r="F741">
        <v>7.99</v>
      </c>
      <c r="G741">
        <f t="shared" si="11"/>
        <v>151.81</v>
      </c>
      <c r="H741">
        <v>453</v>
      </c>
      <c r="I741" t="s">
        <v>48</v>
      </c>
      <c r="J741">
        <v>1</v>
      </c>
      <c r="K741">
        <v>5</v>
      </c>
      <c r="L741" t="b">
        <v>1</v>
      </c>
      <c r="M741">
        <v>487</v>
      </c>
      <c r="N741">
        <v>128</v>
      </c>
      <c r="O741" t="s">
        <v>50</v>
      </c>
      <c r="P741" t="s">
        <v>66</v>
      </c>
      <c r="Q741" t="s">
        <v>43</v>
      </c>
      <c r="R741">
        <v>41</v>
      </c>
      <c r="S741">
        <v>4.5</v>
      </c>
      <c r="T741" t="b">
        <v>1</v>
      </c>
      <c r="U741" t="s">
        <v>30</v>
      </c>
      <c r="V741">
        <v>30</v>
      </c>
      <c r="W741" t="s">
        <v>31</v>
      </c>
      <c r="X741" t="s">
        <v>54</v>
      </c>
      <c r="Y741" t="s">
        <v>39</v>
      </c>
    </row>
    <row r="742" spans="1:25" x14ac:dyDescent="0.35">
      <c r="A742">
        <v>1123</v>
      </c>
      <c r="B742" t="s">
        <v>362</v>
      </c>
      <c r="C742" s="1">
        <v>45590</v>
      </c>
      <c r="D742" s="1">
        <v>45617</v>
      </c>
      <c r="E742">
        <v>0</v>
      </c>
      <c r="F742">
        <v>7.99</v>
      </c>
      <c r="G742">
        <f t="shared" si="11"/>
        <v>0</v>
      </c>
      <c r="H742">
        <v>252</v>
      </c>
      <c r="I742" t="s">
        <v>26</v>
      </c>
      <c r="J742">
        <v>1</v>
      </c>
      <c r="K742">
        <v>1</v>
      </c>
      <c r="L742" t="b">
        <v>1</v>
      </c>
      <c r="M742">
        <v>968</v>
      </c>
      <c r="N742">
        <v>197</v>
      </c>
      <c r="O742" t="s">
        <v>50</v>
      </c>
      <c r="P742" t="s">
        <v>42</v>
      </c>
      <c r="Q742" t="s">
        <v>29</v>
      </c>
      <c r="R742">
        <v>46</v>
      </c>
      <c r="S742">
        <v>4</v>
      </c>
      <c r="T742" t="b">
        <v>0</v>
      </c>
      <c r="U742" t="s">
        <v>30</v>
      </c>
      <c r="V742">
        <v>3842</v>
      </c>
      <c r="W742" t="s">
        <v>67</v>
      </c>
      <c r="X742" t="s">
        <v>54</v>
      </c>
      <c r="Y742" t="s">
        <v>77</v>
      </c>
    </row>
    <row r="743" spans="1:25" x14ac:dyDescent="0.35">
      <c r="A743">
        <v>4103</v>
      </c>
      <c r="B743" t="s">
        <v>169</v>
      </c>
      <c r="C743" s="1">
        <v>45595</v>
      </c>
      <c r="D743" s="1">
        <v>45621</v>
      </c>
      <c r="E743">
        <v>0</v>
      </c>
      <c r="F743">
        <v>11.99</v>
      </c>
      <c r="G743">
        <f t="shared" si="11"/>
        <v>0</v>
      </c>
      <c r="H743">
        <v>379</v>
      </c>
      <c r="I743" t="s">
        <v>57</v>
      </c>
      <c r="J743">
        <v>2</v>
      </c>
      <c r="K743">
        <v>1</v>
      </c>
      <c r="L743" t="b">
        <v>1</v>
      </c>
      <c r="M743">
        <v>632</v>
      </c>
      <c r="N743">
        <v>82</v>
      </c>
      <c r="O743" t="s">
        <v>27</v>
      </c>
      <c r="P743" t="s">
        <v>51</v>
      </c>
      <c r="Q743" t="s">
        <v>52</v>
      </c>
      <c r="R743">
        <v>29</v>
      </c>
      <c r="S743">
        <v>3.2</v>
      </c>
      <c r="T743" t="b">
        <v>1</v>
      </c>
      <c r="U743" t="s">
        <v>30</v>
      </c>
      <c r="V743">
        <v>1299</v>
      </c>
      <c r="W743" t="s">
        <v>37</v>
      </c>
      <c r="X743" t="s">
        <v>38</v>
      </c>
      <c r="Y743" t="s">
        <v>77</v>
      </c>
    </row>
    <row r="744" spans="1:25" x14ac:dyDescent="0.35">
      <c r="A744">
        <v>2904</v>
      </c>
      <c r="B744" t="s">
        <v>271</v>
      </c>
      <c r="C744" s="1">
        <v>45339</v>
      </c>
      <c r="D744" s="1">
        <v>45627</v>
      </c>
      <c r="E744">
        <v>9</v>
      </c>
      <c r="F744">
        <v>7.99</v>
      </c>
      <c r="G744">
        <f t="shared" si="11"/>
        <v>71.91</v>
      </c>
      <c r="H744">
        <v>280</v>
      </c>
      <c r="I744" t="s">
        <v>81</v>
      </c>
      <c r="J744">
        <v>3</v>
      </c>
      <c r="K744">
        <v>1</v>
      </c>
      <c r="L744" t="b">
        <v>0</v>
      </c>
      <c r="M744">
        <v>188</v>
      </c>
      <c r="N744">
        <v>103</v>
      </c>
      <c r="O744" t="s">
        <v>65</v>
      </c>
      <c r="P744" t="s">
        <v>66</v>
      </c>
      <c r="Q744" t="s">
        <v>58</v>
      </c>
      <c r="R744">
        <v>80</v>
      </c>
      <c r="S744">
        <v>4.8</v>
      </c>
      <c r="T744" t="b">
        <v>0</v>
      </c>
      <c r="U744" t="s">
        <v>30</v>
      </c>
      <c r="V744">
        <v>2346</v>
      </c>
      <c r="W744" t="s">
        <v>53</v>
      </c>
      <c r="X744" t="s">
        <v>70</v>
      </c>
      <c r="Y744" t="s">
        <v>55</v>
      </c>
    </row>
    <row r="745" spans="1:25" x14ac:dyDescent="0.35">
      <c r="A745">
        <v>5634</v>
      </c>
      <c r="B745" t="s">
        <v>121</v>
      </c>
      <c r="C745" s="1">
        <v>45388</v>
      </c>
      <c r="D745" s="1">
        <v>45620</v>
      </c>
      <c r="E745">
        <v>7</v>
      </c>
      <c r="F745">
        <v>7.99</v>
      </c>
      <c r="G745">
        <f t="shared" si="11"/>
        <v>55.93</v>
      </c>
      <c r="H745">
        <v>187</v>
      </c>
      <c r="I745" t="s">
        <v>57</v>
      </c>
      <c r="J745">
        <v>3</v>
      </c>
      <c r="K745">
        <v>3</v>
      </c>
      <c r="L745" t="b">
        <v>0</v>
      </c>
      <c r="M745">
        <v>987</v>
      </c>
      <c r="N745">
        <v>166</v>
      </c>
      <c r="O745" t="s">
        <v>61</v>
      </c>
      <c r="P745" t="s">
        <v>28</v>
      </c>
      <c r="Q745" t="s">
        <v>52</v>
      </c>
      <c r="R745">
        <v>24</v>
      </c>
      <c r="S745">
        <v>4.7</v>
      </c>
      <c r="T745" t="b">
        <v>0</v>
      </c>
      <c r="U745" t="s">
        <v>30</v>
      </c>
      <c r="V745">
        <v>215</v>
      </c>
      <c r="W745" t="s">
        <v>37</v>
      </c>
      <c r="X745" t="s">
        <v>70</v>
      </c>
      <c r="Y745" t="s">
        <v>39</v>
      </c>
    </row>
    <row r="746" spans="1:25" x14ac:dyDescent="0.35">
      <c r="A746">
        <v>5360</v>
      </c>
      <c r="B746" t="s">
        <v>106</v>
      </c>
      <c r="C746" s="1">
        <v>45192</v>
      </c>
      <c r="D746" s="1">
        <v>45628</v>
      </c>
      <c r="E746">
        <v>14</v>
      </c>
      <c r="F746">
        <v>7.99</v>
      </c>
      <c r="G746">
        <f t="shared" si="11"/>
        <v>111.86</v>
      </c>
      <c r="H746">
        <v>373</v>
      </c>
      <c r="I746" t="s">
        <v>26</v>
      </c>
      <c r="J746">
        <v>2</v>
      </c>
      <c r="K746">
        <v>1</v>
      </c>
      <c r="L746" t="b">
        <v>1</v>
      </c>
      <c r="M746">
        <v>925</v>
      </c>
      <c r="N746">
        <v>12</v>
      </c>
      <c r="O746" t="s">
        <v>46</v>
      </c>
      <c r="P746" t="s">
        <v>28</v>
      </c>
      <c r="Q746" t="s">
        <v>29</v>
      </c>
      <c r="R746">
        <v>22</v>
      </c>
      <c r="S746">
        <v>4.2</v>
      </c>
      <c r="T746" t="b">
        <v>1</v>
      </c>
      <c r="U746" t="s">
        <v>30</v>
      </c>
      <c r="V746">
        <v>3062</v>
      </c>
      <c r="W746" t="s">
        <v>59</v>
      </c>
      <c r="X746" t="s">
        <v>32</v>
      </c>
      <c r="Y746" t="s">
        <v>55</v>
      </c>
    </row>
    <row r="747" spans="1:25" x14ac:dyDescent="0.35">
      <c r="A747">
        <v>8571</v>
      </c>
      <c r="B747" t="s">
        <v>216</v>
      </c>
      <c r="C747" s="1">
        <v>45074</v>
      </c>
      <c r="D747" s="1">
        <v>45641</v>
      </c>
      <c r="E747">
        <v>18</v>
      </c>
      <c r="F747">
        <v>15.99</v>
      </c>
      <c r="G747">
        <f t="shared" si="11"/>
        <v>287.82</v>
      </c>
      <c r="H747">
        <v>482</v>
      </c>
      <c r="I747" t="s">
        <v>26</v>
      </c>
      <c r="J747">
        <v>2</v>
      </c>
      <c r="K747">
        <v>5</v>
      </c>
      <c r="L747" t="b">
        <v>1</v>
      </c>
      <c r="M747">
        <v>838</v>
      </c>
      <c r="N747">
        <v>159</v>
      </c>
      <c r="O747" t="s">
        <v>41</v>
      </c>
      <c r="P747" t="s">
        <v>42</v>
      </c>
      <c r="Q747" t="s">
        <v>69</v>
      </c>
      <c r="R747">
        <v>39</v>
      </c>
      <c r="S747">
        <v>4.8</v>
      </c>
      <c r="T747" t="b">
        <v>0</v>
      </c>
      <c r="U747" t="s">
        <v>30</v>
      </c>
      <c r="V747">
        <v>2978</v>
      </c>
      <c r="W747" t="s">
        <v>67</v>
      </c>
      <c r="X747" t="s">
        <v>62</v>
      </c>
      <c r="Y747" t="s">
        <v>55</v>
      </c>
    </row>
    <row r="748" spans="1:25" x14ac:dyDescent="0.35">
      <c r="A748">
        <v>9439</v>
      </c>
      <c r="B748" t="s">
        <v>363</v>
      </c>
      <c r="C748" s="1">
        <v>45245</v>
      </c>
      <c r="D748" s="1">
        <v>45637</v>
      </c>
      <c r="E748">
        <v>12</v>
      </c>
      <c r="F748">
        <v>11.99</v>
      </c>
      <c r="G748">
        <f t="shared" si="11"/>
        <v>143.88</v>
      </c>
      <c r="H748">
        <v>360</v>
      </c>
      <c r="I748" t="s">
        <v>45</v>
      </c>
      <c r="J748">
        <v>3</v>
      </c>
      <c r="K748">
        <v>4</v>
      </c>
      <c r="L748" t="b">
        <v>0</v>
      </c>
      <c r="M748">
        <v>295</v>
      </c>
      <c r="N748">
        <v>55</v>
      </c>
      <c r="O748" t="s">
        <v>41</v>
      </c>
      <c r="P748" t="s">
        <v>51</v>
      </c>
      <c r="Q748" t="s">
        <v>43</v>
      </c>
      <c r="R748">
        <v>31</v>
      </c>
      <c r="S748">
        <v>3.7</v>
      </c>
      <c r="T748" t="b">
        <v>0</v>
      </c>
      <c r="U748" t="s">
        <v>30</v>
      </c>
      <c r="V748">
        <v>1984</v>
      </c>
      <c r="W748" t="s">
        <v>67</v>
      </c>
      <c r="X748" t="s">
        <v>38</v>
      </c>
      <c r="Y748" t="s">
        <v>39</v>
      </c>
    </row>
    <row r="749" spans="1:25" x14ac:dyDescent="0.35">
      <c r="A749">
        <v>8356</v>
      </c>
      <c r="B749" t="s">
        <v>310</v>
      </c>
      <c r="C749" s="1">
        <v>44942</v>
      </c>
      <c r="D749" s="1">
        <v>45640</v>
      </c>
      <c r="E749">
        <v>22</v>
      </c>
      <c r="F749">
        <v>15.99</v>
      </c>
      <c r="G749">
        <f t="shared" si="11"/>
        <v>351.78000000000003</v>
      </c>
      <c r="H749">
        <v>463</v>
      </c>
      <c r="I749" t="s">
        <v>64</v>
      </c>
      <c r="J749">
        <v>2</v>
      </c>
      <c r="K749">
        <v>1</v>
      </c>
      <c r="L749" t="b">
        <v>0</v>
      </c>
      <c r="M749">
        <v>844</v>
      </c>
      <c r="N749">
        <v>98</v>
      </c>
      <c r="O749" t="s">
        <v>46</v>
      </c>
      <c r="P749" t="s">
        <v>66</v>
      </c>
      <c r="Q749" t="s">
        <v>58</v>
      </c>
      <c r="R749">
        <v>15</v>
      </c>
      <c r="S749">
        <v>3.6</v>
      </c>
      <c r="T749" t="b">
        <v>1</v>
      </c>
      <c r="U749" t="s">
        <v>30</v>
      </c>
      <c r="V749">
        <v>945</v>
      </c>
      <c r="W749" t="s">
        <v>31</v>
      </c>
      <c r="X749" t="s">
        <v>70</v>
      </c>
      <c r="Y749" t="s">
        <v>77</v>
      </c>
    </row>
    <row r="750" spans="1:25" x14ac:dyDescent="0.35">
      <c r="A750">
        <v>2039</v>
      </c>
      <c r="B750" t="s">
        <v>364</v>
      </c>
      <c r="C750" s="1">
        <v>44928</v>
      </c>
      <c r="D750" s="1">
        <v>45628</v>
      </c>
      <c r="E750">
        <v>23</v>
      </c>
      <c r="F750">
        <v>15.99</v>
      </c>
      <c r="G750">
        <f t="shared" si="11"/>
        <v>367.77</v>
      </c>
      <c r="H750">
        <v>13</v>
      </c>
      <c r="I750" t="s">
        <v>81</v>
      </c>
      <c r="J750">
        <v>3</v>
      </c>
      <c r="K750">
        <v>5</v>
      </c>
      <c r="L750" t="b">
        <v>0</v>
      </c>
      <c r="M750">
        <v>378</v>
      </c>
      <c r="N750">
        <v>123</v>
      </c>
      <c r="O750" t="s">
        <v>50</v>
      </c>
      <c r="P750" t="s">
        <v>51</v>
      </c>
      <c r="Q750" t="s">
        <v>36</v>
      </c>
      <c r="R750">
        <v>3</v>
      </c>
      <c r="S750">
        <v>4.2</v>
      </c>
      <c r="T750" t="b">
        <v>0</v>
      </c>
      <c r="U750" t="s">
        <v>30</v>
      </c>
      <c r="V750">
        <v>4134</v>
      </c>
      <c r="W750" t="s">
        <v>37</v>
      </c>
      <c r="X750" t="s">
        <v>38</v>
      </c>
      <c r="Y750" t="s">
        <v>33</v>
      </c>
    </row>
    <row r="751" spans="1:25" x14ac:dyDescent="0.35">
      <c r="A751">
        <v>2613</v>
      </c>
      <c r="B751" t="s">
        <v>365</v>
      </c>
      <c r="C751" s="1">
        <v>44964</v>
      </c>
      <c r="D751" s="1">
        <v>45642</v>
      </c>
      <c r="E751">
        <v>22</v>
      </c>
      <c r="F751">
        <v>7.99</v>
      </c>
      <c r="G751">
        <f t="shared" si="11"/>
        <v>175.78</v>
      </c>
      <c r="H751">
        <v>129</v>
      </c>
      <c r="I751" t="s">
        <v>48</v>
      </c>
      <c r="J751">
        <v>4</v>
      </c>
      <c r="K751">
        <v>5</v>
      </c>
      <c r="L751" t="b">
        <v>0</v>
      </c>
      <c r="M751">
        <v>439</v>
      </c>
      <c r="N751">
        <v>10</v>
      </c>
      <c r="O751" t="s">
        <v>46</v>
      </c>
      <c r="P751" t="s">
        <v>51</v>
      </c>
      <c r="Q751" t="s">
        <v>69</v>
      </c>
      <c r="R751">
        <v>11</v>
      </c>
      <c r="S751">
        <v>3.7</v>
      </c>
      <c r="T751" t="b">
        <v>0</v>
      </c>
      <c r="U751" t="s">
        <v>30</v>
      </c>
      <c r="V751">
        <v>3741</v>
      </c>
      <c r="W751" t="s">
        <v>67</v>
      </c>
      <c r="X751" t="s">
        <v>32</v>
      </c>
      <c r="Y751" t="s">
        <v>55</v>
      </c>
    </row>
    <row r="752" spans="1:25" x14ac:dyDescent="0.35">
      <c r="A752">
        <v>8226</v>
      </c>
      <c r="B752" t="s">
        <v>101</v>
      </c>
      <c r="C752" s="1">
        <v>45414</v>
      </c>
      <c r="D752" s="1">
        <v>45619</v>
      </c>
      <c r="E752">
        <v>6</v>
      </c>
      <c r="F752">
        <v>7.99</v>
      </c>
      <c r="G752">
        <f t="shared" si="11"/>
        <v>47.94</v>
      </c>
      <c r="H752">
        <v>290</v>
      </c>
      <c r="I752" t="s">
        <v>35</v>
      </c>
      <c r="J752">
        <v>5</v>
      </c>
      <c r="K752">
        <v>5</v>
      </c>
      <c r="L752" t="b">
        <v>0</v>
      </c>
      <c r="M752">
        <v>84</v>
      </c>
      <c r="N752">
        <v>52</v>
      </c>
      <c r="O752" t="s">
        <v>41</v>
      </c>
      <c r="P752" t="s">
        <v>42</v>
      </c>
      <c r="Q752" t="s">
        <v>29</v>
      </c>
      <c r="R752">
        <v>91</v>
      </c>
      <c r="S752">
        <v>3.1</v>
      </c>
      <c r="T752" t="b">
        <v>1</v>
      </c>
      <c r="U752" t="s">
        <v>30</v>
      </c>
      <c r="V752">
        <v>1408</v>
      </c>
      <c r="W752" t="s">
        <v>37</v>
      </c>
      <c r="X752" t="s">
        <v>62</v>
      </c>
      <c r="Y752" t="s">
        <v>77</v>
      </c>
    </row>
    <row r="753" spans="1:25" x14ac:dyDescent="0.35">
      <c r="A753">
        <v>1425</v>
      </c>
      <c r="B753" t="s">
        <v>366</v>
      </c>
      <c r="C753" s="1">
        <v>45537</v>
      </c>
      <c r="D753" s="1">
        <v>45621</v>
      </c>
      <c r="E753">
        <v>2</v>
      </c>
      <c r="F753">
        <v>7.99</v>
      </c>
      <c r="G753">
        <f t="shared" si="11"/>
        <v>15.98</v>
      </c>
      <c r="H753">
        <v>50</v>
      </c>
      <c r="I753" t="s">
        <v>26</v>
      </c>
      <c r="J753">
        <v>2</v>
      </c>
      <c r="K753">
        <v>3</v>
      </c>
      <c r="L753" t="b">
        <v>1</v>
      </c>
      <c r="M753">
        <v>502</v>
      </c>
      <c r="N753">
        <v>5</v>
      </c>
      <c r="O753" t="s">
        <v>50</v>
      </c>
      <c r="P753" t="s">
        <v>42</v>
      </c>
      <c r="Q753" t="s">
        <v>29</v>
      </c>
      <c r="R753">
        <v>96</v>
      </c>
      <c r="S753">
        <v>4.4000000000000004</v>
      </c>
      <c r="T753" t="b">
        <v>1</v>
      </c>
      <c r="U753" t="s">
        <v>30</v>
      </c>
      <c r="V753">
        <v>1917</v>
      </c>
      <c r="W753" t="s">
        <v>67</v>
      </c>
      <c r="X753" t="s">
        <v>70</v>
      </c>
      <c r="Y753" t="s">
        <v>77</v>
      </c>
    </row>
    <row r="754" spans="1:25" x14ac:dyDescent="0.35">
      <c r="A754">
        <v>4479</v>
      </c>
      <c r="B754" t="s">
        <v>25</v>
      </c>
      <c r="C754" s="1">
        <v>45602</v>
      </c>
      <c r="D754" s="1">
        <v>45632</v>
      </c>
      <c r="E754">
        <v>1</v>
      </c>
      <c r="F754">
        <v>15.99</v>
      </c>
      <c r="G754">
        <f t="shared" si="11"/>
        <v>15.99</v>
      </c>
      <c r="H754">
        <v>241</v>
      </c>
      <c r="I754" t="s">
        <v>81</v>
      </c>
      <c r="J754">
        <v>3</v>
      </c>
      <c r="K754">
        <v>2</v>
      </c>
      <c r="L754" t="b">
        <v>1</v>
      </c>
      <c r="M754">
        <v>549</v>
      </c>
      <c r="N754">
        <v>158</v>
      </c>
      <c r="O754" t="s">
        <v>50</v>
      </c>
      <c r="P754" t="s">
        <v>42</v>
      </c>
      <c r="Q754" t="s">
        <v>43</v>
      </c>
      <c r="R754">
        <v>96</v>
      </c>
      <c r="S754">
        <v>3.1</v>
      </c>
      <c r="T754" t="b">
        <v>1</v>
      </c>
      <c r="U754" t="s">
        <v>30</v>
      </c>
      <c r="V754">
        <v>1986</v>
      </c>
      <c r="W754" t="s">
        <v>31</v>
      </c>
      <c r="X754" t="s">
        <v>38</v>
      </c>
      <c r="Y754" t="s">
        <v>55</v>
      </c>
    </row>
    <row r="755" spans="1:25" x14ac:dyDescent="0.35">
      <c r="A755">
        <v>3393</v>
      </c>
      <c r="B755" t="s">
        <v>82</v>
      </c>
      <c r="C755" s="1">
        <v>45317</v>
      </c>
      <c r="D755" s="1">
        <v>45624</v>
      </c>
      <c r="E755">
        <v>10</v>
      </c>
      <c r="F755">
        <v>7.99</v>
      </c>
      <c r="G755">
        <f t="shared" si="11"/>
        <v>79.900000000000006</v>
      </c>
      <c r="H755">
        <v>383</v>
      </c>
      <c r="I755" t="s">
        <v>57</v>
      </c>
      <c r="J755">
        <v>3</v>
      </c>
      <c r="K755">
        <v>2</v>
      </c>
      <c r="L755" t="b">
        <v>1</v>
      </c>
      <c r="M755">
        <v>699</v>
      </c>
      <c r="N755">
        <v>174</v>
      </c>
      <c r="O755" t="s">
        <v>76</v>
      </c>
      <c r="P755" t="s">
        <v>51</v>
      </c>
      <c r="Q755" t="s">
        <v>69</v>
      </c>
      <c r="R755">
        <v>13</v>
      </c>
      <c r="S755">
        <v>3.8</v>
      </c>
      <c r="T755" t="b">
        <v>1</v>
      </c>
      <c r="U755" t="s">
        <v>30</v>
      </c>
      <c r="V755">
        <v>3254</v>
      </c>
      <c r="W755" t="s">
        <v>31</v>
      </c>
      <c r="X755" t="s">
        <v>54</v>
      </c>
      <c r="Y755" t="s">
        <v>77</v>
      </c>
    </row>
    <row r="756" spans="1:25" x14ac:dyDescent="0.35">
      <c r="A756">
        <v>8528</v>
      </c>
      <c r="B756" t="s">
        <v>185</v>
      </c>
      <c r="C756" s="1">
        <v>45612</v>
      </c>
      <c r="D756" s="1">
        <v>45625</v>
      </c>
      <c r="E756">
        <v>0</v>
      </c>
      <c r="F756">
        <v>7.99</v>
      </c>
      <c r="G756">
        <f t="shared" si="11"/>
        <v>0</v>
      </c>
      <c r="H756">
        <v>384</v>
      </c>
      <c r="I756" t="s">
        <v>45</v>
      </c>
      <c r="J756">
        <v>5</v>
      </c>
      <c r="K756">
        <v>1</v>
      </c>
      <c r="L756" t="b">
        <v>0</v>
      </c>
      <c r="M756">
        <v>423</v>
      </c>
      <c r="N756">
        <v>110</v>
      </c>
      <c r="O756" t="s">
        <v>76</v>
      </c>
      <c r="P756" t="s">
        <v>51</v>
      </c>
      <c r="Q756" t="s">
        <v>43</v>
      </c>
      <c r="R756">
        <v>61</v>
      </c>
      <c r="S756">
        <v>4.7</v>
      </c>
      <c r="T756" t="b">
        <v>1</v>
      </c>
      <c r="U756" t="s">
        <v>30</v>
      </c>
      <c r="V756">
        <v>3648</v>
      </c>
      <c r="W756" t="s">
        <v>31</v>
      </c>
      <c r="X756" t="s">
        <v>62</v>
      </c>
      <c r="Y756" t="s">
        <v>55</v>
      </c>
    </row>
    <row r="757" spans="1:25" x14ac:dyDescent="0.35">
      <c r="A757">
        <v>9372</v>
      </c>
      <c r="B757" t="s">
        <v>101</v>
      </c>
      <c r="C757" s="1">
        <v>44974</v>
      </c>
      <c r="D757" s="1">
        <v>45630</v>
      </c>
      <c r="E757">
        <v>21</v>
      </c>
      <c r="F757">
        <v>7.99</v>
      </c>
      <c r="G757">
        <f t="shared" si="11"/>
        <v>167.79</v>
      </c>
      <c r="H757">
        <v>302</v>
      </c>
      <c r="I757" t="s">
        <v>57</v>
      </c>
      <c r="J757">
        <v>1</v>
      </c>
      <c r="K757">
        <v>1</v>
      </c>
      <c r="L757" t="b">
        <v>1</v>
      </c>
      <c r="M757">
        <v>964</v>
      </c>
      <c r="N757">
        <v>165</v>
      </c>
      <c r="O757" t="s">
        <v>76</v>
      </c>
      <c r="P757" t="s">
        <v>66</v>
      </c>
      <c r="Q757" t="s">
        <v>58</v>
      </c>
      <c r="R757">
        <v>47</v>
      </c>
      <c r="S757">
        <v>4.4000000000000004</v>
      </c>
      <c r="T757" t="b">
        <v>0</v>
      </c>
      <c r="U757" t="s">
        <v>30</v>
      </c>
      <c r="V757">
        <v>3552</v>
      </c>
      <c r="W757" t="s">
        <v>53</v>
      </c>
      <c r="X757" t="s">
        <v>70</v>
      </c>
      <c r="Y757" t="s">
        <v>39</v>
      </c>
    </row>
    <row r="758" spans="1:25" x14ac:dyDescent="0.35">
      <c r="A758">
        <v>5469</v>
      </c>
      <c r="B758" t="s">
        <v>133</v>
      </c>
      <c r="C758" s="1">
        <v>45341</v>
      </c>
      <c r="D758" s="1">
        <v>45631</v>
      </c>
      <c r="E758">
        <v>9</v>
      </c>
      <c r="F758">
        <v>15.99</v>
      </c>
      <c r="G758">
        <f t="shared" si="11"/>
        <v>143.91</v>
      </c>
      <c r="H758">
        <v>24</v>
      </c>
      <c r="I758" t="s">
        <v>45</v>
      </c>
      <c r="J758">
        <v>2</v>
      </c>
      <c r="K758">
        <v>1</v>
      </c>
      <c r="L758" t="b">
        <v>0</v>
      </c>
      <c r="M758">
        <v>742</v>
      </c>
      <c r="N758">
        <v>150</v>
      </c>
      <c r="O758" t="s">
        <v>27</v>
      </c>
      <c r="P758" t="s">
        <v>51</v>
      </c>
      <c r="Q758" t="s">
        <v>69</v>
      </c>
      <c r="R758">
        <v>57</v>
      </c>
      <c r="S758">
        <v>3</v>
      </c>
      <c r="T758" t="b">
        <v>0</v>
      </c>
      <c r="U758" t="s">
        <v>30</v>
      </c>
      <c r="V758">
        <v>150</v>
      </c>
      <c r="W758" t="s">
        <v>53</v>
      </c>
      <c r="X758" t="s">
        <v>54</v>
      </c>
      <c r="Y758" t="s">
        <v>55</v>
      </c>
    </row>
    <row r="759" spans="1:25" x14ac:dyDescent="0.35">
      <c r="A759">
        <v>2603</v>
      </c>
      <c r="B759" t="s">
        <v>367</v>
      </c>
      <c r="C759" s="1">
        <v>45430</v>
      </c>
      <c r="D759" s="1">
        <v>45616</v>
      </c>
      <c r="E759">
        <v>6</v>
      </c>
      <c r="F759">
        <v>11.99</v>
      </c>
      <c r="G759">
        <f t="shared" si="11"/>
        <v>71.94</v>
      </c>
      <c r="H759">
        <v>416</v>
      </c>
      <c r="I759" t="s">
        <v>81</v>
      </c>
      <c r="J759">
        <v>3</v>
      </c>
      <c r="K759">
        <v>5</v>
      </c>
      <c r="L759" t="b">
        <v>0</v>
      </c>
      <c r="M759">
        <v>97</v>
      </c>
      <c r="N759">
        <v>172</v>
      </c>
      <c r="O759" t="s">
        <v>27</v>
      </c>
      <c r="P759" t="s">
        <v>51</v>
      </c>
      <c r="Q759" t="s">
        <v>52</v>
      </c>
      <c r="R759">
        <v>89</v>
      </c>
      <c r="S759">
        <v>4.3</v>
      </c>
      <c r="T759" t="b">
        <v>1</v>
      </c>
      <c r="U759" t="s">
        <v>30</v>
      </c>
      <c r="V759">
        <v>786</v>
      </c>
      <c r="W759" t="s">
        <v>53</v>
      </c>
      <c r="X759" t="s">
        <v>54</v>
      </c>
      <c r="Y759" t="s">
        <v>77</v>
      </c>
    </row>
    <row r="760" spans="1:25" x14ac:dyDescent="0.35">
      <c r="A760">
        <v>5306</v>
      </c>
      <c r="B760" t="s">
        <v>230</v>
      </c>
      <c r="C760" s="1">
        <v>45179</v>
      </c>
      <c r="D760" s="1">
        <v>45635</v>
      </c>
      <c r="E760">
        <v>14</v>
      </c>
      <c r="F760">
        <v>15.99</v>
      </c>
      <c r="G760">
        <f t="shared" si="11"/>
        <v>223.86</v>
      </c>
      <c r="H760">
        <v>272</v>
      </c>
      <c r="I760" t="s">
        <v>64</v>
      </c>
      <c r="J760">
        <v>5</v>
      </c>
      <c r="K760">
        <v>1</v>
      </c>
      <c r="L760" t="b">
        <v>1</v>
      </c>
      <c r="M760">
        <v>735</v>
      </c>
      <c r="N760">
        <v>74</v>
      </c>
      <c r="O760" t="s">
        <v>65</v>
      </c>
      <c r="P760" t="s">
        <v>51</v>
      </c>
      <c r="Q760" t="s">
        <v>58</v>
      </c>
      <c r="R760">
        <v>90</v>
      </c>
      <c r="S760">
        <v>3.8</v>
      </c>
      <c r="T760" t="b">
        <v>1</v>
      </c>
      <c r="U760" t="s">
        <v>30</v>
      </c>
      <c r="V760">
        <v>1808</v>
      </c>
      <c r="W760" t="s">
        <v>67</v>
      </c>
      <c r="X760" t="s">
        <v>38</v>
      </c>
      <c r="Y760" t="s">
        <v>33</v>
      </c>
    </row>
    <row r="761" spans="1:25" x14ac:dyDescent="0.35">
      <c r="A761">
        <v>7869</v>
      </c>
      <c r="B761" t="s">
        <v>185</v>
      </c>
      <c r="C761" s="1">
        <v>45435</v>
      </c>
      <c r="D761" s="1">
        <v>45627</v>
      </c>
      <c r="E761">
        <v>6</v>
      </c>
      <c r="F761">
        <v>15.99</v>
      </c>
      <c r="G761">
        <f t="shared" si="11"/>
        <v>95.94</v>
      </c>
      <c r="H761">
        <v>294</v>
      </c>
      <c r="I761" t="s">
        <v>35</v>
      </c>
      <c r="J761">
        <v>3</v>
      </c>
      <c r="K761">
        <v>6</v>
      </c>
      <c r="L761" t="b">
        <v>0</v>
      </c>
      <c r="M761">
        <v>709</v>
      </c>
      <c r="N761">
        <v>181</v>
      </c>
      <c r="O761" t="s">
        <v>65</v>
      </c>
      <c r="P761" t="s">
        <v>66</v>
      </c>
      <c r="Q761" t="s">
        <v>52</v>
      </c>
      <c r="R761">
        <v>39</v>
      </c>
      <c r="S761">
        <v>3.2</v>
      </c>
      <c r="T761" t="b">
        <v>1</v>
      </c>
      <c r="U761" t="s">
        <v>30</v>
      </c>
      <c r="V761">
        <v>3091</v>
      </c>
      <c r="W761" t="s">
        <v>59</v>
      </c>
      <c r="X761" t="s">
        <v>62</v>
      </c>
      <c r="Y761" t="s">
        <v>39</v>
      </c>
    </row>
    <row r="762" spans="1:25" x14ac:dyDescent="0.35">
      <c r="A762">
        <v>1699</v>
      </c>
      <c r="B762" t="s">
        <v>148</v>
      </c>
      <c r="C762" s="1">
        <v>45182</v>
      </c>
      <c r="D762" s="1">
        <v>45637</v>
      </c>
      <c r="E762">
        <v>14</v>
      </c>
      <c r="F762">
        <v>15.99</v>
      </c>
      <c r="G762">
        <f t="shared" si="11"/>
        <v>223.86</v>
      </c>
      <c r="H762">
        <v>18</v>
      </c>
      <c r="I762" t="s">
        <v>48</v>
      </c>
      <c r="J762">
        <v>4</v>
      </c>
      <c r="K762">
        <v>2</v>
      </c>
      <c r="L762" t="b">
        <v>0</v>
      </c>
      <c r="M762">
        <v>882</v>
      </c>
      <c r="N762">
        <v>1</v>
      </c>
      <c r="O762" t="s">
        <v>76</v>
      </c>
      <c r="P762" t="s">
        <v>51</v>
      </c>
      <c r="Q762" t="s">
        <v>52</v>
      </c>
      <c r="R762">
        <v>100</v>
      </c>
      <c r="S762">
        <v>4.7</v>
      </c>
      <c r="T762" t="b">
        <v>1</v>
      </c>
      <c r="U762" t="s">
        <v>30</v>
      </c>
      <c r="V762">
        <v>3697</v>
      </c>
      <c r="W762" t="s">
        <v>37</v>
      </c>
      <c r="X762" t="s">
        <v>38</v>
      </c>
      <c r="Y762" t="s">
        <v>39</v>
      </c>
    </row>
    <row r="763" spans="1:25" x14ac:dyDescent="0.35">
      <c r="A763">
        <v>3214</v>
      </c>
      <c r="B763" t="s">
        <v>87</v>
      </c>
      <c r="C763" s="1">
        <v>45487</v>
      </c>
      <c r="D763" s="1">
        <v>45638</v>
      </c>
      <c r="E763">
        <v>4</v>
      </c>
      <c r="F763">
        <v>15.99</v>
      </c>
      <c r="G763">
        <f t="shared" si="11"/>
        <v>63.96</v>
      </c>
      <c r="H763">
        <v>409</v>
      </c>
      <c r="I763" t="s">
        <v>26</v>
      </c>
      <c r="J763">
        <v>1</v>
      </c>
      <c r="K763">
        <v>2</v>
      </c>
      <c r="L763" t="b">
        <v>1</v>
      </c>
      <c r="M763">
        <v>131</v>
      </c>
      <c r="N763">
        <v>85</v>
      </c>
      <c r="O763" t="s">
        <v>65</v>
      </c>
      <c r="P763" t="s">
        <v>66</v>
      </c>
      <c r="Q763" t="s">
        <v>69</v>
      </c>
      <c r="R763">
        <v>95</v>
      </c>
      <c r="S763">
        <v>4.3</v>
      </c>
      <c r="T763" t="b">
        <v>1</v>
      </c>
      <c r="U763" t="s">
        <v>30</v>
      </c>
      <c r="V763">
        <v>4835</v>
      </c>
      <c r="W763" t="s">
        <v>59</v>
      </c>
      <c r="X763" t="s">
        <v>54</v>
      </c>
      <c r="Y763" t="s">
        <v>77</v>
      </c>
    </row>
    <row r="764" spans="1:25" x14ac:dyDescent="0.35">
      <c r="A764">
        <v>1050</v>
      </c>
      <c r="B764" t="s">
        <v>49</v>
      </c>
      <c r="C764" s="1">
        <v>45395</v>
      </c>
      <c r="D764" s="1">
        <v>45625</v>
      </c>
      <c r="E764">
        <v>7</v>
      </c>
      <c r="F764">
        <v>11.99</v>
      </c>
      <c r="G764">
        <f t="shared" si="11"/>
        <v>83.93</v>
      </c>
      <c r="H764">
        <v>290</v>
      </c>
      <c r="I764" t="s">
        <v>81</v>
      </c>
      <c r="J764">
        <v>4</v>
      </c>
      <c r="K764">
        <v>4</v>
      </c>
      <c r="L764" t="b">
        <v>0</v>
      </c>
      <c r="M764">
        <v>305</v>
      </c>
      <c r="N764">
        <v>112</v>
      </c>
      <c r="O764" t="s">
        <v>27</v>
      </c>
      <c r="P764" t="s">
        <v>28</v>
      </c>
      <c r="Q764" t="s">
        <v>52</v>
      </c>
      <c r="R764">
        <v>57</v>
      </c>
      <c r="S764">
        <v>4.5</v>
      </c>
      <c r="T764" t="b">
        <v>0</v>
      </c>
      <c r="U764" t="s">
        <v>30</v>
      </c>
      <c r="V764">
        <v>2023</v>
      </c>
      <c r="W764" t="s">
        <v>37</v>
      </c>
      <c r="X764" t="s">
        <v>62</v>
      </c>
      <c r="Y764" t="s">
        <v>55</v>
      </c>
    </row>
    <row r="765" spans="1:25" x14ac:dyDescent="0.35">
      <c r="A765">
        <v>3325</v>
      </c>
      <c r="B765" t="s">
        <v>83</v>
      </c>
      <c r="C765" s="1">
        <v>45575</v>
      </c>
      <c r="D765" s="1">
        <v>45626</v>
      </c>
      <c r="E765">
        <v>1</v>
      </c>
      <c r="F765">
        <v>15.99</v>
      </c>
      <c r="G765">
        <f t="shared" si="11"/>
        <v>15.99</v>
      </c>
      <c r="H765">
        <v>102</v>
      </c>
      <c r="I765" t="s">
        <v>35</v>
      </c>
      <c r="J765">
        <v>5</v>
      </c>
      <c r="K765">
        <v>3</v>
      </c>
      <c r="L765" t="b">
        <v>0</v>
      </c>
      <c r="M765">
        <v>456</v>
      </c>
      <c r="N765">
        <v>52</v>
      </c>
      <c r="O765" t="s">
        <v>65</v>
      </c>
      <c r="P765" t="s">
        <v>42</v>
      </c>
      <c r="Q765" t="s">
        <v>69</v>
      </c>
      <c r="R765">
        <v>32</v>
      </c>
      <c r="S765">
        <v>4.9000000000000004</v>
      </c>
      <c r="T765" t="b">
        <v>1</v>
      </c>
      <c r="U765" t="s">
        <v>30</v>
      </c>
      <c r="V765">
        <v>1005</v>
      </c>
      <c r="W765" t="s">
        <v>67</v>
      </c>
      <c r="X765" t="s">
        <v>38</v>
      </c>
      <c r="Y765" t="s">
        <v>39</v>
      </c>
    </row>
    <row r="766" spans="1:25" x14ac:dyDescent="0.35">
      <c r="A766">
        <v>1970</v>
      </c>
      <c r="B766" t="s">
        <v>111</v>
      </c>
      <c r="C766" s="1">
        <v>45190</v>
      </c>
      <c r="D766" s="1">
        <v>45628</v>
      </c>
      <c r="E766">
        <v>14</v>
      </c>
      <c r="F766">
        <v>15.99</v>
      </c>
      <c r="G766">
        <f t="shared" si="11"/>
        <v>223.86</v>
      </c>
      <c r="H766">
        <v>119</v>
      </c>
      <c r="I766" t="s">
        <v>45</v>
      </c>
      <c r="J766">
        <v>2</v>
      </c>
      <c r="K766">
        <v>1</v>
      </c>
      <c r="L766" t="b">
        <v>1</v>
      </c>
      <c r="M766">
        <v>385</v>
      </c>
      <c r="N766">
        <v>82</v>
      </c>
      <c r="O766" t="s">
        <v>61</v>
      </c>
      <c r="P766" t="s">
        <v>66</v>
      </c>
      <c r="Q766" t="s">
        <v>58</v>
      </c>
      <c r="R766">
        <v>87</v>
      </c>
      <c r="S766">
        <v>3.3</v>
      </c>
      <c r="T766" t="b">
        <v>0</v>
      </c>
      <c r="U766" t="s">
        <v>30</v>
      </c>
      <c r="V766">
        <v>876</v>
      </c>
      <c r="W766" t="s">
        <v>67</v>
      </c>
      <c r="X766" t="s">
        <v>32</v>
      </c>
      <c r="Y766" t="s">
        <v>77</v>
      </c>
    </row>
    <row r="767" spans="1:25" x14ac:dyDescent="0.35">
      <c r="A767">
        <v>6272</v>
      </c>
      <c r="B767" t="s">
        <v>316</v>
      </c>
      <c r="C767" s="1">
        <v>45132</v>
      </c>
      <c r="D767" s="1">
        <v>45644</v>
      </c>
      <c r="E767">
        <v>16</v>
      </c>
      <c r="F767">
        <v>11.99</v>
      </c>
      <c r="G767">
        <f t="shared" si="11"/>
        <v>191.84</v>
      </c>
      <c r="H767">
        <v>87</v>
      </c>
      <c r="I767" t="s">
        <v>26</v>
      </c>
      <c r="J767">
        <v>3</v>
      </c>
      <c r="K767">
        <v>6</v>
      </c>
      <c r="L767" t="b">
        <v>1</v>
      </c>
      <c r="M767">
        <v>213</v>
      </c>
      <c r="N767">
        <v>98</v>
      </c>
      <c r="O767" t="s">
        <v>41</v>
      </c>
      <c r="P767" t="s">
        <v>42</v>
      </c>
      <c r="Q767" t="s">
        <v>43</v>
      </c>
      <c r="R767">
        <v>84</v>
      </c>
      <c r="S767">
        <v>4.7</v>
      </c>
      <c r="T767" t="b">
        <v>0</v>
      </c>
      <c r="U767" t="s">
        <v>30</v>
      </c>
      <c r="V767">
        <v>2089</v>
      </c>
      <c r="W767" t="s">
        <v>67</v>
      </c>
      <c r="X767" t="s">
        <v>38</v>
      </c>
      <c r="Y767" t="s">
        <v>77</v>
      </c>
    </row>
    <row r="768" spans="1:25" x14ac:dyDescent="0.35">
      <c r="A768">
        <v>4745</v>
      </c>
      <c r="B768" t="s">
        <v>80</v>
      </c>
      <c r="C768" s="1">
        <v>45110</v>
      </c>
      <c r="D768" s="1">
        <v>45626</v>
      </c>
      <c r="E768">
        <v>16</v>
      </c>
      <c r="F768">
        <v>7.99</v>
      </c>
      <c r="G768">
        <f t="shared" si="11"/>
        <v>127.84</v>
      </c>
      <c r="H768">
        <v>273</v>
      </c>
      <c r="I768" t="s">
        <v>35</v>
      </c>
      <c r="J768">
        <v>5</v>
      </c>
      <c r="K768">
        <v>1</v>
      </c>
      <c r="L768" t="b">
        <v>1</v>
      </c>
      <c r="M768">
        <v>830</v>
      </c>
      <c r="N768">
        <v>178</v>
      </c>
      <c r="O768" t="s">
        <v>27</v>
      </c>
      <c r="P768" t="s">
        <v>66</v>
      </c>
      <c r="Q768" t="s">
        <v>69</v>
      </c>
      <c r="R768">
        <v>37</v>
      </c>
      <c r="S768">
        <v>3.7</v>
      </c>
      <c r="T768" t="b">
        <v>1</v>
      </c>
      <c r="U768" t="s">
        <v>30</v>
      </c>
      <c r="V768">
        <v>772</v>
      </c>
      <c r="W768" t="s">
        <v>31</v>
      </c>
      <c r="X768" t="s">
        <v>70</v>
      </c>
      <c r="Y768" t="s">
        <v>39</v>
      </c>
    </row>
    <row r="769" spans="1:25" x14ac:dyDescent="0.35">
      <c r="A769">
        <v>8867</v>
      </c>
      <c r="B769" t="s">
        <v>147</v>
      </c>
      <c r="C769" s="1">
        <v>45080</v>
      </c>
      <c r="D769" s="1">
        <v>45617</v>
      </c>
      <c r="E769">
        <v>17</v>
      </c>
      <c r="F769">
        <v>15.99</v>
      </c>
      <c r="G769">
        <f t="shared" si="11"/>
        <v>271.83</v>
      </c>
      <c r="H769">
        <v>281</v>
      </c>
      <c r="I769" t="s">
        <v>64</v>
      </c>
      <c r="J769">
        <v>1</v>
      </c>
      <c r="K769">
        <v>2</v>
      </c>
      <c r="L769" t="b">
        <v>1</v>
      </c>
      <c r="M769">
        <v>601</v>
      </c>
      <c r="N769">
        <v>75</v>
      </c>
      <c r="O769" t="s">
        <v>76</v>
      </c>
      <c r="P769" t="s">
        <v>51</v>
      </c>
      <c r="Q769" t="s">
        <v>36</v>
      </c>
      <c r="R769">
        <v>92</v>
      </c>
      <c r="S769">
        <v>4.5</v>
      </c>
      <c r="T769" t="b">
        <v>0</v>
      </c>
      <c r="U769" t="s">
        <v>30</v>
      </c>
      <c r="V769">
        <v>373</v>
      </c>
      <c r="W769" t="s">
        <v>53</v>
      </c>
      <c r="X769" t="s">
        <v>62</v>
      </c>
      <c r="Y769" t="s">
        <v>55</v>
      </c>
    </row>
    <row r="770" spans="1:25" x14ac:dyDescent="0.35">
      <c r="A770">
        <v>4901</v>
      </c>
      <c r="B770" t="s">
        <v>149</v>
      </c>
      <c r="C770" s="1">
        <v>44938</v>
      </c>
      <c r="D770" s="1">
        <v>45644</v>
      </c>
      <c r="E770">
        <v>23</v>
      </c>
      <c r="F770">
        <v>7.99</v>
      </c>
      <c r="G770">
        <f t="shared" si="11"/>
        <v>183.77</v>
      </c>
      <c r="H770">
        <v>115</v>
      </c>
      <c r="I770" t="s">
        <v>48</v>
      </c>
      <c r="J770">
        <v>2</v>
      </c>
      <c r="K770">
        <v>3</v>
      </c>
      <c r="L770" t="b">
        <v>0</v>
      </c>
      <c r="M770">
        <v>843</v>
      </c>
      <c r="N770">
        <v>153</v>
      </c>
      <c r="O770" t="s">
        <v>76</v>
      </c>
      <c r="P770" t="s">
        <v>28</v>
      </c>
      <c r="Q770" t="s">
        <v>43</v>
      </c>
      <c r="R770">
        <v>6</v>
      </c>
      <c r="S770">
        <v>3.3</v>
      </c>
      <c r="T770" t="b">
        <v>1</v>
      </c>
      <c r="U770" t="s">
        <v>30</v>
      </c>
      <c r="V770">
        <v>3425</v>
      </c>
      <c r="W770" t="s">
        <v>67</v>
      </c>
      <c r="X770" t="s">
        <v>38</v>
      </c>
      <c r="Y770" t="s">
        <v>55</v>
      </c>
    </row>
    <row r="771" spans="1:25" x14ac:dyDescent="0.35">
      <c r="A771">
        <v>9575</v>
      </c>
      <c r="B771" t="s">
        <v>148</v>
      </c>
      <c r="C771" s="1">
        <v>44982</v>
      </c>
      <c r="D771" s="1">
        <v>45639</v>
      </c>
      <c r="E771">
        <v>21</v>
      </c>
      <c r="F771">
        <v>11.99</v>
      </c>
      <c r="G771">
        <f t="shared" ref="G771:G834" si="12">F771*E771</f>
        <v>251.79</v>
      </c>
      <c r="H771">
        <v>483</v>
      </c>
      <c r="I771" t="s">
        <v>57</v>
      </c>
      <c r="J771">
        <v>2</v>
      </c>
      <c r="K771">
        <v>6</v>
      </c>
      <c r="L771" t="b">
        <v>0</v>
      </c>
      <c r="M771">
        <v>386</v>
      </c>
      <c r="N771">
        <v>192</v>
      </c>
      <c r="O771" t="s">
        <v>61</v>
      </c>
      <c r="P771" t="s">
        <v>28</v>
      </c>
      <c r="Q771" t="s">
        <v>69</v>
      </c>
      <c r="R771">
        <v>95</v>
      </c>
      <c r="S771">
        <v>4.5999999999999996</v>
      </c>
      <c r="T771" t="b">
        <v>1</v>
      </c>
      <c r="U771" t="s">
        <v>30</v>
      </c>
      <c r="V771">
        <v>4422</v>
      </c>
      <c r="W771" t="s">
        <v>37</v>
      </c>
      <c r="X771" t="s">
        <v>70</v>
      </c>
      <c r="Y771" t="s">
        <v>33</v>
      </c>
    </row>
    <row r="772" spans="1:25" x14ac:dyDescent="0.35">
      <c r="A772">
        <v>4471</v>
      </c>
      <c r="B772" t="s">
        <v>245</v>
      </c>
      <c r="C772" s="1">
        <v>45382</v>
      </c>
      <c r="D772" s="1">
        <v>45637</v>
      </c>
      <c r="E772">
        <v>8</v>
      </c>
      <c r="F772">
        <v>11.99</v>
      </c>
      <c r="G772">
        <f t="shared" si="12"/>
        <v>95.92</v>
      </c>
      <c r="H772">
        <v>129</v>
      </c>
      <c r="I772" t="s">
        <v>35</v>
      </c>
      <c r="J772">
        <v>5</v>
      </c>
      <c r="K772">
        <v>3</v>
      </c>
      <c r="L772" t="b">
        <v>0</v>
      </c>
      <c r="M772">
        <v>291</v>
      </c>
      <c r="N772">
        <v>37</v>
      </c>
      <c r="O772" t="s">
        <v>50</v>
      </c>
      <c r="P772" t="s">
        <v>51</v>
      </c>
      <c r="Q772" t="s">
        <v>43</v>
      </c>
      <c r="R772">
        <v>51</v>
      </c>
      <c r="S772">
        <v>3.8</v>
      </c>
      <c r="T772" t="b">
        <v>0</v>
      </c>
      <c r="U772" t="s">
        <v>30</v>
      </c>
      <c r="V772">
        <v>4980</v>
      </c>
      <c r="W772" t="s">
        <v>67</v>
      </c>
      <c r="X772" t="s">
        <v>38</v>
      </c>
      <c r="Y772" t="s">
        <v>55</v>
      </c>
    </row>
    <row r="773" spans="1:25" x14ac:dyDescent="0.35">
      <c r="A773">
        <v>1385</v>
      </c>
      <c r="B773" t="s">
        <v>368</v>
      </c>
      <c r="C773" s="1">
        <v>45568</v>
      </c>
      <c r="D773" s="1">
        <v>45636</v>
      </c>
      <c r="E773">
        <v>2</v>
      </c>
      <c r="F773">
        <v>11.99</v>
      </c>
      <c r="G773">
        <f t="shared" si="12"/>
        <v>23.98</v>
      </c>
      <c r="H773">
        <v>292</v>
      </c>
      <c r="I773" t="s">
        <v>35</v>
      </c>
      <c r="J773">
        <v>4</v>
      </c>
      <c r="K773">
        <v>3</v>
      </c>
      <c r="L773" t="b">
        <v>0</v>
      </c>
      <c r="M773">
        <v>198</v>
      </c>
      <c r="N773">
        <v>195</v>
      </c>
      <c r="O773" t="s">
        <v>41</v>
      </c>
      <c r="P773" t="s">
        <v>51</v>
      </c>
      <c r="Q773" t="s">
        <v>58</v>
      </c>
      <c r="R773">
        <v>55</v>
      </c>
      <c r="S773">
        <v>4.9000000000000004</v>
      </c>
      <c r="T773" t="b">
        <v>1</v>
      </c>
      <c r="U773" t="s">
        <v>30</v>
      </c>
      <c r="V773">
        <v>1367</v>
      </c>
      <c r="W773" t="s">
        <v>67</v>
      </c>
      <c r="X773" t="s">
        <v>32</v>
      </c>
      <c r="Y773" t="s">
        <v>33</v>
      </c>
    </row>
    <row r="774" spans="1:25" x14ac:dyDescent="0.35">
      <c r="A774">
        <v>4302</v>
      </c>
      <c r="B774" t="s">
        <v>114</v>
      </c>
      <c r="C774" s="1">
        <v>44973</v>
      </c>
      <c r="D774" s="1">
        <v>45636</v>
      </c>
      <c r="E774">
        <v>21</v>
      </c>
      <c r="F774">
        <v>11.99</v>
      </c>
      <c r="G774">
        <f t="shared" si="12"/>
        <v>251.79</v>
      </c>
      <c r="H774">
        <v>307</v>
      </c>
      <c r="I774" t="s">
        <v>57</v>
      </c>
      <c r="J774">
        <v>3</v>
      </c>
      <c r="K774">
        <v>1</v>
      </c>
      <c r="L774" t="b">
        <v>0</v>
      </c>
      <c r="M774">
        <v>919</v>
      </c>
      <c r="N774">
        <v>175</v>
      </c>
      <c r="O774" t="s">
        <v>50</v>
      </c>
      <c r="P774" t="s">
        <v>42</v>
      </c>
      <c r="Q774" t="s">
        <v>58</v>
      </c>
      <c r="R774">
        <v>22</v>
      </c>
      <c r="S774">
        <v>4</v>
      </c>
      <c r="T774" t="b">
        <v>1</v>
      </c>
      <c r="U774" t="s">
        <v>30</v>
      </c>
      <c r="V774">
        <v>2728</v>
      </c>
      <c r="W774" t="s">
        <v>37</v>
      </c>
      <c r="X774" t="s">
        <v>32</v>
      </c>
      <c r="Y774" t="s">
        <v>33</v>
      </c>
    </row>
    <row r="775" spans="1:25" x14ac:dyDescent="0.35">
      <c r="A775">
        <v>4738</v>
      </c>
      <c r="B775" t="s">
        <v>369</v>
      </c>
      <c r="C775" s="1">
        <v>45235</v>
      </c>
      <c r="D775" s="1">
        <v>45630</v>
      </c>
      <c r="E775">
        <v>12</v>
      </c>
      <c r="F775">
        <v>15.99</v>
      </c>
      <c r="G775">
        <f t="shared" si="12"/>
        <v>191.88</v>
      </c>
      <c r="H775">
        <v>306</v>
      </c>
      <c r="I775" t="s">
        <v>35</v>
      </c>
      <c r="J775">
        <v>5</v>
      </c>
      <c r="K775">
        <v>6</v>
      </c>
      <c r="L775" t="b">
        <v>1</v>
      </c>
      <c r="M775">
        <v>483</v>
      </c>
      <c r="N775">
        <v>5</v>
      </c>
      <c r="O775" t="s">
        <v>46</v>
      </c>
      <c r="P775" t="s">
        <v>42</v>
      </c>
      <c r="Q775" t="s">
        <v>29</v>
      </c>
      <c r="R775">
        <v>56</v>
      </c>
      <c r="S775">
        <v>4.7</v>
      </c>
      <c r="T775" t="b">
        <v>0</v>
      </c>
      <c r="U775" t="s">
        <v>30</v>
      </c>
      <c r="V775">
        <v>1556</v>
      </c>
      <c r="W775" t="s">
        <v>67</v>
      </c>
      <c r="X775" t="s">
        <v>32</v>
      </c>
      <c r="Y775" t="s">
        <v>39</v>
      </c>
    </row>
    <row r="776" spans="1:25" x14ac:dyDescent="0.35">
      <c r="A776">
        <v>2441</v>
      </c>
      <c r="B776" t="s">
        <v>185</v>
      </c>
      <c r="C776" s="1">
        <v>45074</v>
      </c>
      <c r="D776" s="1">
        <v>45640</v>
      </c>
      <c r="E776">
        <v>18</v>
      </c>
      <c r="F776">
        <v>11.99</v>
      </c>
      <c r="G776">
        <f t="shared" si="12"/>
        <v>215.82</v>
      </c>
      <c r="H776">
        <v>71</v>
      </c>
      <c r="I776" t="s">
        <v>45</v>
      </c>
      <c r="J776">
        <v>3</v>
      </c>
      <c r="K776">
        <v>2</v>
      </c>
      <c r="L776" t="b">
        <v>1</v>
      </c>
      <c r="M776">
        <v>645</v>
      </c>
      <c r="N776">
        <v>5</v>
      </c>
      <c r="O776" t="s">
        <v>61</v>
      </c>
      <c r="P776" t="s">
        <v>28</v>
      </c>
      <c r="Q776" t="s">
        <v>43</v>
      </c>
      <c r="R776">
        <v>66</v>
      </c>
      <c r="S776">
        <v>3.9</v>
      </c>
      <c r="T776" t="b">
        <v>0</v>
      </c>
      <c r="U776" t="s">
        <v>30</v>
      </c>
      <c r="V776">
        <v>4566</v>
      </c>
      <c r="W776" t="s">
        <v>67</v>
      </c>
      <c r="X776" t="s">
        <v>38</v>
      </c>
      <c r="Y776" t="s">
        <v>33</v>
      </c>
    </row>
    <row r="777" spans="1:25" x14ac:dyDescent="0.35">
      <c r="A777">
        <v>6546</v>
      </c>
      <c r="B777" t="s">
        <v>370</v>
      </c>
      <c r="C777" s="1">
        <v>45286</v>
      </c>
      <c r="D777" s="1">
        <v>45634</v>
      </c>
      <c r="E777">
        <v>11</v>
      </c>
      <c r="F777">
        <v>15.99</v>
      </c>
      <c r="G777">
        <f t="shared" si="12"/>
        <v>175.89000000000001</v>
      </c>
      <c r="H777">
        <v>253</v>
      </c>
      <c r="I777" t="s">
        <v>45</v>
      </c>
      <c r="J777">
        <v>1</v>
      </c>
      <c r="K777">
        <v>2</v>
      </c>
      <c r="L777" t="b">
        <v>1</v>
      </c>
      <c r="M777">
        <v>653</v>
      </c>
      <c r="N777">
        <v>53</v>
      </c>
      <c r="O777" t="s">
        <v>27</v>
      </c>
      <c r="P777" t="s">
        <v>28</v>
      </c>
      <c r="Q777" t="s">
        <v>29</v>
      </c>
      <c r="R777">
        <v>43</v>
      </c>
      <c r="S777">
        <v>4.0999999999999996</v>
      </c>
      <c r="T777" t="b">
        <v>1</v>
      </c>
      <c r="U777" t="s">
        <v>30</v>
      </c>
      <c r="V777">
        <v>2969</v>
      </c>
      <c r="W777" t="s">
        <v>59</v>
      </c>
      <c r="X777" t="s">
        <v>32</v>
      </c>
      <c r="Y777" t="s">
        <v>39</v>
      </c>
    </row>
    <row r="778" spans="1:25" x14ac:dyDescent="0.35">
      <c r="A778">
        <v>5459</v>
      </c>
      <c r="B778" t="s">
        <v>215</v>
      </c>
      <c r="C778" s="1">
        <v>45395</v>
      </c>
      <c r="D778" s="1">
        <v>45639</v>
      </c>
      <c r="E778">
        <v>8</v>
      </c>
      <c r="F778">
        <v>15.99</v>
      </c>
      <c r="G778">
        <f t="shared" si="12"/>
        <v>127.92</v>
      </c>
      <c r="H778">
        <v>68</v>
      </c>
      <c r="I778" t="s">
        <v>57</v>
      </c>
      <c r="J778">
        <v>5</v>
      </c>
      <c r="K778">
        <v>2</v>
      </c>
      <c r="L778" t="b">
        <v>0</v>
      </c>
      <c r="M778">
        <v>727</v>
      </c>
      <c r="N778">
        <v>5</v>
      </c>
      <c r="O778" t="s">
        <v>65</v>
      </c>
      <c r="P778" t="s">
        <v>66</v>
      </c>
      <c r="Q778" t="s">
        <v>69</v>
      </c>
      <c r="R778">
        <v>8</v>
      </c>
      <c r="S778">
        <v>4.5999999999999996</v>
      </c>
      <c r="T778" t="b">
        <v>0</v>
      </c>
      <c r="U778" t="s">
        <v>30</v>
      </c>
      <c r="V778">
        <v>3421</v>
      </c>
      <c r="W778" t="s">
        <v>53</v>
      </c>
      <c r="X778" t="s">
        <v>62</v>
      </c>
      <c r="Y778" t="s">
        <v>33</v>
      </c>
    </row>
    <row r="779" spans="1:25" x14ac:dyDescent="0.35">
      <c r="A779">
        <v>7051</v>
      </c>
      <c r="B779" t="s">
        <v>25</v>
      </c>
      <c r="C779" s="1">
        <v>45060</v>
      </c>
      <c r="D779" s="1">
        <v>45642</v>
      </c>
      <c r="E779">
        <v>19</v>
      </c>
      <c r="F779">
        <v>7.99</v>
      </c>
      <c r="G779">
        <f t="shared" si="12"/>
        <v>151.81</v>
      </c>
      <c r="H779">
        <v>366</v>
      </c>
      <c r="I779" t="s">
        <v>35</v>
      </c>
      <c r="J779">
        <v>1</v>
      </c>
      <c r="K779">
        <v>1</v>
      </c>
      <c r="L779" t="b">
        <v>1</v>
      </c>
      <c r="M779">
        <v>257</v>
      </c>
      <c r="N779">
        <v>46</v>
      </c>
      <c r="O779" t="s">
        <v>65</v>
      </c>
      <c r="P779" t="s">
        <v>42</v>
      </c>
      <c r="Q779" t="s">
        <v>69</v>
      </c>
      <c r="R779">
        <v>7</v>
      </c>
      <c r="S779">
        <v>4.5</v>
      </c>
      <c r="T779" t="b">
        <v>1</v>
      </c>
      <c r="U779" t="s">
        <v>30</v>
      </c>
      <c r="V779">
        <v>2535</v>
      </c>
      <c r="W779" t="s">
        <v>67</v>
      </c>
      <c r="X779" t="s">
        <v>38</v>
      </c>
      <c r="Y779" t="s">
        <v>39</v>
      </c>
    </row>
    <row r="780" spans="1:25" x14ac:dyDescent="0.35">
      <c r="A780">
        <v>6671</v>
      </c>
      <c r="B780" t="s">
        <v>40</v>
      </c>
      <c r="C780" s="1">
        <v>45343</v>
      </c>
      <c r="D780" s="1">
        <v>45637</v>
      </c>
      <c r="E780">
        <v>9</v>
      </c>
      <c r="F780">
        <v>15.99</v>
      </c>
      <c r="G780">
        <f t="shared" si="12"/>
        <v>143.91</v>
      </c>
      <c r="H780">
        <v>166</v>
      </c>
      <c r="I780" t="s">
        <v>81</v>
      </c>
      <c r="J780">
        <v>4</v>
      </c>
      <c r="K780">
        <v>1</v>
      </c>
      <c r="L780" t="b">
        <v>0</v>
      </c>
      <c r="M780">
        <v>208</v>
      </c>
      <c r="N780">
        <v>39</v>
      </c>
      <c r="O780" t="s">
        <v>65</v>
      </c>
      <c r="P780" t="s">
        <v>28</v>
      </c>
      <c r="Q780" t="s">
        <v>52</v>
      </c>
      <c r="R780">
        <v>53</v>
      </c>
      <c r="S780">
        <v>5</v>
      </c>
      <c r="T780" t="b">
        <v>1</v>
      </c>
      <c r="U780" t="s">
        <v>30</v>
      </c>
      <c r="V780">
        <v>290</v>
      </c>
      <c r="W780" t="s">
        <v>31</v>
      </c>
      <c r="X780" t="s">
        <v>32</v>
      </c>
      <c r="Y780" t="s">
        <v>39</v>
      </c>
    </row>
    <row r="781" spans="1:25" x14ac:dyDescent="0.35">
      <c r="A781">
        <v>6013</v>
      </c>
      <c r="B781" t="s">
        <v>88</v>
      </c>
      <c r="C781" s="1">
        <v>45527</v>
      </c>
      <c r="D781" s="1">
        <v>45629</v>
      </c>
      <c r="E781">
        <v>3</v>
      </c>
      <c r="F781">
        <v>15.99</v>
      </c>
      <c r="G781">
        <f t="shared" si="12"/>
        <v>47.97</v>
      </c>
      <c r="H781">
        <v>136</v>
      </c>
      <c r="I781" t="s">
        <v>64</v>
      </c>
      <c r="J781">
        <v>2</v>
      </c>
      <c r="K781">
        <v>4</v>
      </c>
      <c r="L781" t="b">
        <v>1</v>
      </c>
      <c r="M781">
        <v>471</v>
      </c>
      <c r="N781">
        <v>91</v>
      </c>
      <c r="O781" t="s">
        <v>41</v>
      </c>
      <c r="P781" t="s">
        <v>42</v>
      </c>
      <c r="Q781" t="s">
        <v>43</v>
      </c>
      <c r="R781">
        <v>70</v>
      </c>
      <c r="S781">
        <v>4.4000000000000004</v>
      </c>
      <c r="T781" t="b">
        <v>0</v>
      </c>
      <c r="U781" t="s">
        <v>30</v>
      </c>
      <c r="V781">
        <v>756</v>
      </c>
      <c r="W781" t="s">
        <v>67</v>
      </c>
      <c r="X781" t="s">
        <v>38</v>
      </c>
      <c r="Y781" t="s">
        <v>77</v>
      </c>
    </row>
    <row r="782" spans="1:25" x14ac:dyDescent="0.35">
      <c r="A782">
        <v>9996</v>
      </c>
      <c r="B782" t="s">
        <v>298</v>
      </c>
      <c r="C782" s="1">
        <v>45494</v>
      </c>
      <c r="D782" s="1">
        <v>45635</v>
      </c>
      <c r="E782">
        <v>4</v>
      </c>
      <c r="F782">
        <v>7.99</v>
      </c>
      <c r="G782">
        <f t="shared" si="12"/>
        <v>31.96</v>
      </c>
      <c r="H782">
        <v>358</v>
      </c>
      <c r="I782" t="s">
        <v>64</v>
      </c>
      <c r="J782">
        <v>3</v>
      </c>
      <c r="K782">
        <v>2</v>
      </c>
      <c r="L782" t="b">
        <v>1</v>
      </c>
      <c r="M782">
        <v>512</v>
      </c>
      <c r="N782">
        <v>153</v>
      </c>
      <c r="O782" t="s">
        <v>46</v>
      </c>
      <c r="P782" t="s">
        <v>51</v>
      </c>
      <c r="Q782" t="s">
        <v>29</v>
      </c>
      <c r="R782">
        <v>70</v>
      </c>
      <c r="S782">
        <v>3.3</v>
      </c>
      <c r="T782" t="b">
        <v>1</v>
      </c>
      <c r="U782" t="s">
        <v>30</v>
      </c>
      <c r="V782">
        <v>947</v>
      </c>
      <c r="W782" t="s">
        <v>53</v>
      </c>
      <c r="X782" t="s">
        <v>54</v>
      </c>
      <c r="Y782" t="s">
        <v>33</v>
      </c>
    </row>
    <row r="783" spans="1:25" x14ac:dyDescent="0.35">
      <c r="A783">
        <v>4851</v>
      </c>
      <c r="B783" t="s">
        <v>127</v>
      </c>
      <c r="C783" s="1">
        <v>44995</v>
      </c>
      <c r="D783" s="1">
        <v>45642</v>
      </c>
      <c r="E783">
        <v>21</v>
      </c>
      <c r="F783">
        <v>15.99</v>
      </c>
      <c r="G783">
        <f t="shared" si="12"/>
        <v>335.79</v>
      </c>
      <c r="H783">
        <v>399</v>
      </c>
      <c r="I783" t="s">
        <v>35</v>
      </c>
      <c r="J783">
        <v>1</v>
      </c>
      <c r="K783">
        <v>2</v>
      </c>
      <c r="L783" t="b">
        <v>0</v>
      </c>
      <c r="M783">
        <v>355</v>
      </c>
      <c r="N783">
        <v>181</v>
      </c>
      <c r="O783" t="s">
        <v>27</v>
      </c>
      <c r="P783" t="s">
        <v>51</v>
      </c>
      <c r="Q783" t="s">
        <v>29</v>
      </c>
      <c r="R783">
        <v>79</v>
      </c>
      <c r="S783">
        <v>3.4</v>
      </c>
      <c r="T783" t="b">
        <v>1</v>
      </c>
      <c r="U783" t="s">
        <v>30</v>
      </c>
      <c r="V783">
        <v>2138</v>
      </c>
      <c r="W783" t="s">
        <v>37</v>
      </c>
      <c r="X783" t="s">
        <v>62</v>
      </c>
      <c r="Y783" t="s">
        <v>33</v>
      </c>
    </row>
    <row r="784" spans="1:25" x14ac:dyDescent="0.35">
      <c r="A784">
        <v>2498</v>
      </c>
      <c r="B784" t="s">
        <v>263</v>
      </c>
      <c r="C784" s="1">
        <v>45211</v>
      </c>
      <c r="D784" s="1">
        <v>45633</v>
      </c>
      <c r="E784">
        <v>13</v>
      </c>
      <c r="F784">
        <v>11.99</v>
      </c>
      <c r="G784">
        <f t="shared" si="12"/>
        <v>155.87</v>
      </c>
      <c r="H784">
        <v>285</v>
      </c>
      <c r="I784" t="s">
        <v>81</v>
      </c>
      <c r="J784">
        <v>1</v>
      </c>
      <c r="K784">
        <v>5</v>
      </c>
      <c r="L784" t="b">
        <v>0</v>
      </c>
      <c r="M784">
        <v>634</v>
      </c>
      <c r="N784">
        <v>168</v>
      </c>
      <c r="O784" t="s">
        <v>27</v>
      </c>
      <c r="P784" t="s">
        <v>66</v>
      </c>
      <c r="Q784" t="s">
        <v>36</v>
      </c>
      <c r="R784">
        <v>76</v>
      </c>
      <c r="S784">
        <v>3.3</v>
      </c>
      <c r="T784" t="b">
        <v>1</v>
      </c>
      <c r="U784" t="s">
        <v>30</v>
      </c>
      <c r="V784">
        <v>3151</v>
      </c>
      <c r="W784" t="s">
        <v>37</v>
      </c>
      <c r="X784" t="s">
        <v>62</v>
      </c>
      <c r="Y784" t="s">
        <v>77</v>
      </c>
    </row>
    <row r="785" spans="1:25" x14ac:dyDescent="0.35">
      <c r="A785">
        <v>6208</v>
      </c>
      <c r="B785" t="s">
        <v>166</v>
      </c>
      <c r="C785" s="1">
        <v>45126</v>
      </c>
      <c r="D785" s="1">
        <v>45643</v>
      </c>
      <c r="E785">
        <v>16</v>
      </c>
      <c r="F785">
        <v>7.99</v>
      </c>
      <c r="G785">
        <f t="shared" si="12"/>
        <v>127.84</v>
      </c>
      <c r="H785">
        <v>424</v>
      </c>
      <c r="I785" t="s">
        <v>57</v>
      </c>
      <c r="J785">
        <v>2</v>
      </c>
      <c r="K785">
        <v>3</v>
      </c>
      <c r="L785" t="b">
        <v>0</v>
      </c>
      <c r="M785">
        <v>942</v>
      </c>
      <c r="N785">
        <v>127</v>
      </c>
      <c r="O785" t="s">
        <v>65</v>
      </c>
      <c r="P785" t="s">
        <v>28</v>
      </c>
      <c r="Q785" t="s">
        <v>58</v>
      </c>
      <c r="R785">
        <v>95</v>
      </c>
      <c r="S785">
        <v>4.8</v>
      </c>
      <c r="T785" t="b">
        <v>1</v>
      </c>
      <c r="U785" t="s">
        <v>30</v>
      </c>
      <c r="V785">
        <v>670</v>
      </c>
      <c r="W785" t="s">
        <v>53</v>
      </c>
      <c r="X785" t="s">
        <v>62</v>
      </c>
      <c r="Y785" t="s">
        <v>77</v>
      </c>
    </row>
    <row r="786" spans="1:25" x14ac:dyDescent="0.35">
      <c r="A786">
        <v>7171</v>
      </c>
      <c r="B786" t="s">
        <v>63</v>
      </c>
      <c r="C786" s="1">
        <v>45321</v>
      </c>
      <c r="D786" s="1">
        <v>45622</v>
      </c>
      <c r="E786">
        <v>9</v>
      </c>
      <c r="F786">
        <v>11.99</v>
      </c>
      <c r="G786">
        <f t="shared" si="12"/>
        <v>107.91</v>
      </c>
      <c r="H786">
        <v>467</v>
      </c>
      <c r="I786" t="s">
        <v>26</v>
      </c>
      <c r="J786">
        <v>1</v>
      </c>
      <c r="K786">
        <v>3</v>
      </c>
      <c r="L786" t="b">
        <v>1</v>
      </c>
      <c r="M786">
        <v>350</v>
      </c>
      <c r="N786">
        <v>134</v>
      </c>
      <c r="O786" t="s">
        <v>65</v>
      </c>
      <c r="P786" t="s">
        <v>42</v>
      </c>
      <c r="Q786" t="s">
        <v>58</v>
      </c>
      <c r="R786">
        <v>1</v>
      </c>
      <c r="S786">
        <v>3.9</v>
      </c>
      <c r="T786" t="b">
        <v>0</v>
      </c>
      <c r="U786" t="s">
        <v>30</v>
      </c>
      <c r="V786">
        <v>3037</v>
      </c>
      <c r="W786" t="s">
        <v>31</v>
      </c>
      <c r="X786" t="s">
        <v>38</v>
      </c>
      <c r="Y786" t="s">
        <v>77</v>
      </c>
    </row>
    <row r="787" spans="1:25" x14ac:dyDescent="0.35">
      <c r="A787">
        <v>7667</v>
      </c>
      <c r="B787" t="s">
        <v>369</v>
      </c>
      <c r="C787" s="1">
        <v>44931</v>
      </c>
      <c r="D787" s="1">
        <v>45643</v>
      </c>
      <c r="E787">
        <v>23</v>
      </c>
      <c r="F787">
        <v>15.99</v>
      </c>
      <c r="G787">
        <f t="shared" si="12"/>
        <v>367.77</v>
      </c>
      <c r="H787">
        <v>443</v>
      </c>
      <c r="I787" t="s">
        <v>81</v>
      </c>
      <c r="J787">
        <v>1</v>
      </c>
      <c r="K787">
        <v>3</v>
      </c>
      <c r="L787" t="b">
        <v>0</v>
      </c>
      <c r="M787">
        <v>326</v>
      </c>
      <c r="N787">
        <v>59</v>
      </c>
      <c r="O787" t="s">
        <v>65</v>
      </c>
      <c r="P787" t="s">
        <v>28</v>
      </c>
      <c r="Q787" t="s">
        <v>29</v>
      </c>
      <c r="R787">
        <v>57</v>
      </c>
      <c r="S787">
        <v>3.9</v>
      </c>
      <c r="T787" t="b">
        <v>0</v>
      </c>
      <c r="U787" t="s">
        <v>30</v>
      </c>
      <c r="V787">
        <v>3712</v>
      </c>
      <c r="W787" t="s">
        <v>37</v>
      </c>
      <c r="X787" t="s">
        <v>32</v>
      </c>
      <c r="Y787" t="s">
        <v>33</v>
      </c>
    </row>
    <row r="788" spans="1:25" x14ac:dyDescent="0.35">
      <c r="A788">
        <v>4912</v>
      </c>
      <c r="B788" t="s">
        <v>227</v>
      </c>
      <c r="C788" s="1">
        <v>45203</v>
      </c>
      <c r="D788" s="1">
        <v>45627</v>
      </c>
      <c r="E788">
        <v>13</v>
      </c>
      <c r="F788">
        <v>15.99</v>
      </c>
      <c r="G788">
        <f t="shared" si="12"/>
        <v>207.87</v>
      </c>
      <c r="H788">
        <v>214</v>
      </c>
      <c r="I788" t="s">
        <v>45</v>
      </c>
      <c r="J788">
        <v>1</v>
      </c>
      <c r="K788">
        <v>3</v>
      </c>
      <c r="L788" t="b">
        <v>0</v>
      </c>
      <c r="M788">
        <v>61</v>
      </c>
      <c r="N788">
        <v>148</v>
      </c>
      <c r="O788" t="s">
        <v>46</v>
      </c>
      <c r="P788" t="s">
        <v>66</v>
      </c>
      <c r="Q788" t="s">
        <v>36</v>
      </c>
      <c r="R788">
        <v>95</v>
      </c>
      <c r="S788">
        <v>4.0999999999999996</v>
      </c>
      <c r="T788" t="b">
        <v>1</v>
      </c>
      <c r="U788" t="s">
        <v>30</v>
      </c>
      <c r="V788">
        <v>2029</v>
      </c>
      <c r="W788" t="s">
        <v>31</v>
      </c>
      <c r="X788" t="s">
        <v>62</v>
      </c>
      <c r="Y788" t="s">
        <v>33</v>
      </c>
    </row>
    <row r="789" spans="1:25" x14ac:dyDescent="0.35">
      <c r="A789">
        <v>7975</v>
      </c>
      <c r="B789" t="s">
        <v>371</v>
      </c>
      <c r="C789" s="1">
        <v>45202</v>
      </c>
      <c r="D789" s="1">
        <v>45618</v>
      </c>
      <c r="E789">
        <v>13</v>
      </c>
      <c r="F789">
        <v>15.99</v>
      </c>
      <c r="G789">
        <f t="shared" si="12"/>
        <v>207.87</v>
      </c>
      <c r="H789">
        <v>437</v>
      </c>
      <c r="I789" t="s">
        <v>57</v>
      </c>
      <c r="J789">
        <v>2</v>
      </c>
      <c r="K789">
        <v>2</v>
      </c>
      <c r="L789" t="b">
        <v>1</v>
      </c>
      <c r="M789">
        <v>328</v>
      </c>
      <c r="N789">
        <v>170</v>
      </c>
      <c r="O789" t="s">
        <v>76</v>
      </c>
      <c r="P789" t="s">
        <v>42</v>
      </c>
      <c r="Q789" t="s">
        <v>58</v>
      </c>
      <c r="R789">
        <v>25</v>
      </c>
      <c r="S789">
        <v>3.6</v>
      </c>
      <c r="T789" t="b">
        <v>0</v>
      </c>
      <c r="U789" t="s">
        <v>30</v>
      </c>
      <c r="V789">
        <v>2406</v>
      </c>
      <c r="W789" t="s">
        <v>53</v>
      </c>
      <c r="X789" t="s">
        <v>38</v>
      </c>
      <c r="Y789" t="s">
        <v>33</v>
      </c>
    </row>
    <row r="790" spans="1:25" x14ac:dyDescent="0.35">
      <c r="A790">
        <v>6804</v>
      </c>
      <c r="B790" t="s">
        <v>365</v>
      </c>
      <c r="C790" s="1">
        <v>44968</v>
      </c>
      <c r="D790" s="1">
        <v>45636</v>
      </c>
      <c r="E790">
        <v>21</v>
      </c>
      <c r="F790">
        <v>15.99</v>
      </c>
      <c r="G790">
        <f t="shared" si="12"/>
        <v>335.79</v>
      </c>
      <c r="H790">
        <v>419</v>
      </c>
      <c r="I790" t="s">
        <v>35</v>
      </c>
      <c r="J790">
        <v>2</v>
      </c>
      <c r="K790">
        <v>1</v>
      </c>
      <c r="L790" t="b">
        <v>0</v>
      </c>
      <c r="M790">
        <v>591</v>
      </c>
      <c r="N790">
        <v>166</v>
      </c>
      <c r="O790" t="s">
        <v>61</v>
      </c>
      <c r="P790" t="s">
        <v>28</v>
      </c>
      <c r="Q790" t="s">
        <v>36</v>
      </c>
      <c r="R790">
        <v>26</v>
      </c>
      <c r="S790">
        <v>3.5</v>
      </c>
      <c r="T790" t="b">
        <v>1</v>
      </c>
      <c r="U790" t="s">
        <v>30</v>
      </c>
      <c r="V790">
        <v>3264</v>
      </c>
      <c r="W790" t="s">
        <v>37</v>
      </c>
      <c r="X790" t="s">
        <v>70</v>
      </c>
      <c r="Y790" t="s">
        <v>33</v>
      </c>
    </row>
    <row r="791" spans="1:25" x14ac:dyDescent="0.35">
      <c r="A791">
        <v>3877</v>
      </c>
      <c r="B791" t="s">
        <v>370</v>
      </c>
      <c r="C791" s="1">
        <v>45488</v>
      </c>
      <c r="D791" s="1">
        <v>45620</v>
      </c>
      <c r="E791">
        <v>4</v>
      </c>
      <c r="F791">
        <v>11.99</v>
      </c>
      <c r="G791">
        <f t="shared" si="12"/>
        <v>47.96</v>
      </c>
      <c r="H791">
        <v>129</v>
      </c>
      <c r="I791" t="s">
        <v>26</v>
      </c>
      <c r="J791">
        <v>2</v>
      </c>
      <c r="K791">
        <v>5</v>
      </c>
      <c r="L791" t="b">
        <v>0</v>
      </c>
      <c r="M791">
        <v>527</v>
      </c>
      <c r="N791">
        <v>153</v>
      </c>
      <c r="O791" t="s">
        <v>61</v>
      </c>
      <c r="P791" t="s">
        <v>28</v>
      </c>
      <c r="Q791" t="s">
        <v>36</v>
      </c>
      <c r="R791">
        <v>0</v>
      </c>
      <c r="S791">
        <v>4.5999999999999996</v>
      </c>
      <c r="T791" t="b">
        <v>0</v>
      </c>
      <c r="U791" t="s">
        <v>30</v>
      </c>
      <c r="V791">
        <v>1135</v>
      </c>
      <c r="W791" t="s">
        <v>67</v>
      </c>
      <c r="X791" t="s">
        <v>38</v>
      </c>
      <c r="Y791" t="s">
        <v>33</v>
      </c>
    </row>
    <row r="792" spans="1:25" x14ac:dyDescent="0.35">
      <c r="A792">
        <v>8768</v>
      </c>
      <c r="B792" t="s">
        <v>184</v>
      </c>
      <c r="C792" s="1">
        <v>45605</v>
      </c>
      <c r="D792" s="1">
        <v>45627</v>
      </c>
      <c r="E792">
        <v>0</v>
      </c>
      <c r="F792">
        <v>15.99</v>
      </c>
      <c r="G792">
        <f t="shared" si="12"/>
        <v>0</v>
      </c>
      <c r="H792">
        <v>75</v>
      </c>
      <c r="I792" t="s">
        <v>45</v>
      </c>
      <c r="J792">
        <v>5</v>
      </c>
      <c r="K792">
        <v>1</v>
      </c>
      <c r="L792" t="b">
        <v>1</v>
      </c>
      <c r="M792">
        <v>115</v>
      </c>
      <c r="N792">
        <v>122</v>
      </c>
      <c r="O792" t="s">
        <v>61</v>
      </c>
      <c r="P792" t="s">
        <v>42</v>
      </c>
      <c r="Q792" t="s">
        <v>29</v>
      </c>
      <c r="R792">
        <v>86</v>
      </c>
      <c r="S792">
        <v>3.5</v>
      </c>
      <c r="T792" t="b">
        <v>0</v>
      </c>
      <c r="U792" t="s">
        <v>30</v>
      </c>
      <c r="V792">
        <v>3761</v>
      </c>
      <c r="W792" t="s">
        <v>67</v>
      </c>
      <c r="X792" t="s">
        <v>38</v>
      </c>
      <c r="Y792" t="s">
        <v>39</v>
      </c>
    </row>
    <row r="793" spans="1:25" x14ac:dyDescent="0.35">
      <c r="A793">
        <v>1420</v>
      </c>
      <c r="B793" t="s">
        <v>134</v>
      </c>
      <c r="C793" s="1">
        <v>45568</v>
      </c>
      <c r="D793" s="1">
        <v>45631</v>
      </c>
      <c r="E793">
        <v>2</v>
      </c>
      <c r="F793">
        <v>7.99</v>
      </c>
      <c r="G793">
        <f t="shared" si="12"/>
        <v>15.98</v>
      </c>
      <c r="H793">
        <v>346</v>
      </c>
      <c r="I793" t="s">
        <v>48</v>
      </c>
      <c r="J793">
        <v>5</v>
      </c>
      <c r="K793">
        <v>5</v>
      </c>
      <c r="L793" t="b">
        <v>1</v>
      </c>
      <c r="M793">
        <v>732</v>
      </c>
      <c r="N793">
        <v>144</v>
      </c>
      <c r="O793" t="s">
        <v>76</v>
      </c>
      <c r="P793" t="s">
        <v>28</v>
      </c>
      <c r="Q793" t="s">
        <v>69</v>
      </c>
      <c r="R793">
        <v>73</v>
      </c>
      <c r="S793">
        <v>4.9000000000000004</v>
      </c>
      <c r="T793" t="b">
        <v>0</v>
      </c>
      <c r="U793" t="s">
        <v>30</v>
      </c>
      <c r="V793">
        <v>3633</v>
      </c>
      <c r="W793" t="s">
        <v>67</v>
      </c>
      <c r="X793" t="s">
        <v>70</v>
      </c>
      <c r="Y793" t="s">
        <v>33</v>
      </c>
    </row>
    <row r="794" spans="1:25" x14ac:dyDescent="0.35">
      <c r="A794">
        <v>2306</v>
      </c>
      <c r="B794" t="s">
        <v>169</v>
      </c>
      <c r="C794" s="1">
        <v>45057</v>
      </c>
      <c r="D794" s="1">
        <v>45627</v>
      </c>
      <c r="E794">
        <v>18</v>
      </c>
      <c r="F794">
        <v>11.99</v>
      </c>
      <c r="G794">
        <f t="shared" si="12"/>
        <v>215.82</v>
      </c>
      <c r="H794">
        <v>480</v>
      </c>
      <c r="I794" t="s">
        <v>57</v>
      </c>
      <c r="J794">
        <v>4</v>
      </c>
      <c r="K794">
        <v>6</v>
      </c>
      <c r="L794" t="b">
        <v>1</v>
      </c>
      <c r="M794">
        <v>509</v>
      </c>
      <c r="N794">
        <v>12</v>
      </c>
      <c r="O794" t="s">
        <v>41</v>
      </c>
      <c r="P794" t="s">
        <v>51</v>
      </c>
      <c r="Q794" t="s">
        <v>58</v>
      </c>
      <c r="R794">
        <v>43</v>
      </c>
      <c r="S794">
        <v>3.1</v>
      </c>
      <c r="T794" t="b">
        <v>0</v>
      </c>
      <c r="U794" t="s">
        <v>30</v>
      </c>
      <c r="V794">
        <v>3308</v>
      </c>
      <c r="W794" t="s">
        <v>31</v>
      </c>
      <c r="X794" t="s">
        <v>38</v>
      </c>
      <c r="Y794" t="s">
        <v>39</v>
      </c>
    </row>
    <row r="795" spans="1:25" x14ac:dyDescent="0.35">
      <c r="A795">
        <v>2079</v>
      </c>
      <c r="B795" t="s">
        <v>240</v>
      </c>
      <c r="C795" s="1">
        <v>45468</v>
      </c>
      <c r="D795" s="1">
        <v>45628</v>
      </c>
      <c r="E795">
        <v>5</v>
      </c>
      <c r="F795">
        <v>11.99</v>
      </c>
      <c r="G795">
        <f t="shared" si="12"/>
        <v>59.95</v>
      </c>
      <c r="H795">
        <v>188</v>
      </c>
      <c r="I795" t="s">
        <v>57</v>
      </c>
      <c r="J795">
        <v>2</v>
      </c>
      <c r="K795">
        <v>2</v>
      </c>
      <c r="L795" t="b">
        <v>1</v>
      </c>
      <c r="M795">
        <v>655</v>
      </c>
      <c r="N795">
        <v>16</v>
      </c>
      <c r="O795" t="s">
        <v>27</v>
      </c>
      <c r="P795" t="s">
        <v>28</v>
      </c>
      <c r="Q795" t="s">
        <v>58</v>
      </c>
      <c r="R795">
        <v>50</v>
      </c>
      <c r="S795">
        <v>3.3</v>
      </c>
      <c r="T795" t="b">
        <v>1</v>
      </c>
      <c r="U795" t="s">
        <v>30</v>
      </c>
      <c r="V795">
        <v>1311</v>
      </c>
      <c r="W795" t="s">
        <v>59</v>
      </c>
      <c r="X795" t="s">
        <v>32</v>
      </c>
      <c r="Y795" t="s">
        <v>33</v>
      </c>
    </row>
    <row r="796" spans="1:25" x14ac:dyDescent="0.35">
      <c r="A796">
        <v>3554</v>
      </c>
      <c r="B796" t="s">
        <v>242</v>
      </c>
      <c r="C796" s="1">
        <v>45350</v>
      </c>
      <c r="D796" s="1">
        <v>45630</v>
      </c>
      <c r="E796">
        <v>9</v>
      </c>
      <c r="F796">
        <v>7.99</v>
      </c>
      <c r="G796">
        <f t="shared" si="12"/>
        <v>71.91</v>
      </c>
      <c r="H796">
        <v>420</v>
      </c>
      <c r="I796" t="s">
        <v>35</v>
      </c>
      <c r="J796">
        <v>4</v>
      </c>
      <c r="K796">
        <v>1</v>
      </c>
      <c r="L796" t="b">
        <v>0</v>
      </c>
      <c r="M796">
        <v>399</v>
      </c>
      <c r="N796">
        <v>45</v>
      </c>
      <c r="O796" t="s">
        <v>27</v>
      </c>
      <c r="P796" t="s">
        <v>42</v>
      </c>
      <c r="Q796" t="s">
        <v>69</v>
      </c>
      <c r="R796">
        <v>52</v>
      </c>
      <c r="S796">
        <v>4</v>
      </c>
      <c r="T796" t="b">
        <v>0</v>
      </c>
      <c r="U796" t="s">
        <v>30</v>
      </c>
      <c r="V796">
        <v>4333</v>
      </c>
      <c r="W796" t="s">
        <v>37</v>
      </c>
      <c r="X796" t="s">
        <v>38</v>
      </c>
      <c r="Y796" t="s">
        <v>55</v>
      </c>
    </row>
    <row r="797" spans="1:25" x14ac:dyDescent="0.35">
      <c r="A797">
        <v>7616</v>
      </c>
      <c r="B797" t="s">
        <v>183</v>
      </c>
      <c r="C797" s="1">
        <v>45087</v>
      </c>
      <c r="D797" s="1">
        <v>45637</v>
      </c>
      <c r="E797">
        <v>18</v>
      </c>
      <c r="F797">
        <v>15.99</v>
      </c>
      <c r="G797">
        <f t="shared" si="12"/>
        <v>287.82</v>
      </c>
      <c r="H797">
        <v>204</v>
      </c>
      <c r="I797" t="s">
        <v>57</v>
      </c>
      <c r="J797">
        <v>3</v>
      </c>
      <c r="K797">
        <v>5</v>
      </c>
      <c r="L797" t="b">
        <v>0</v>
      </c>
      <c r="M797">
        <v>597</v>
      </c>
      <c r="N797">
        <v>118</v>
      </c>
      <c r="O797" t="s">
        <v>65</v>
      </c>
      <c r="P797" t="s">
        <v>42</v>
      </c>
      <c r="Q797" t="s">
        <v>58</v>
      </c>
      <c r="R797">
        <v>60</v>
      </c>
      <c r="S797">
        <v>3.1</v>
      </c>
      <c r="T797" t="b">
        <v>1</v>
      </c>
      <c r="U797" t="s">
        <v>30</v>
      </c>
      <c r="V797">
        <v>4575</v>
      </c>
      <c r="W797" t="s">
        <v>31</v>
      </c>
      <c r="X797" t="s">
        <v>32</v>
      </c>
      <c r="Y797" t="s">
        <v>39</v>
      </c>
    </row>
    <row r="798" spans="1:25" x14ac:dyDescent="0.35">
      <c r="A798">
        <v>5650</v>
      </c>
      <c r="B798" t="s">
        <v>263</v>
      </c>
      <c r="C798" s="1">
        <v>45162</v>
      </c>
      <c r="D798" s="1">
        <v>45634</v>
      </c>
      <c r="E798">
        <v>15</v>
      </c>
      <c r="F798">
        <v>15.99</v>
      </c>
      <c r="G798">
        <f t="shared" si="12"/>
        <v>239.85</v>
      </c>
      <c r="H798">
        <v>355</v>
      </c>
      <c r="I798" t="s">
        <v>57</v>
      </c>
      <c r="J798">
        <v>1</v>
      </c>
      <c r="K798">
        <v>1</v>
      </c>
      <c r="L798" t="b">
        <v>1</v>
      </c>
      <c r="M798">
        <v>358</v>
      </c>
      <c r="N798">
        <v>173</v>
      </c>
      <c r="O798" t="s">
        <v>41</v>
      </c>
      <c r="P798" t="s">
        <v>66</v>
      </c>
      <c r="Q798" t="s">
        <v>29</v>
      </c>
      <c r="R798">
        <v>60</v>
      </c>
      <c r="S798">
        <v>4.8</v>
      </c>
      <c r="T798" t="b">
        <v>0</v>
      </c>
      <c r="U798" t="s">
        <v>30</v>
      </c>
      <c r="V798">
        <v>2448</v>
      </c>
      <c r="W798" t="s">
        <v>37</v>
      </c>
      <c r="X798" t="s">
        <v>54</v>
      </c>
      <c r="Y798" t="s">
        <v>77</v>
      </c>
    </row>
    <row r="799" spans="1:25" x14ac:dyDescent="0.35">
      <c r="A799">
        <v>9385</v>
      </c>
      <c r="B799" t="s">
        <v>137</v>
      </c>
      <c r="C799" s="1">
        <v>45524</v>
      </c>
      <c r="D799" s="1">
        <v>45629</v>
      </c>
      <c r="E799">
        <v>3</v>
      </c>
      <c r="F799">
        <v>7.99</v>
      </c>
      <c r="G799">
        <f t="shared" si="12"/>
        <v>23.97</v>
      </c>
      <c r="H799">
        <v>200</v>
      </c>
      <c r="I799" t="s">
        <v>35</v>
      </c>
      <c r="J799">
        <v>3</v>
      </c>
      <c r="K799">
        <v>2</v>
      </c>
      <c r="L799" t="b">
        <v>0</v>
      </c>
      <c r="M799">
        <v>453</v>
      </c>
      <c r="N799">
        <v>172</v>
      </c>
      <c r="O799" t="s">
        <v>41</v>
      </c>
      <c r="P799" t="s">
        <v>28</v>
      </c>
      <c r="Q799" t="s">
        <v>58</v>
      </c>
      <c r="R799">
        <v>1</v>
      </c>
      <c r="S799">
        <v>4.4000000000000004</v>
      </c>
      <c r="T799" t="b">
        <v>1</v>
      </c>
      <c r="U799" t="s">
        <v>30</v>
      </c>
      <c r="V799">
        <v>1072</v>
      </c>
      <c r="W799" t="s">
        <v>67</v>
      </c>
      <c r="X799" t="s">
        <v>70</v>
      </c>
      <c r="Y799" t="s">
        <v>55</v>
      </c>
    </row>
    <row r="800" spans="1:25" x14ac:dyDescent="0.35">
      <c r="A800">
        <v>2482</v>
      </c>
      <c r="B800" t="s">
        <v>134</v>
      </c>
      <c r="C800" s="1">
        <v>45011</v>
      </c>
      <c r="D800" s="1">
        <v>45625</v>
      </c>
      <c r="E800">
        <v>20</v>
      </c>
      <c r="F800">
        <v>7.99</v>
      </c>
      <c r="G800">
        <f t="shared" si="12"/>
        <v>159.80000000000001</v>
      </c>
      <c r="H800">
        <v>178</v>
      </c>
      <c r="I800" t="s">
        <v>26</v>
      </c>
      <c r="J800">
        <v>2</v>
      </c>
      <c r="K800">
        <v>2</v>
      </c>
      <c r="L800" t="b">
        <v>1</v>
      </c>
      <c r="M800">
        <v>378</v>
      </c>
      <c r="N800">
        <v>117</v>
      </c>
      <c r="O800" t="s">
        <v>50</v>
      </c>
      <c r="P800" t="s">
        <v>51</v>
      </c>
      <c r="Q800" t="s">
        <v>29</v>
      </c>
      <c r="R800">
        <v>63</v>
      </c>
      <c r="S800">
        <v>4.8</v>
      </c>
      <c r="T800" t="b">
        <v>1</v>
      </c>
      <c r="U800" t="s">
        <v>30</v>
      </c>
      <c r="V800">
        <v>1784</v>
      </c>
      <c r="W800" t="s">
        <v>37</v>
      </c>
      <c r="X800" t="s">
        <v>62</v>
      </c>
      <c r="Y800" t="s">
        <v>39</v>
      </c>
    </row>
    <row r="801" spans="1:25" x14ac:dyDescent="0.35">
      <c r="A801">
        <v>9017</v>
      </c>
      <c r="B801" t="s">
        <v>292</v>
      </c>
      <c r="C801" s="1">
        <v>45487</v>
      </c>
      <c r="D801" s="1">
        <v>45637</v>
      </c>
      <c r="E801">
        <v>4</v>
      </c>
      <c r="F801">
        <v>11.99</v>
      </c>
      <c r="G801">
        <f t="shared" si="12"/>
        <v>47.96</v>
      </c>
      <c r="H801">
        <v>337</v>
      </c>
      <c r="I801" t="s">
        <v>48</v>
      </c>
      <c r="J801">
        <v>2</v>
      </c>
      <c r="K801">
        <v>2</v>
      </c>
      <c r="L801" t="b">
        <v>1</v>
      </c>
      <c r="M801">
        <v>750</v>
      </c>
      <c r="N801">
        <v>146</v>
      </c>
      <c r="O801" t="s">
        <v>50</v>
      </c>
      <c r="P801" t="s">
        <v>51</v>
      </c>
      <c r="Q801" t="s">
        <v>58</v>
      </c>
      <c r="R801">
        <v>100</v>
      </c>
      <c r="S801">
        <v>4.0999999999999996</v>
      </c>
      <c r="T801" t="b">
        <v>1</v>
      </c>
      <c r="U801" t="s">
        <v>30</v>
      </c>
      <c r="V801">
        <v>3787</v>
      </c>
      <c r="W801" t="s">
        <v>37</v>
      </c>
      <c r="X801" t="s">
        <v>32</v>
      </c>
      <c r="Y801" t="s">
        <v>33</v>
      </c>
    </row>
    <row r="802" spans="1:25" x14ac:dyDescent="0.35">
      <c r="A802">
        <v>7001</v>
      </c>
      <c r="B802" t="s">
        <v>114</v>
      </c>
      <c r="C802" s="1">
        <v>45146</v>
      </c>
      <c r="D802" s="1">
        <v>45626</v>
      </c>
      <c r="E802">
        <v>15</v>
      </c>
      <c r="F802">
        <v>11.99</v>
      </c>
      <c r="G802">
        <f t="shared" si="12"/>
        <v>179.85</v>
      </c>
      <c r="H802">
        <v>24</v>
      </c>
      <c r="I802" t="s">
        <v>35</v>
      </c>
      <c r="J802">
        <v>4</v>
      </c>
      <c r="K802">
        <v>4</v>
      </c>
      <c r="L802" t="b">
        <v>0</v>
      </c>
      <c r="M802">
        <v>30</v>
      </c>
      <c r="N802">
        <v>20</v>
      </c>
      <c r="O802" t="s">
        <v>46</v>
      </c>
      <c r="P802" t="s">
        <v>66</v>
      </c>
      <c r="Q802" t="s">
        <v>29</v>
      </c>
      <c r="R802">
        <v>98</v>
      </c>
      <c r="S802">
        <v>3.9</v>
      </c>
      <c r="T802" t="b">
        <v>0</v>
      </c>
      <c r="U802" t="s">
        <v>30</v>
      </c>
      <c r="V802">
        <v>4477</v>
      </c>
      <c r="W802" t="s">
        <v>59</v>
      </c>
      <c r="X802" t="s">
        <v>54</v>
      </c>
      <c r="Y802" t="s">
        <v>77</v>
      </c>
    </row>
    <row r="803" spans="1:25" x14ac:dyDescent="0.35">
      <c r="A803">
        <v>2942</v>
      </c>
      <c r="B803" t="s">
        <v>372</v>
      </c>
      <c r="C803" s="1">
        <v>44966</v>
      </c>
      <c r="D803" s="1">
        <v>45626</v>
      </c>
      <c r="E803">
        <v>21</v>
      </c>
      <c r="F803">
        <v>11.99</v>
      </c>
      <c r="G803">
        <f t="shared" si="12"/>
        <v>251.79</v>
      </c>
      <c r="H803">
        <v>167</v>
      </c>
      <c r="I803" t="s">
        <v>45</v>
      </c>
      <c r="J803">
        <v>5</v>
      </c>
      <c r="K803">
        <v>5</v>
      </c>
      <c r="L803" t="b">
        <v>0</v>
      </c>
      <c r="M803">
        <v>127</v>
      </c>
      <c r="N803">
        <v>138</v>
      </c>
      <c r="O803" t="s">
        <v>46</v>
      </c>
      <c r="P803" t="s">
        <v>51</v>
      </c>
      <c r="Q803" t="s">
        <v>43</v>
      </c>
      <c r="R803">
        <v>66</v>
      </c>
      <c r="S803">
        <v>4.7</v>
      </c>
      <c r="T803" t="b">
        <v>1</v>
      </c>
      <c r="U803" t="s">
        <v>30</v>
      </c>
      <c r="V803">
        <v>711</v>
      </c>
      <c r="W803" t="s">
        <v>53</v>
      </c>
      <c r="X803" t="s">
        <v>32</v>
      </c>
      <c r="Y803" t="s">
        <v>39</v>
      </c>
    </row>
    <row r="804" spans="1:25" x14ac:dyDescent="0.35">
      <c r="A804">
        <v>8833</v>
      </c>
      <c r="B804" t="s">
        <v>75</v>
      </c>
      <c r="C804" s="1">
        <v>45450</v>
      </c>
      <c r="D804" s="1">
        <v>45637</v>
      </c>
      <c r="E804">
        <v>6</v>
      </c>
      <c r="F804">
        <v>7.99</v>
      </c>
      <c r="G804">
        <f t="shared" si="12"/>
        <v>47.94</v>
      </c>
      <c r="H804">
        <v>289</v>
      </c>
      <c r="I804" t="s">
        <v>35</v>
      </c>
      <c r="J804">
        <v>5</v>
      </c>
      <c r="K804">
        <v>2</v>
      </c>
      <c r="L804" t="b">
        <v>0</v>
      </c>
      <c r="M804">
        <v>216</v>
      </c>
      <c r="N804">
        <v>162</v>
      </c>
      <c r="O804" t="s">
        <v>76</v>
      </c>
      <c r="P804" t="s">
        <v>28</v>
      </c>
      <c r="Q804" t="s">
        <v>29</v>
      </c>
      <c r="R804">
        <v>99</v>
      </c>
      <c r="S804">
        <v>3.7</v>
      </c>
      <c r="T804" t="b">
        <v>1</v>
      </c>
      <c r="U804" t="s">
        <v>30</v>
      </c>
      <c r="V804">
        <v>3711</v>
      </c>
      <c r="W804" t="s">
        <v>53</v>
      </c>
      <c r="X804" t="s">
        <v>70</v>
      </c>
      <c r="Y804" t="s">
        <v>33</v>
      </c>
    </row>
    <row r="805" spans="1:25" x14ac:dyDescent="0.35">
      <c r="A805">
        <v>8079</v>
      </c>
      <c r="B805" t="s">
        <v>74</v>
      </c>
      <c r="C805" s="1">
        <v>45114</v>
      </c>
      <c r="D805" s="1">
        <v>45639</v>
      </c>
      <c r="E805">
        <v>17</v>
      </c>
      <c r="F805">
        <v>7.99</v>
      </c>
      <c r="G805">
        <f t="shared" si="12"/>
        <v>135.83000000000001</v>
      </c>
      <c r="H805">
        <v>450</v>
      </c>
      <c r="I805" t="s">
        <v>26</v>
      </c>
      <c r="J805">
        <v>1</v>
      </c>
      <c r="K805">
        <v>2</v>
      </c>
      <c r="L805" t="b">
        <v>1</v>
      </c>
      <c r="M805">
        <v>12</v>
      </c>
      <c r="N805">
        <v>133</v>
      </c>
      <c r="O805" t="s">
        <v>41</v>
      </c>
      <c r="P805" t="s">
        <v>42</v>
      </c>
      <c r="Q805" t="s">
        <v>29</v>
      </c>
      <c r="R805">
        <v>100</v>
      </c>
      <c r="S805">
        <v>3.4</v>
      </c>
      <c r="T805" t="b">
        <v>0</v>
      </c>
      <c r="U805" t="s">
        <v>30</v>
      </c>
      <c r="V805">
        <v>2534</v>
      </c>
      <c r="W805" t="s">
        <v>67</v>
      </c>
      <c r="X805" t="s">
        <v>32</v>
      </c>
      <c r="Y805" t="s">
        <v>77</v>
      </c>
    </row>
    <row r="806" spans="1:25" x14ac:dyDescent="0.35">
      <c r="A806">
        <v>3797</v>
      </c>
      <c r="B806" t="s">
        <v>74</v>
      </c>
      <c r="C806" s="1">
        <v>45447</v>
      </c>
      <c r="D806" s="1">
        <v>45643</v>
      </c>
      <c r="E806">
        <v>6</v>
      </c>
      <c r="F806">
        <v>11.99</v>
      </c>
      <c r="G806">
        <f t="shared" si="12"/>
        <v>71.94</v>
      </c>
      <c r="H806">
        <v>165</v>
      </c>
      <c r="I806" t="s">
        <v>45</v>
      </c>
      <c r="J806">
        <v>5</v>
      </c>
      <c r="K806">
        <v>5</v>
      </c>
      <c r="L806" t="b">
        <v>0</v>
      </c>
      <c r="M806">
        <v>421</v>
      </c>
      <c r="N806">
        <v>3</v>
      </c>
      <c r="O806" t="s">
        <v>27</v>
      </c>
      <c r="P806" t="s">
        <v>66</v>
      </c>
      <c r="Q806" t="s">
        <v>58</v>
      </c>
      <c r="R806">
        <v>96</v>
      </c>
      <c r="S806">
        <v>4.5</v>
      </c>
      <c r="T806" t="b">
        <v>1</v>
      </c>
      <c r="U806" t="s">
        <v>30</v>
      </c>
      <c r="V806">
        <v>2624</v>
      </c>
      <c r="W806" t="s">
        <v>37</v>
      </c>
      <c r="X806" t="s">
        <v>70</v>
      </c>
      <c r="Y806" t="s">
        <v>39</v>
      </c>
    </row>
    <row r="807" spans="1:25" x14ac:dyDescent="0.35">
      <c r="A807">
        <v>7268</v>
      </c>
      <c r="B807" t="s">
        <v>373</v>
      </c>
      <c r="C807" s="1">
        <v>45054</v>
      </c>
      <c r="D807" s="1">
        <v>45643</v>
      </c>
      <c r="E807">
        <v>19</v>
      </c>
      <c r="F807">
        <v>15.99</v>
      </c>
      <c r="G807">
        <f t="shared" si="12"/>
        <v>303.81</v>
      </c>
      <c r="H807">
        <v>391</v>
      </c>
      <c r="I807" t="s">
        <v>26</v>
      </c>
      <c r="J807">
        <v>2</v>
      </c>
      <c r="K807">
        <v>2</v>
      </c>
      <c r="L807" t="b">
        <v>0</v>
      </c>
      <c r="M807">
        <v>988</v>
      </c>
      <c r="N807">
        <v>82</v>
      </c>
      <c r="O807" t="s">
        <v>27</v>
      </c>
      <c r="P807" t="s">
        <v>28</v>
      </c>
      <c r="Q807" t="s">
        <v>36</v>
      </c>
      <c r="R807">
        <v>73</v>
      </c>
      <c r="S807">
        <v>3</v>
      </c>
      <c r="T807" t="b">
        <v>1</v>
      </c>
      <c r="U807" t="s">
        <v>30</v>
      </c>
      <c r="V807">
        <v>3617</v>
      </c>
      <c r="W807" t="s">
        <v>53</v>
      </c>
      <c r="X807" t="s">
        <v>54</v>
      </c>
      <c r="Y807" t="s">
        <v>55</v>
      </c>
    </row>
    <row r="808" spans="1:25" x14ac:dyDescent="0.35">
      <c r="A808">
        <v>9803</v>
      </c>
      <c r="B808" t="s">
        <v>248</v>
      </c>
      <c r="C808" s="1">
        <v>45487</v>
      </c>
      <c r="D808" s="1">
        <v>45619</v>
      </c>
      <c r="E808">
        <v>4</v>
      </c>
      <c r="F808">
        <v>11.99</v>
      </c>
      <c r="G808">
        <f t="shared" si="12"/>
        <v>47.96</v>
      </c>
      <c r="H808">
        <v>318</v>
      </c>
      <c r="I808" t="s">
        <v>35</v>
      </c>
      <c r="J808">
        <v>2</v>
      </c>
      <c r="K808">
        <v>1</v>
      </c>
      <c r="L808" t="b">
        <v>0</v>
      </c>
      <c r="M808">
        <v>376</v>
      </c>
      <c r="N808">
        <v>44</v>
      </c>
      <c r="O808" t="s">
        <v>27</v>
      </c>
      <c r="P808" t="s">
        <v>66</v>
      </c>
      <c r="Q808" t="s">
        <v>43</v>
      </c>
      <c r="R808">
        <v>42</v>
      </c>
      <c r="S808">
        <v>3.9</v>
      </c>
      <c r="T808" t="b">
        <v>0</v>
      </c>
      <c r="U808" t="s">
        <v>30</v>
      </c>
      <c r="V808">
        <v>3078</v>
      </c>
      <c r="W808" t="s">
        <v>67</v>
      </c>
      <c r="X808" t="s">
        <v>38</v>
      </c>
      <c r="Y808" t="s">
        <v>55</v>
      </c>
    </row>
    <row r="809" spans="1:25" x14ac:dyDescent="0.35">
      <c r="A809">
        <v>2165</v>
      </c>
      <c r="B809" t="s">
        <v>374</v>
      </c>
      <c r="C809" s="1">
        <v>45465</v>
      </c>
      <c r="D809" s="1">
        <v>45625</v>
      </c>
      <c r="E809">
        <v>5</v>
      </c>
      <c r="F809">
        <v>15.99</v>
      </c>
      <c r="G809">
        <f t="shared" si="12"/>
        <v>79.95</v>
      </c>
      <c r="H809">
        <v>157</v>
      </c>
      <c r="I809" t="s">
        <v>48</v>
      </c>
      <c r="J809">
        <v>2</v>
      </c>
      <c r="K809">
        <v>2</v>
      </c>
      <c r="L809" t="b">
        <v>0</v>
      </c>
      <c r="M809">
        <v>542</v>
      </c>
      <c r="N809">
        <v>80</v>
      </c>
      <c r="O809" t="s">
        <v>61</v>
      </c>
      <c r="P809" t="s">
        <v>28</v>
      </c>
      <c r="Q809" t="s">
        <v>58</v>
      </c>
      <c r="R809">
        <v>53</v>
      </c>
      <c r="S809">
        <v>4.2</v>
      </c>
      <c r="T809" t="b">
        <v>0</v>
      </c>
      <c r="U809" t="s">
        <v>30</v>
      </c>
      <c r="V809">
        <v>164</v>
      </c>
      <c r="W809" t="s">
        <v>53</v>
      </c>
      <c r="X809" t="s">
        <v>32</v>
      </c>
      <c r="Y809" t="s">
        <v>39</v>
      </c>
    </row>
    <row r="810" spans="1:25" x14ac:dyDescent="0.35">
      <c r="A810">
        <v>1528</v>
      </c>
      <c r="B810" t="s">
        <v>228</v>
      </c>
      <c r="C810" s="1">
        <v>44936</v>
      </c>
      <c r="D810" s="1">
        <v>45615</v>
      </c>
      <c r="E810">
        <v>22</v>
      </c>
      <c r="F810">
        <v>11.99</v>
      </c>
      <c r="G810">
        <f t="shared" si="12"/>
        <v>263.78000000000003</v>
      </c>
      <c r="H810">
        <v>25</v>
      </c>
      <c r="I810" t="s">
        <v>35</v>
      </c>
      <c r="J810">
        <v>3</v>
      </c>
      <c r="K810">
        <v>5</v>
      </c>
      <c r="L810" t="b">
        <v>1</v>
      </c>
      <c r="M810">
        <v>232</v>
      </c>
      <c r="N810">
        <v>196</v>
      </c>
      <c r="O810" t="s">
        <v>46</v>
      </c>
      <c r="P810" t="s">
        <v>42</v>
      </c>
      <c r="Q810" t="s">
        <v>52</v>
      </c>
      <c r="R810">
        <v>48</v>
      </c>
      <c r="S810">
        <v>3.2</v>
      </c>
      <c r="T810" t="b">
        <v>0</v>
      </c>
      <c r="U810" t="s">
        <v>30</v>
      </c>
      <c r="V810">
        <v>2805</v>
      </c>
      <c r="W810" t="s">
        <v>53</v>
      </c>
      <c r="X810" t="s">
        <v>54</v>
      </c>
      <c r="Y810" t="s">
        <v>55</v>
      </c>
    </row>
    <row r="811" spans="1:25" x14ac:dyDescent="0.35">
      <c r="A811">
        <v>5978</v>
      </c>
      <c r="B811" t="s">
        <v>243</v>
      </c>
      <c r="C811" s="1">
        <v>45028</v>
      </c>
      <c r="D811" s="1">
        <v>45635</v>
      </c>
      <c r="E811">
        <v>19</v>
      </c>
      <c r="F811">
        <v>11.99</v>
      </c>
      <c r="G811">
        <f t="shared" si="12"/>
        <v>227.81</v>
      </c>
      <c r="H811">
        <v>112</v>
      </c>
      <c r="I811" t="s">
        <v>35</v>
      </c>
      <c r="J811">
        <v>3</v>
      </c>
      <c r="K811">
        <v>4</v>
      </c>
      <c r="L811" t="b">
        <v>1</v>
      </c>
      <c r="M811">
        <v>505</v>
      </c>
      <c r="N811">
        <v>118</v>
      </c>
      <c r="O811" t="s">
        <v>46</v>
      </c>
      <c r="P811" t="s">
        <v>28</v>
      </c>
      <c r="Q811" t="s">
        <v>58</v>
      </c>
      <c r="R811">
        <v>81</v>
      </c>
      <c r="S811">
        <v>3.9</v>
      </c>
      <c r="T811" t="b">
        <v>0</v>
      </c>
      <c r="U811" t="s">
        <v>30</v>
      </c>
      <c r="V811">
        <v>3848</v>
      </c>
      <c r="W811" t="s">
        <v>37</v>
      </c>
      <c r="X811" t="s">
        <v>38</v>
      </c>
      <c r="Y811" t="s">
        <v>77</v>
      </c>
    </row>
    <row r="812" spans="1:25" x14ac:dyDescent="0.35">
      <c r="A812">
        <v>5967</v>
      </c>
      <c r="B812" t="s">
        <v>237</v>
      </c>
      <c r="C812" s="1">
        <v>45058</v>
      </c>
      <c r="D812" s="1">
        <v>45640</v>
      </c>
      <c r="E812">
        <v>19</v>
      </c>
      <c r="F812">
        <v>11.99</v>
      </c>
      <c r="G812">
        <f t="shared" si="12"/>
        <v>227.81</v>
      </c>
      <c r="H812">
        <v>479</v>
      </c>
      <c r="I812" t="s">
        <v>26</v>
      </c>
      <c r="J812">
        <v>2</v>
      </c>
      <c r="K812">
        <v>5</v>
      </c>
      <c r="L812" t="b">
        <v>0</v>
      </c>
      <c r="M812">
        <v>394</v>
      </c>
      <c r="N812">
        <v>35</v>
      </c>
      <c r="O812" t="s">
        <v>61</v>
      </c>
      <c r="P812" t="s">
        <v>66</v>
      </c>
      <c r="Q812" t="s">
        <v>43</v>
      </c>
      <c r="R812">
        <v>93</v>
      </c>
      <c r="S812">
        <v>3.7</v>
      </c>
      <c r="T812" t="b">
        <v>0</v>
      </c>
      <c r="U812" t="s">
        <v>30</v>
      </c>
      <c r="V812">
        <v>836</v>
      </c>
      <c r="W812" t="s">
        <v>37</v>
      </c>
      <c r="X812" t="s">
        <v>38</v>
      </c>
      <c r="Y812" t="s">
        <v>33</v>
      </c>
    </row>
    <row r="813" spans="1:25" x14ac:dyDescent="0.35">
      <c r="A813">
        <v>4254</v>
      </c>
      <c r="B813" t="s">
        <v>110</v>
      </c>
      <c r="C813" s="1">
        <v>45138</v>
      </c>
      <c r="D813" s="1">
        <v>45644</v>
      </c>
      <c r="E813">
        <v>16</v>
      </c>
      <c r="F813">
        <v>11.99</v>
      </c>
      <c r="G813">
        <f t="shared" si="12"/>
        <v>191.84</v>
      </c>
      <c r="H813">
        <v>233</v>
      </c>
      <c r="I813" t="s">
        <v>81</v>
      </c>
      <c r="J813">
        <v>1</v>
      </c>
      <c r="K813">
        <v>2</v>
      </c>
      <c r="L813" t="b">
        <v>1</v>
      </c>
      <c r="M813">
        <v>769</v>
      </c>
      <c r="N813">
        <v>132</v>
      </c>
      <c r="O813" t="s">
        <v>50</v>
      </c>
      <c r="P813" t="s">
        <v>28</v>
      </c>
      <c r="Q813" t="s">
        <v>29</v>
      </c>
      <c r="R813">
        <v>82</v>
      </c>
      <c r="S813">
        <v>4.3</v>
      </c>
      <c r="T813" t="b">
        <v>1</v>
      </c>
      <c r="U813" t="s">
        <v>30</v>
      </c>
      <c r="V813">
        <v>2761</v>
      </c>
      <c r="W813" t="s">
        <v>59</v>
      </c>
      <c r="X813" t="s">
        <v>54</v>
      </c>
      <c r="Y813" t="s">
        <v>55</v>
      </c>
    </row>
    <row r="814" spans="1:25" x14ac:dyDescent="0.35">
      <c r="A814">
        <v>2186</v>
      </c>
      <c r="B814" t="s">
        <v>273</v>
      </c>
      <c r="C814" s="1">
        <v>45623</v>
      </c>
      <c r="D814" s="1">
        <v>45644</v>
      </c>
      <c r="E814">
        <v>0</v>
      </c>
      <c r="F814">
        <v>7.99</v>
      </c>
      <c r="G814">
        <f t="shared" si="12"/>
        <v>0</v>
      </c>
      <c r="H814">
        <v>44</v>
      </c>
      <c r="I814" t="s">
        <v>35</v>
      </c>
      <c r="J814">
        <v>4</v>
      </c>
      <c r="K814">
        <v>4</v>
      </c>
      <c r="L814" t="b">
        <v>0</v>
      </c>
      <c r="M814">
        <v>89</v>
      </c>
      <c r="N814">
        <v>90</v>
      </c>
      <c r="O814" t="s">
        <v>50</v>
      </c>
      <c r="P814" t="s">
        <v>42</v>
      </c>
      <c r="Q814" t="s">
        <v>69</v>
      </c>
      <c r="R814">
        <v>48</v>
      </c>
      <c r="S814">
        <v>5</v>
      </c>
      <c r="T814" t="b">
        <v>1</v>
      </c>
      <c r="U814" t="s">
        <v>30</v>
      </c>
      <c r="V814">
        <v>4633</v>
      </c>
      <c r="W814" t="s">
        <v>67</v>
      </c>
      <c r="X814" t="s">
        <v>32</v>
      </c>
      <c r="Y814" t="s">
        <v>33</v>
      </c>
    </row>
    <row r="815" spans="1:25" x14ac:dyDescent="0.35">
      <c r="A815">
        <v>7644</v>
      </c>
      <c r="B815" t="s">
        <v>375</v>
      </c>
      <c r="C815" s="1">
        <v>45634</v>
      </c>
      <c r="D815" s="1">
        <v>45641</v>
      </c>
      <c r="E815">
        <v>0</v>
      </c>
      <c r="F815">
        <v>15.99</v>
      </c>
      <c r="G815">
        <f t="shared" si="12"/>
        <v>0</v>
      </c>
      <c r="H815">
        <v>456</v>
      </c>
      <c r="I815" t="s">
        <v>26</v>
      </c>
      <c r="J815">
        <v>2</v>
      </c>
      <c r="K815">
        <v>3</v>
      </c>
      <c r="L815" t="b">
        <v>1</v>
      </c>
      <c r="M815">
        <v>240</v>
      </c>
      <c r="N815">
        <v>83</v>
      </c>
      <c r="O815" t="s">
        <v>41</v>
      </c>
      <c r="P815" t="s">
        <v>51</v>
      </c>
      <c r="Q815" t="s">
        <v>29</v>
      </c>
      <c r="R815">
        <v>76</v>
      </c>
      <c r="S815">
        <v>4</v>
      </c>
      <c r="T815" t="b">
        <v>0</v>
      </c>
      <c r="U815" t="s">
        <v>30</v>
      </c>
      <c r="V815">
        <v>4260</v>
      </c>
      <c r="W815" t="s">
        <v>53</v>
      </c>
      <c r="X815" t="s">
        <v>54</v>
      </c>
      <c r="Y815" t="s">
        <v>33</v>
      </c>
    </row>
    <row r="816" spans="1:25" x14ac:dyDescent="0.35">
      <c r="A816">
        <v>5897</v>
      </c>
      <c r="B816" t="s">
        <v>192</v>
      </c>
      <c r="C816" s="1">
        <v>45181</v>
      </c>
      <c r="D816" s="1">
        <v>45632</v>
      </c>
      <c r="E816">
        <v>14</v>
      </c>
      <c r="F816">
        <v>7.99</v>
      </c>
      <c r="G816">
        <f t="shared" si="12"/>
        <v>111.86</v>
      </c>
      <c r="H816">
        <v>486</v>
      </c>
      <c r="I816" t="s">
        <v>35</v>
      </c>
      <c r="J816">
        <v>3</v>
      </c>
      <c r="K816">
        <v>2</v>
      </c>
      <c r="L816" t="b">
        <v>0</v>
      </c>
      <c r="M816">
        <v>181</v>
      </c>
      <c r="N816">
        <v>15</v>
      </c>
      <c r="O816" t="s">
        <v>65</v>
      </c>
      <c r="P816" t="s">
        <v>51</v>
      </c>
      <c r="Q816" t="s">
        <v>36</v>
      </c>
      <c r="R816">
        <v>0</v>
      </c>
      <c r="S816">
        <v>4.2</v>
      </c>
      <c r="T816" t="b">
        <v>0</v>
      </c>
      <c r="U816" t="s">
        <v>30</v>
      </c>
      <c r="V816">
        <v>447</v>
      </c>
      <c r="W816" t="s">
        <v>67</v>
      </c>
      <c r="X816" t="s">
        <v>54</v>
      </c>
      <c r="Y816" t="s">
        <v>55</v>
      </c>
    </row>
    <row r="817" spans="1:25" x14ac:dyDescent="0.35">
      <c r="A817">
        <v>7465</v>
      </c>
      <c r="B817" t="s">
        <v>343</v>
      </c>
      <c r="C817" s="1">
        <v>45607</v>
      </c>
      <c r="D817" s="1">
        <v>45627</v>
      </c>
      <c r="E817">
        <v>0</v>
      </c>
      <c r="F817">
        <v>11.99</v>
      </c>
      <c r="G817">
        <f t="shared" si="12"/>
        <v>0</v>
      </c>
      <c r="H817">
        <v>308</v>
      </c>
      <c r="I817" t="s">
        <v>26</v>
      </c>
      <c r="J817">
        <v>4</v>
      </c>
      <c r="K817">
        <v>3</v>
      </c>
      <c r="L817" t="b">
        <v>1</v>
      </c>
      <c r="M817">
        <v>284</v>
      </c>
      <c r="N817">
        <v>81</v>
      </c>
      <c r="O817" t="s">
        <v>61</v>
      </c>
      <c r="P817" t="s">
        <v>51</v>
      </c>
      <c r="Q817" t="s">
        <v>52</v>
      </c>
      <c r="R817">
        <v>92</v>
      </c>
      <c r="S817">
        <v>3.7</v>
      </c>
      <c r="T817" t="b">
        <v>1</v>
      </c>
      <c r="U817" t="s">
        <v>30</v>
      </c>
      <c r="V817">
        <v>1298</v>
      </c>
      <c r="W817" t="s">
        <v>67</v>
      </c>
      <c r="X817" t="s">
        <v>54</v>
      </c>
      <c r="Y817" t="s">
        <v>77</v>
      </c>
    </row>
    <row r="818" spans="1:25" x14ac:dyDescent="0.35">
      <c r="A818">
        <v>3724</v>
      </c>
      <c r="B818" t="s">
        <v>89</v>
      </c>
      <c r="C818" s="1">
        <v>45471</v>
      </c>
      <c r="D818" s="1">
        <v>45628</v>
      </c>
      <c r="E818">
        <v>5</v>
      </c>
      <c r="F818">
        <v>7.99</v>
      </c>
      <c r="G818">
        <f t="shared" si="12"/>
        <v>39.950000000000003</v>
      </c>
      <c r="H818">
        <v>161</v>
      </c>
      <c r="I818" t="s">
        <v>81</v>
      </c>
      <c r="J818">
        <v>3</v>
      </c>
      <c r="K818">
        <v>5</v>
      </c>
      <c r="L818" t="b">
        <v>0</v>
      </c>
      <c r="M818">
        <v>698</v>
      </c>
      <c r="N818">
        <v>77</v>
      </c>
      <c r="O818" t="s">
        <v>41</v>
      </c>
      <c r="P818" t="s">
        <v>28</v>
      </c>
      <c r="Q818" t="s">
        <v>52</v>
      </c>
      <c r="R818">
        <v>32</v>
      </c>
      <c r="S818">
        <v>3.7</v>
      </c>
      <c r="T818" t="b">
        <v>0</v>
      </c>
      <c r="U818" t="s">
        <v>30</v>
      </c>
      <c r="V818">
        <v>3445</v>
      </c>
      <c r="W818" t="s">
        <v>59</v>
      </c>
      <c r="X818" t="s">
        <v>62</v>
      </c>
      <c r="Y818" t="s">
        <v>77</v>
      </c>
    </row>
    <row r="819" spans="1:25" x14ac:dyDescent="0.35">
      <c r="A819">
        <v>2914</v>
      </c>
      <c r="B819" t="s">
        <v>324</v>
      </c>
      <c r="C819" s="1">
        <v>45114</v>
      </c>
      <c r="D819" s="1">
        <v>45640</v>
      </c>
      <c r="E819">
        <v>17</v>
      </c>
      <c r="F819">
        <v>15.99</v>
      </c>
      <c r="G819">
        <f t="shared" si="12"/>
        <v>271.83</v>
      </c>
      <c r="H819">
        <v>316</v>
      </c>
      <c r="I819" t="s">
        <v>64</v>
      </c>
      <c r="J819">
        <v>3</v>
      </c>
      <c r="K819">
        <v>1</v>
      </c>
      <c r="L819" t="b">
        <v>0</v>
      </c>
      <c r="M819">
        <v>734</v>
      </c>
      <c r="N819">
        <v>21</v>
      </c>
      <c r="O819" t="s">
        <v>41</v>
      </c>
      <c r="P819" t="s">
        <v>51</v>
      </c>
      <c r="Q819" t="s">
        <v>29</v>
      </c>
      <c r="R819">
        <v>65</v>
      </c>
      <c r="S819">
        <v>4.5999999999999996</v>
      </c>
      <c r="T819" t="b">
        <v>0</v>
      </c>
      <c r="U819" t="s">
        <v>30</v>
      </c>
      <c r="V819">
        <v>3039</v>
      </c>
      <c r="W819" t="s">
        <v>53</v>
      </c>
      <c r="X819" t="s">
        <v>70</v>
      </c>
      <c r="Y819" t="s">
        <v>33</v>
      </c>
    </row>
    <row r="820" spans="1:25" x14ac:dyDescent="0.35">
      <c r="A820">
        <v>4110</v>
      </c>
      <c r="B820" t="s">
        <v>142</v>
      </c>
      <c r="C820" s="1">
        <v>45318</v>
      </c>
      <c r="D820" s="1">
        <v>45622</v>
      </c>
      <c r="E820">
        <v>9</v>
      </c>
      <c r="F820">
        <v>11.99</v>
      </c>
      <c r="G820">
        <f t="shared" si="12"/>
        <v>107.91</v>
      </c>
      <c r="H820">
        <v>133</v>
      </c>
      <c r="I820" t="s">
        <v>35</v>
      </c>
      <c r="J820">
        <v>5</v>
      </c>
      <c r="K820">
        <v>4</v>
      </c>
      <c r="L820" t="b">
        <v>0</v>
      </c>
      <c r="M820">
        <v>951</v>
      </c>
      <c r="N820">
        <v>86</v>
      </c>
      <c r="O820" t="s">
        <v>46</v>
      </c>
      <c r="P820" t="s">
        <v>28</v>
      </c>
      <c r="Q820" t="s">
        <v>36</v>
      </c>
      <c r="R820">
        <v>88</v>
      </c>
      <c r="S820">
        <v>4.4000000000000004</v>
      </c>
      <c r="T820" t="b">
        <v>0</v>
      </c>
      <c r="U820" t="s">
        <v>30</v>
      </c>
      <c r="V820">
        <v>3815</v>
      </c>
      <c r="W820" t="s">
        <v>53</v>
      </c>
      <c r="X820" t="s">
        <v>62</v>
      </c>
      <c r="Y820" t="s">
        <v>39</v>
      </c>
    </row>
    <row r="821" spans="1:25" x14ac:dyDescent="0.35">
      <c r="A821">
        <v>6944</v>
      </c>
      <c r="B821" t="s">
        <v>159</v>
      </c>
      <c r="C821" s="1">
        <v>45440</v>
      </c>
      <c r="D821" s="1">
        <v>45626</v>
      </c>
      <c r="E821">
        <v>6</v>
      </c>
      <c r="F821">
        <v>15.99</v>
      </c>
      <c r="G821">
        <f t="shared" si="12"/>
        <v>95.94</v>
      </c>
      <c r="H821">
        <v>270</v>
      </c>
      <c r="I821" t="s">
        <v>64</v>
      </c>
      <c r="J821">
        <v>3</v>
      </c>
      <c r="K821">
        <v>6</v>
      </c>
      <c r="L821" t="b">
        <v>0</v>
      </c>
      <c r="M821">
        <v>271</v>
      </c>
      <c r="N821">
        <v>5</v>
      </c>
      <c r="O821" t="s">
        <v>46</v>
      </c>
      <c r="P821" t="s">
        <v>51</v>
      </c>
      <c r="Q821" t="s">
        <v>52</v>
      </c>
      <c r="R821">
        <v>41</v>
      </c>
      <c r="S821">
        <v>3.5</v>
      </c>
      <c r="T821" t="b">
        <v>0</v>
      </c>
      <c r="U821" t="s">
        <v>30</v>
      </c>
      <c r="V821">
        <v>1135</v>
      </c>
      <c r="W821" t="s">
        <v>59</v>
      </c>
      <c r="X821" t="s">
        <v>54</v>
      </c>
      <c r="Y821" t="s">
        <v>33</v>
      </c>
    </row>
    <row r="822" spans="1:25" x14ac:dyDescent="0.35">
      <c r="A822">
        <v>3639</v>
      </c>
      <c r="B822" t="s">
        <v>376</v>
      </c>
      <c r="C822" s="1">
        <v>45128</v>
      </c>
      <c r="D822" s="1">
        <v>45618</v>
      </c>
      <c r="E822">
        <v>16</v>
      </c>
      <c r="F822">
        <v>11.99</v>
      </c>
      <c r="G822">
        <f t="shared" si="12"/>
        <v>191.84</v>
      </c>
      <c r="H822">
        <v>85</v>
      </c>
      <c r="I822" t="s">
        <v>57</v>
      </c>
      <c r="J822">
        <v>3</v>
      </c>
      <c r="K822">
        <v>1</v>
      </c>
      <c r="L822" t="b">
        <v>1</v>
      </c>
      <c r="M822">
        <v>851</v>
      </c>
      <c r="N822">
        <v>48</v>
      </c>
      <c r="O822" t="s">
        <v>27</v>
      </c>
      <c r="P822" t="s">
        <v>66</v>
      </c>
      <c r="Q822" t="s">
        <v>69</v>
      </c>
      <c r="R822">
        <v>45</v>
      </c>
      <c r="S822">
        <v>4.5999999999999996</v>
      </c>
      <c r="T822" t="b">
        <v>0</v>
      </c>
      <c r="U822" t="s">
        <v>30</v>
      </c>
      <c r="V822">
        <v>2706</v>
      </c>
      <c r="W822" t="s">
        <v>67</v>
      </c>
      <c r="X822" t="s">
        <v>32</v>
      </c>
      <c r="Y822" t="s">
        <v>39</v>
      </c>
    </row>
    <row r="823" spans="1:25" x14ac:dyDescent="0.35">
      <c r="A823">
        <v>8416</v>
      </c>
      <c r="B823" t="s">
        <v>247</v>
      </c>
      <c r="C823" s="1">
        <v>45044</v>
      </c>
      <c r="D823" s="1">
        <v>45625</v>
      </c>
      <c r="E823">
        <v>19</v>
      </c>
      <c r="F823">
        <v>11.99</v>
      </c>
      <c r="G823">
        <f t="shared" si="12"/>
        <v>227.81</v>
      </c>
      <c r="H823">
        <v>65</v>
      </c>
      <c r="I823" t="s">
        <v>35</v>
      </c>
      <c r="J823">
        <v>2</v>
      </c>
      <c r="K823">
        <v>3</v>
      </c>
      <c r="L823" t="b">
        <v>1</v>
      </c>
      <c r="M823">
        <v>302</v>
      </c>
      <c r="N823">
        <v>6</v>
      </c>
      <c r="O823" t="s">
        <v>46</v>
      </c>
      <c r="P823" t="s">
        <v>28</v>
      </c>
      <c r="Q823" t="s">
        <v>29</v>
      </c>
      <c r="R823">
        <v>81</v>
      </c>
      <c r="S823">
        <v>3.5</v>
      </c>
      <c r="T823" t="b">
        <v>1</v>
      </c>
      <c r="U823" t="s">
        <v>30</v>
      </c>
      <c r="V823">
        <v>3828</v>
      </c>
      <c r="W823" t="s">
        <v>67</v>
      </c>
      <c r="X823" t="s">
        <v>54</v>
      </c>
      <c r="Y823" t="s">
        <v>39</v>
      </c>
    </row>
    <row r="824" spans="1:25" x14ac:dyDescent="0.35">
      <c r="A824">
        <v>7753</v>
      </c>
      <c r="B824" t="s">
        <v>123</v>
      </c>
      <c r="C824" s="1">
        <v>45635</v>
      </c>
      <c r="D824" s="1">
        <v>45639</v>
      </c>
      <c r="E824">
        <v>0</v>
      </c>
      <c r="F824">
        <v>7.99</v>
      </c>
      <c r="G824">
        <f t="shared" si="12"/>
        <v>0</v>
      </c>
      <c r="H824">
        <v>393</v>
      </c>
      <c r="I824" t="s">
        <v>35</v>
      </c>
      <c r="J824">
        <v>3</v>
      </c>
      <c r="K824">
        <v>3</v>
      </c>
      <c r="L824" t="b">
        <v>0</v>
      </c>
      <c r="M824">
        <v>829</v>
      </c>
      <c r="N824">
        <v>117</v>
      </c>
      <c r="O824" t="s">
        <v>27</v>
      </c>
      <c r="P824" t="s">
        <v>51</v>
      </c>
      <c r="Q824" t="s">
        <v>29</v>
      </c>
      <c r="R824">
        <v>65</v>
      </c>
      <c r="S824">
        <v>4.9000000000000004</v>
      </c>
      <c r="T824" t="b">
        <v>1</v>
      </c>
      <c r="U824" t="s">
        <v>30</v>
      </c>
      <c r="V824">
        <v>4409</v>
      </c>
      <c r="W824" t="s">
        <v>53</v>
      </c>
      <c r="X824" t="s">
        <v>32</v>
      </c>
      <c r="Y824" t="s">
        <v>77</v>
      </c>
    </row>
    <row r="825" spans="1:25" x14ac:dyDescent="0.35">
      <c r="A825">
        <v>9528</v>
      </c>
      <c r="B825" t="s">
        <v>377</v>
      </c>
      <c r="C825" s="1">
        <v>44973</v>
      </c>
      <c r="D825" s="1">
        <v>45638</v>
      </c>
      <c r="E825">
        <v>21</v>
      </c>
      <c r="F825">
        <v>11.99</v>
      </c>
      <c r="G825">
        <f t="shared" si="12"/>
        <v>251.79</v>
      </c>
      <c r="H825">
        <v>181</v>
      </c>
      <c r="I825" t="s">
        <v>26</v>
      </c>
      <c r="J825">
        <v>5</v>
      </c>
      <c r="K825">
        <v>5</v>
      </c>
      <c r="L825" t="b">
        <v>0</v>
      </c>
      <c r="M825">
        <v>860</v>
      </c>
      <c r="N825">
        <v>148</v>
      </c>
      <c r="O825" t="s">
        <v>27</v>
      </c>
      <c r="P825" t="s">
        <v>42</v>
      </c>
      <c r="Q825" t="s">
        <v>43</v>
      </c>
      <c r="R825">
        <v>3</v>
      </c>
      <c r="S825">
        <v>4.3</v>
      </c>
      <c r="T825" t="b">
        <v>1</v>
      </c>
      <c r="U825" t="s">
        <v>30</v>
      </c>
      <c r="V825">
        <v>433</v>
      </c>
      <c r="W825" t="s">
        <v>67</v>
      </c>
      <c r="X825" t="s">
        <v>54</v>
      </c>
      <c r="Y825" t="s">
        <v>77</v>
      </c>
    </row>
    <row r="826" spans="1:25" x14ac:dyDescent="0.35">
      <c r="A826">
        <v>2960</v>
      </c>
      <c r="B826" t="s">
        <v>110</v>
      </c>
      <c r="C826" s="1">
        <v>45263</v>
      </c>
      <c r="D826" s="1">
        <v>45635</v>
      </c>
      <c r="E826">
        <v>12</v>
      </c>
      <c r="F826">
        <v>11.99</v>
      </c>
      <c r="G826">
        <f t="shared" si="12"/>
        <v>143.88</v>
      </c>
      <c r="H826">
        <v>416</v>
      </c>
      <c r="I826" t="s">
        <v>45</v>
      </c>
      <c r="J826">
        <v>5</v>
      </c>
      <c r="K826">
        <v>4</v>
      </c>
      <c r="L826" t="b">
        <v>1</v>
      </c>
      <c r="M826">
        <v>964</v>
      </c>
      <c r="N826">
        <v>187</v>
      </c>
      <c r="O826" t="s">
        <v>27</v>
      </c>
      <c r="P826" t="s">
        <v>66</v>
      </c>
      <c r="Q826" t="s">
        <v>69</v>
      </c>
      <c r="R826">
        <v>6</v>
      </c>
      <c r="S826">
        <v>3.2</v>
      </c>
      <c r="T826" t="b">
        <v>0</v>
      </c>
      <c r="U826" t="s">
        <v>30</v>
      </c>
      <c r="V826">
        <v>2554</v>
      </c>
      <c r="W826" t="s">
        <v>53</v>
      </c>
      <c r="X826" t="s">
        <v>32</v>
      </c>
      <c r="Y826" t="s">
        <v>33</v>
      </c>
    </row>
    <row r="827" spans="1:25" x14ac:dyDescent="0.35">
      <c r="A827">
        <v>1090</v>
      </c>
      <c r="B827" t="s">
        <v>351</v>
      </c>
      <c r="C827" s="1">
        <v>45429</v>
      </c>
      <c r="D827" s="1">
        <v>45625</v>
      </c>
      <c r="E827">
        <v>6</v>
      </c>
      <c r="F827">
        <v>15.99</v>
      </c>
      <c r="G827">
        <f t="shared" si="12"/>
        <v>95.94</v>
      </c>
      <c r="H827">
        <v>243</v>
      </c>
      <c r="I827" t="s">
        <v>45</v>
      </c>
      <c r="J827">
        <v>3</v>
      </c>
      <c r="K827">
        <v>2</v>
      </c>
      <c r="L827" t="b">
        <v>0</v>
      </c>
      <c r="M827">
        <v>40</v>
      </c>
      <c r="N827">
        <v>52</v>
      </c>
      <c r="O827" t="s">
        <v>41</v>
      </c>
      <c r="P827" t="s">
        <v>66</v>
      </c>
      <c r="Q827" t="s">
        <v>58</v>
      </c>
      <c r="R827">
        <v>4</v>
      </c>
      <c r="S827">
        <v>4</v>
      </c>
      <c r="T827" t="b">
        <v>1</v>
      </c>
      <c r="U827" t="s">
        <v>30</v>
      </c>
      <c r="V827">
        <v>1348</v>
      </c>
      <c r="W827" t="s">
        <v>37</v>
      </c>
      <c r="X827" t="s">
        <v>38</v>
      </c>
      <c r="Y827" t="s">
        <v>55</v>
      </c>
    </row>
    <row r="828" spans="1:25" x14ac:dyDescent="0.35">
      <c r="A828">
        <v>2410</v>
      </c>
      <c r="B828" t="s">
        <v>74</v>
      </c>
      <c r="C828" s="1">
        <v>45637</v>
      </c>
      <c r="D828" s="1">
        <v>45634</v>
      </c>
      <c r="E828">
        <v>0</v>
      </c>
      <c r="F828">
        <v>11.99</v>
      </c>
      <c r="G828">
        <f t="shared" si="12"/>
        <v>0</v>
      </c>
      <c r="H828">
        <v>381</v>
      </c>
      <c r="I828" t="s">
        <v>81</v>
      </c>
      <c r="J828">
        <v>2</v>
      </c>
      <c r="K828">
        <v>3</v>
      </c>
      <c r="L828" t="b">
        <v>1</v>
      </c>
      <c r="M828">
        <v>568</v>
      </c>
      <c r="N828">
        <v>62</v>
      </c>
      <c r="O828" t="s">
        <v>65</v>
      </c>
      <c r="P828" t="s">
        <v>42</v>
      </c>
      <c r="Q828" t="s">
        <v>43</v>
      </c>
      <c r="R828">
        <v>50</v>
      </c>
      <c r="S828">
        <v>4.8</v>
      </c>
      <c r="T828" t="b">
        <v>0</v>
      </c>
      <c r="U828" t="s">
        <v>30</v>
      </c>
      <c r="V828">
        <v>1375</v>
      </c>
      <c r="W828" t="s">
        <v>59</v>
      </c>
      <c r="X828" t="s">
        <v>38</v>
      </c>
      <c r="Y828" t="s">
        <v>33</v>
      </c>
    </row>
    <row r="829" spans="1:25" x14ac:dyDescent="0.35">
      <c r="A829">
        <v>1575</v>
      </c>
      <c r="B829" t="s">
        <v>110</v>
      </c>
      <c r="C829" s="1">
        <v>45203</v>
      </c>
      <c r="D829" s="1">
        <v>45637</v>
      </c>
      <c r="E829">
        <v>14</v>
      </c>
      <c r="F829">
        <v>11.99</v>
      </c>
      <c r="G829">
        <f t="shared" si="12"/>
        <v>167.86</v>
      </c>
      <c r="H829">
        <v>71</v>
      </c>
      <c r="I829" t="s">
        <v>64</v>
      </c>
      <c r="J829">
        <v>5</v>
      </c>
      <c r="K829">
        <v>4</v>
      </c>
      <c r="L829" t="b">
        <v>1</v>
      </c>
      <c r="M829">
        <v>666</v>
      </c>
      <c r="N829">
        <v>100</v>
      </c>
      <c r="O829" t="s">
        <v>61</v>
      </c>
      <c r="P829" t="s">
        <v>51</v>
      </c>
      <c r="Q829" t="s">
        <v>43</v>
      </c>
      <c r="R829">
        <v>97</v>
      </c>
      <c r="S829">
        <v>3.1</v>
      </c>
      <c r="T829" t="b">
        <v>0</v>
      </c>
      <c r="U829" t="s">
        <v>30</v>
      </c>
      <c r="V829">
        <v>3630</v>
      </c>
      <c r="W829" t="s">
        <v>37</v>
      </c>
      <c r="X829" t="s">
        <v>62</v>
      </c>
      <c r="Y829" t="s">
        <v>33</v>
      </c>
    </row>
    <row r="830" spans="1:25" x14ac:dyDescent="0.35">
      <c r="A830">
        <v>9259</v>
      </c>
      <c r="B830" t="s">
        <v>157</v>
      </c>
      <c r="C830" s="1">
        <v>45518</v>
      </c>
      <c r="D830" s="1">
        <v>45633</v>
      </c>
      <c r="E830">
        <v>3</v>
      </c>
      <c r="F830">
        <v>11.99</v>
      </c>
      <c r="G830">
        <f t="shared" si="12"/>
        <v>35.97</v>
      </c>
      <c r="H830">
        <v>219</v>
      </c>
      <c r="I830" t="s">
        <v>57</v>
      </c>
      <c r="J830">
        <v>4</v>
      </c>
      <c r="K830">
        <v>1</v>
      </c>
      <c r="L830" t="b">
        <v>1</v>
      </c>
      <c r="M830">
        <v>318</v>
      </c>
      <c r="N830">
        <v>37</v>
      </c>
      <c r="O830" t="s">
        <v>76</v>
      </c>
      <c r="P830" t="s">
        <v>66</v>
      </c>
      <c r="Q830" t="s">
        <v>52</v>
      </c>
      <c r="R830">
        <v>69</v>
      </c>
      <c r="S830">
        <v>3.9</v>
      </c>
      <c r="T830" t="b">
        <v>1</v>
      </c>
      <c r="U830" t="s">
        <v>30</v>
      </c>
      <c r="V830">
        <v>1457</v>
      </c>
      <c r="W830" t="s">
        <v>59</v>
      </c>
      <c r="X830" t="s">
        <v>62</v>
      </c>
      <c r="Y830" t="s">
        <v>33</v>
      </c>
    </row>
    <row r="831" spans="1:25" x14ac:dyDescent="0.35">
      <c r="A831">
        <v>2170</v>
      </c>
      <c r="B831" t="s">
        <v>107</v>
      </c>
      <c r="C831" s="1">
        <v>45237</v>
      </c>
      <c r="D831" s="1">
        <v>45641</v>
      </c>
      <c r="E831">
        <v>13</v>
      </c>
      <c r="F831">
        <v>15.99</v>
      </c>
      <c r="G831">
        <f t="shared" si="12"/>
        <v>207.87</v>
      </c>
      <c r="H831">
        <v>335</v>
      </c>
      <c r="I831" t="s">
        <v>26</v>
      </c>
      <c r="J831">
        <v>2</v>
      </c>
      <c r="K831">
        <v>4</v>
      </c>
      <c r="L831" t="b">
        <v>0</v>
      </c>
      <c r="M831">
        <v>609</v>
      </c>
      <c r="N831">
        <v>181</v>
      </c>
      <c r="O831" t="s">
        <v>41</v>
      </c>
      <c r="P831" t="s">
        <v>28</v>
      </c>
      <c r="Q831" t="s">
        <v>29</v>
      </c>
      <c r="R831">
        <v>81</v>
      </c>
      <c r="S831">
        <v>4.7</v>
      </c>
      <c r="T831" t="b">
        <v>1</v>
      </c>
      <c r="U831" t="s">
        <v>30</v>
      </c>
      <c r="V831">
        <v>3332</v>
      </c>
      <c r="W831" t="s">
        <v>59</v>
      </c>
      <c r="X831" t="s">
        <v>54</v>
      </c>
      <c r="Y831" t="s">
        <v>33</v>
      </c>
    </row>
    <row r="832" spans="1:25" x14ac:dyDescent="0.35">
      <c r="A832">
        <v>2237</v>
      </c>
      <c r="B832" t="s">
        <v>162</v>
      </c>
      <c r="C832" s="1">
        <v>45085</v>
      </c>
      <c r="D832" s="1">
        <v>45644</v>
      </c>
      <c r="E832">
        <v>18</v>
      </c>
      <c r="F832">
        <v>7.99</v>
      </c>
      <c r="G832">
        <f t="shared" si="12"/>
        <v>143.82</v>
      </c>
      <c r="H832">
        <v>435</v>
      </c>
      <c r="I832" t="s">
        <v>64</v>
      </c>
      <c r="J832">
        <v>2</v>
      </c>
      <c r="K832">
        <v>1</v>
      </c>
      <c r="L832" t="b">
        <v>0</v>
      </c>
      <c r="M832">
        <v>163</v>
      </c>
      <c r="N832">
        <v>69</v>
      </c>
      <c r="O832" t="s">
        <v>50</v>
      </c>
      <c r="P832" t="s">
        <v>28</v>
      </c>
      <c r="Q832" t="s">
        <v>36</v>
      </c>
      <c r="R832">
        <v>24</v>
      </c>
      <c r="S832">
        <v>4.8</v>
      </c>
      <c r="T832" t="b">
        <v>1</v>
      </c>
      <c r="U832" t="s">
        <v>30</v>
      </c>
      <c r="V832">
        <v>3815</v>
      </c>
      <c r="W832" t="s">
        <v>59</v>
      </c>
      <c r="X832" t="s">
        <v>32</v>
      </c>
      <c r="Y832" t="s">
        <v>77</v>
      </c>
    </row>
    <row r="833" spans="1:25" x14ac:dyDescent="0.35">
      <c r="A833">
        <v>2697</v>
      </c>
      <c r="B833" t="s">
        <v>120</v>
      </c>
      <c r="C833" s="1">
        <v>45422</v>
      </c>
      <c r="D833" s="1">
        <v>45635</v>
      </c>
      <c r="E833">
        <v>6</v>
      </c>
      <c r="F833">
        <v>15.99</v>
      </c>
      <c r="G833">
        <f t="shared" si="12"/>
        <v>95.94</v>
      </c>
      <c r="H833">
        <v>423</v>
      </c>
      <c r="I833" t="s">
        <v>35</v>
      </c>
      <c r="J833">
        <v>4</v>
      </c>
      <c r="K833">
        <v>3</v>
      </c>
      <c r="L833" t="b">
        <v>0</v>
      </c>
      <c r="M833">
        <v>648</v>
      </c>
      <c r="N833">
        <v>46</v>
      </c>
      <c r="O833" t="s">
        <v>27</v>
      </c>
      <c r="P833" t="s">
        <v>42</v>
      </c>
      <c r="Q833" t="s">
        <v>52</v>
      </c>
      <c r="R833">
        <v>0</v>
      </c>
      <c r="S833">
        <v>4.5</v>
      </c>
      <c r="T833" t="b">
        <v>0</v>
      </c>
      <c r="U833" t="s">
        <v>30</v>
      </c>
      <c r="V833">
        <v>3859</v>
      </c>
      <c r="W833" t="s">
        <v>31</v>
      </c>
      <c r="X833" t="s">
        <v>70</v>
      </c>
      <c r="Y833" t="s">
        <v>33</v>
      </c>
    </row>
    <row r="834" spans="1:25" x14ac:dyDescent="0.35">
      <c r="A834">
        <v>4488</v>
      </c>
      <c r="B834" t="s">
        <v>184</v>
      </c>
      <c r="C834" s="1">
        <v>45074</v>
      </c>
      <c r="D834" s="1">
        <v>45631</v>
      </c>
      <c r="E834">
        <v>18</v>
      </c>
      <c r="F834">
        <v>7.99</v>
      </c>
      <c r="G834">
        <f t="shared" si="12"/>
        <v>143.82</v>
      </c>
      <c r="H834">
        <v>304</v>
      </c>
      <c r="I834" t="s">
        <v>81</v>
      </c>
      <c r="J834">
        <v>1</v>
      </c>
      <c r="K834">
        <v>3</v>
      </c>
      <c r="L834" t="b">
        <v>0</v>
      </c>
      <c r="M834">
        <v>975</v>
      </c>
      <c r="N834">
        <v>10</v>
      </c>
      <c r="O834" t="s">
        <v>41</v>
      </c>
      <c r="P834" t="s">
        <v>28</v>
      </c>
      <c r="Q834" t="s">
        <v>58</v>
      </c>
      <c r="R834">
        <v>48</v>
      </c>
      <c r="S834">
        <v>3.2</v>
      </c>
      <c r="T834" t="b">
        <v>0</v>
      </c>
      <c r="U834" t="s">
        <v>30</v>
      </c>
      <c r="V834">
        <v>3923</v>
      </c>
      <c r="W834" t="s">
        <v>53</v>
      </c>
      <c r="X834" t="s">
        <v>38</v>
      </c>
      <c r="Y834" t="s">
        <v>33</v>
      </c>
    </row>
    <row r="835" spans="1:25" x14ac:dyDescent="0.35">
      <c r="A835">
        <v>5291</v>
      </c>
      <c r="B835" t="s">
        <v>378</v>
      </c>
      <c r="C835" s="1">
        <v>45346</v>
      </c>
      <c r="D835" s="1">
        <v>45643</v>
      </c>
      <c r="E835">
        <v>9</v>
      </c>
      <c r="F835">
        <v>11.99</v>
      </c>
      <c r="G835">
        <f t="shared" ref="G835:G898" si="13">F835*E835</f>
        <v>107.91</v>
      </c>
      <c r="H835">
        <v>455</v>
      </c>
      <c r="I835" t="s">
        <v>35</v>
      </c>
      <c r="J835">
        <v>3</v>
      </c>
      <c r="K835">
        <v>6</v>
      </c>
      <c r="L835" t="b">
        <v>1</v>
      </c>
      <c r="M835">
        <v>15</v>
      </c>
      <c r="N835">
        <v>36</v>
      </c>
      <c r="O835" t="s">
        <v>65</v>
      </c>
      <c r="P835" t="s">
        <v>42</v>
      </c>
      <c r="Q835" t="s">
        <v>58</v>
      </c>
      <c r="R835">
        <v>37</v>
      </c>
      <c r="S835">
        <v>4.2</v>
      </c>
      <c r="T835" t="b">
        <v>0</v>
      </c>
      <c r="U835" t="s">
        <v>30</v>
      </c>
      <c r="V835">
        <v>4486</v>
      </c>
      <c r="W835" t="s">
        <v>67</v>
      </c>
      <c r="X835" t="s">
        <v>54</v>
      </c>
      <c r="Y835" t="s">
        <v>77</v>
      </c>
    </row>
    <row r="836" spans="1:25" x14ac:dyDescent="0.35">
      <c r="A836">
        <v>6287</v>
      </c>
      <c r="B836" t="s">
        <v>280</v>
      </c>
      <c r="C836" s="1">
        <v>45045</v>
      </c>
      <c r="D836" s="1">
        <v>45626</v>
      </c>
      <c r="E836">
        <v>19</v>
      </c>
      <c r="F836">
        <v>11.99</v>
      </c>
      <c r="G836">
        <f t="shared" si="13"/>
        <v>227.81</v>
      </c>
      <c r="H836">
        <v>449</v>
      </c>
      <c r="I836" t="s">
        <v>48</v>
      </c>
      <c r="J836">
        <v>1</v>
      </c>
      <c r="K836">
        <v>2</v>
      </c>
      <c r="L836" t="b">
        <v>1</v>
      </c>
      <c r="M836">
        <v>268</v>
      </c>
      <c r="N836">
        <v>11</v>
      </c>
      <c r="O836" t="s">
        <v>41</v>
      </c>
      <c r="P836" t="s">
        <v>42</v>
      </c>
      <c r="Q836" t="s">
        <v>58</v>
      </c>
      <c r="R836">
        <v>62</v>
      </c>
      <c r="S836">
        <v>5</v>
      </c>
      <c r="T836" t="b">
        <v>0</v>
      </c>
      <c r="U836" t="s">
        <v>30</v>
      </c>
      <c r="V836">
        <v>993</v>
      </c>
      <c r="W836" t="s">
        <v>37</v>
      </c>
      <c r="X836" t="s">
        <v>38</v>
      </c>
      <c r="Y836" t="s">
        <v>39</v>
      </c>
    </row>
    <row r="837" spans="1:25" x14ac:dyDescent="0.35">
      <c r="A837">
        <v>1953</v>
      </c>
      <c r="B837" t="s">
        <v>370</v>
      </c>
      <c r="C837" s="1">
        <v>45239</v>
      </c>
      <c r="D837" s="1">
        <v>45619</v>
      </c>
      <c r="E837">
        <v>12</v>
      </c>
      <c r="F837">
        <v>15.99</v>
      </c>
      <c r="G837">
        <f t="shared" si="13"/>
        <v>191.88</v>
      </c>
      <c r="H837">
        <v>39</v>
      </c>
      <c r="I837" t="s">
        <v>35</v>
      </c>
      <c r="J837">
        <v>3</v>
      </c>
      <c r="K837">
        <v>1</v>
      </c>
      <c r="L837" t="b">
        <v>1</v>
      </c>
      <c r="M837">
        <v>791</v>
      </c>
      <c r="N837">
        <v>3</v>
      </c>
      <c r="O837" t="s">
        <v>65</v>
      </c>
      <c r="P837" t="s">
        <v>51</v>
      </c>
      <c r="Q837" t="s">
        <v>52</v>
      </c>
      <c r="R837">
        <v>33</v>
      </c>
      <c r="S837">
        <v>3.1</v>
      </c>
      <c r="T837" t="b">
        <v>1</v>
      </c>
      <c r="U837" t="s">
        <v>30</v>
      </c>
      <c r="V837">
        <v>631</v>
      </c>
      <c r="W837" t="s">
        <v>53</v>
      </c>
      <c r="X837" t="s">
        <v>38</v>
      </c>
      <c r="Y837" t="s">
        <v>55</v>
      </c>
    </row>
    <row r="838" spans="1:25" x14ac:dyDescent="0.35">
      <c r="A838">
        <v>3457</v>
      </c>
      <c r="B838" t="s">
        <v>187</v>
      </c>
      <c r="C838" s="1">
        <v>45590</v>
      </c>
      <c r="D838" s="1">
        <v>45615</v>
      </c>
      <c r="E838">
        <v>0</v>
      </c>
      <c r="F838">
        <v>15.99</v>
      </c>
      <c r="G838">
        <f t="shared" si="13"/>
        <v>0</v>
      </c>
      <c r="H838">
        <v>139</v>
      </c>
      <c r="I838" t="s">
        <v>64</v>
      </c>
      <c r="J838">
        <v>2</v>
      </c>
      <c r="K838">
        <v>1</v>
      </c>
      <c r="L838" t="b">
        <v>0</v>
      </c>
      <c r="M838">
        <v>257</v>
      </c>
      <c r="N838">
        <v>173</v>
      </c>
      <c r="O838" t="s">
        <v>61</v>
      </c>
      <c r="P838" t="s">
        <v>42</v>
      </c>
      <c r="Q838" t="s">
        <v>58</v>
      </c>
      <c r="R838">
        <v>16</v>
      </c>
      <c r="S838">
        <v>3.7</v>
      </c>
      <c r="T838" t="b">
        <v>1</v>
      </c>
      <c r="U838" t="s">
        <v>30</v>
      </c>
      <c r="V838">
        <v>214</v>
      </c>
      <c r="W838" t="s">
        <v>53</v>
      </c>
      <c r="X838" t="s">
        <v>38</v>
      </c>
      <c r="Y838" t="s">
        <v>33</v>
      </c>
    </row>
    <row r="839" spans="1:25" x14ac:dyDescent="0.35">
      <c r="A839">
        <v>6504</v>
      </c>
      <c r="B839" t="s">
        <v>202</v>
      </c>
      <c r="C839" s="1">
        <v>45249</v>
      </c>
      <c r="D839" s="1">
        <v>45644</v>
      </c>
      <c r="E839">
        <v>12</v>
      </c>
      <c r="F839">
        <v>7.99</v>
      </c>
      <c r="G839">
        <f t="shared" si="13"/>
        <v>95.88</v>
      </c>
      <c r="H839">
        <v>345</v>
      </c>
      <c r="I839" t="s">
        <v>45</v>
      </c>
      <c r="J839">
        <v>1</v>
      </c>
      <c r="K839">
        <v>4</v>
      </c>
      <c r="L839" t="b">
        <v>0</v>
      </c>
      <c r="M839">
        <v>767</v>
      </c>
      <c r="N839">
        <v>66</v>
      </c>
      <c r="O839" t="s">
        <v>41</v>
      </c>
      <c r="P839" t="s">
        <v>42</v>
      </c>
      <c r="Q839" t="s">
        <v>43</v>
      </c>
      <c r="R839">
        <v>70</v>
      </c>
      <c r="S839">
        <v>3.8</v>
      </c>
      <c r="T839" t="b">
        <v>0</v>
      </c>
      <c r="U839" t="s">
        <v>30</v>
      </c>
      <c r="V839">
        <v>2327</v>
      </c>
      <c r="W839" t="s">
        <v>37</v>
      </c>
      <c r="X839" t="s">
        <v>54</v>
      </c>
      <c r="Y839" t="s">
        <v>33</v>
      </c>
    </row>
    <row r="840" spans="1:25" x14ac:dyDescent="0.35">
      <c r="A840">
        <v>7463</v>
      </c>
      <c r="B840" t="s">
        <v>241</v>
      </c>
      <c r="C840" s="1">
        <v>45184</v>
      </c>
      <c r="D840" s="1">
        <v>45632</v>
      </c>
      <c r="E840">
        <v>14</v>
      </c>
      <c r="F840">
        <v>11.99</v>
      </c>
      <c r="G840">
        <f t="shared" si="13"/>
        <v>167.86</v>
      </c>
      <c r="H840">
        <v>500</v>
      </c>
      <c r="I840" t="s">
        <v>48</v>
      </c>
      <c r="J840">
        <v>3</v>
      </c>
      <c r="K840">
        <v>5</v>
      </c>
      <c r="L840" t="b">
        <v>1</v>
      </c>
      <c r="M840">
        <v>362</v>
      </c>
      <c r="N840">
        <v>38</v>
      </c>
      <c r="O840" t="s">
        <v>76</v>
      </c>
      <c r="P840" t="s">
        <v>42</v>
      </c>
      <c r="Q840" t="s">
        <v>29</v>
      </c>
      <c r="R840">
        <v>100</v>
      </c>
      <c r="S840">
        <v>4</v>
      </c>
      <c r="T840" t="b">
        <v>0</v>
      </c>
      <c r="U840" t="s">
        <v>30</v>
      </c>
      <c r="V840">
        <v>3679</v>
      </c>
      <c r="W840" t="s">
        <v>53</v>
      </c>
      <c r="X840" t="s">
        <v>70</v>
      </c>
      <c r="Y840" t="s">
        <v>39</v>
      </c>
    </row>
    <row r="841" spans="1:25" x14ac:dyDescent="0.35">
      <c r="A841">
        <v>3898</v>
      </c>
      <c r="B841" t="s">
        <v>80</v>
      </c>
      <c r="C841" s="1">
        <v>45358</v>
      </c>
      <c r="D841" s="1">
        <v>45624</v>
      </c>
      <c r="E841">
        <v>8</v>
      </c>
      <c r="F841">
        <v>11.99</v>
      </c>
      <c r="G841">
        <f t="shared" si="13"/>
        <v>95.92</v>
      </c>
      <c r="H841">
        <v>365</v>
      </c>
      <c r="I841" t="s">
        <v>64</v>
      </c>
      <c r="J841">
        <v>5</v>
      </c>
      <c r="K841">
        <v>5</v>
      </c>
      <c r="L841" t="b">
        <v>1</v>
      </c>
      <c r="M841">
        <v>779</v>
      </c>
      <c r="N841">
        <v>113</v>
      </c>
      <c r="O841" t="s">
        <v>46</v>
      </c>
      <c r="P841" t="s">
        <v>28</v>
      </c>
      <c r="Q841" t="s">
        <v>36</v>
      </c>
      <c r="R841">
        <v>65</v>
      </c>
      <c r="S841">
        <v>4.2</v>
      </c>
      <c r="T841" t="b">
        <v>0</v>
      </c>
      <c r="U841" t="s">
        <v>30</v>
      </c>
      <c r="V841">
        <v>2238</v>
      </c>
      <c r="W841" t="s">
        <v>31</v>
      </c>
      <c r="X841" t="s">
        <v>70</v>
      </c>
      <c r="Y841" t="s">
        <v>77</v>
      </c>
    </row>
    <row r="842" spans="1:25" x14ac:dyDescent="0.35">
      <c r="A842">
        <v>8481</v>
      </c>
      <c r="B842" t="s">
        <v>96</v>
      </c>
      <c r="C842" s="1">
        <v>45581</v>
      </c>
      <c r="D842" s="1">
        <v>45634</v>
      </c>
      <c r="E842">
        <v>1</v>
      </c>
      <c r="F842">
        <v>7.99</v>
      </c>
      <c r="G842">
        <f t="shared" si="13"/>
        <v>7.99</v>
      </c>
      <c r="H842">
        <v>479</v>
      </c>
      <c r="I842" t="s">
        <v>81</v>
      </c>
      <c r="J842">
        <v>4</v>
      </c>
      <c r="K842">
        <v>5</v>
      </c>
      <c r="L842" t="b">
        <v>0</v>
      </c>
      <c r="M842">
        <v>159</v>
      </c>
      <c r="N842">
        <v>136</v>
      </c>
      <c r="O842" t="s">
        <v>41</v>
      </c>
      <c r="P842" t="s">
        <v>66</v>
      </c>
      <c r="Q842" t="s">
        <v>36</v>
      </c>
      <c r="R842">
        <v>7</v>
      </c>
      <c r="S842">
        <v>4.2</v>
      </c>
      <c r="T842" t="b">
        <v>1</v>
      </c>
      <c r="U842" t="s">
        <v>30</v>
      </c>
      <c r="V842">
        <v>3655</v>
      </c>
      <c r="W842" t="s">
        <v>53</v>
      </c>
      <c r="X842" t="s">
        <v>54</v>
      </c>
      <c r="Y842" t="s">
        <v>39</v>
      </c>
    </row>
    <row r="843" spans="1:25" x14ac:dyDescent="0.35">
      <c r="A843">
        <v>7810</v>
      </c>
      <c r="B843" t="s">
        <v>40</v>
      </c>
      <c r="C843" s="1">
        <v>45193</v>
      </c>
      <c r="D843" s="1">
        <v>45633</v>
      </c>
      <c r="E843">
        <v>14</v>
      </c>
      <c r="F843">
        <v>7.99</v>
      </c>
      <c r="G843">
        <f t="shared" si="13"/>
        <v>111.86</v>
      </c>
      <c r="H843">
        <v>63</v>
      </c>
      <c r="I843" t="s">
        <v>57</v>
      </c>
      <c r="J843">
        <v>4</v>
      </c>
      <c r="K843">
        <v>2</v>
      </c>
      <c r="L843" t="b">
        <v>1</v>
      </c>
      <c r="M843">
        <v>104</v>
      </c>
      <c r="N843">
        <v>72</v>
      </c>
      <c r="O843" t="s">
        <v>76</v>
      </c>
      <c r="P843" t="s">
        <v>66</v>
      </c>
      <c r="Q843" t="s">
        <v>43</v>
      </c>
      <c r="R843">
        <v>17</v>
      </c>
      <c r="S843">
        <v>4.9000000000000004</v>
      </c>
      <c r="T843" t="b">
        <v>1</v>
      </c>
      <c r="U843" t="s">
        <v>30</v>
      </c>
      <c r="V843">
        <v>1587</v>
      </c>
      <c r="W843" t="s">
        <v>59</v>
      </c>
      <c r="X843" t="s">
        <v>54</v>
      </c>
      <c r="Y843" t="s">
        <v>77</v>
      </c>
    </row>
    <row r="844" spans="1:25" x14ac:dyDescent="0.35">
      <c r="A844">
        <v>6534</v>
      </c>
      <c r="B844" t="s">
        <v>260</v>
      </c>
      <c r="C844" s="1">
        <v>45021</v>
      </c>
      <c r="D844" s="1">
        <v>45637</v>
      </c>
      <c r="E844">
        <v>20</v>
      </c>
      <c r="F844">
        <v>11.99</v>
      </c>
      <c r="G844">
        <f t="shared" si="13"/>
        <v>239.8</v>
      </c>
      <c r="H844">
        <v>104</v>
      </c>
      <c r="I844" t="s">
        <v>48</v>
      </c>
      <c r="J844">
        <v>2</v>
      </c>
      <c r="K844">
        <v>6</v>
      </c>
      <c r="L844" t="b">
        <v>0</v>
      </c>
      <c r="M844">
        <v>570</v>
      </c>
      <c r="N844">
        <v>29</v>
      </c>
      <c r="O844" t="s">
        <v>46</v>
      </c>
      <c r="P844" t="s">
        <v>28</v>
      </c>
      <c r="Q844" t="s">
        <v>36</v>
      </c>
      <c r="R844">
        <v>56</v>
      </c>
      <c r="S844">
        <v>3.9</v>
      </c>
      <c r="T844" t="b">
        <v>1</v>
      </c>
      <c r="U844" t="s">
        <v>30</v>
      </c>
      <c r="V844">
        <v>4501</v>
      </c>
      <c r="W844" t="s">
        <v>37</v>
      </c>
      <c r="X844" t="s">
        <v>32</v>
      </c>
      <c r="Y844" t="s">
        <v>33</v>
      </c>
    </row>
    <row r="845" spans="1:25" x14ac:dyDescent="0.35">
      <c r="A845">
        <v>6025</v>
      </c>
      <c r="B845" t="s">
        <v>189</v>
      </c>
      <c r="C845" s="1">
        <v>45275</v>
      </c>
      <c r="D845" s="1">
        <v>45621</v>
      </c>
      <c r="E845">
        <v>11</v>
      </c>
      <c r="F845">
        <v>15.99</v>
      </c>
      <c r="G845">
        <f t="shared" si="13"/>
        <v>175.89000000000001</v>
      </c>
      <c r="H845">
        <v>380</v>
      </c>
      <c r="I845" t="s">
        <v>57</v>
      </c>
      <c r="J845">
        <v>5</v>
      </c>
      <c r="K845">
        <v>5</v>
      </c>
      <c r="L845" t="b">
        <v>1</v>
      </c>
      <c r="M845">
        <v>112</v>
      </c>
      <c r="N845">
        <v>149</v>
      </c>
      <c r="O845" t="s">
        <v>61</v>
      </c>
      <c r="P845" t="s">
        <v>66</v>
      </c>
      <c r="Q845" t="s">
        <v>43</v>
      </c>
      <c r="R845">
        <v>74</v>
      </c>
      <c r="S845">
        <v>3.4</v>
      </c>
      <c r="T845" t="b">
        <v>1</v>
      </c>
      <c r="U845" t="s">
        <v>30</v>
      </c>
      <c r="V845">
        <v>1910</v>
      </c>
      <c r="W845" t="s">
        <v>67</v>
      </c>
      <c r="X845" t="s">
        <v>62</v>
      </c>
      <c r="Y845" t="s">
        <v>55</v>
      </c>
    </row>
    <row r="846" spans="1:25" x14ac:dyDescent="0.35">
      <c r="A846">
        <v>5825</v>
      </c>
      <c r="B846" t="s">
        <v>379</v>
      </c>
      <c r="C846" s="1">
        <v>45334</v>
      </c>
      <c r="D846" s="1">
        <v>45639</v>
      </c>
      <c r="E846">
        <v>10</v>
      </c>
      <c r="F846">
        <v>7.99</v>
      </c>
      <c r="G846">
        <f t="shared" si="13"/>
        <v>79.900000000000006</v>
      </c>
      <c r="H846">
        <v>500</v>
      </c>
      <c r="I846" t="s">
        <v>35</v>
      </c>
      <c r="J846">
        <v>5</v>
      </c>
      <c r="K846">
        <v>4</v>
      </c>
      <c r="L846" t="b">
        <v>1</v>
      </c>
      <c r="M846">
        <v>568</v>
      </c>
      <c r="N846">
        <v>151</v>
      </c>
      <c r="O846" t="s">
        <v>65</v>
      </c>
      <c r="P846" t="s">
        <v>66</v>
      </c>
      <c r="Q846" t="s">
        <v>69</v>
      </c>
      <c r="R846">
        <v>11</v>
      </c>
      <c r="S846">
        <v>3.6</v>
      </c>
      <c r="T846" t="b">
        <v>0</v>
      </c>
      <c r="U846" t="s">
        <v>30</v>
      </c>
      <c r="V846">
        <v>2731</v>
      </c>
      <c r="W846" t="s">
        <v>31</v>
      </c>
      <c r="X846" t="s">
        <v>62</v>
      </c>
      <c r="Y846" t="s">
        <v>33</v>
      </c>
    </row>
    <row r="847" spans="1:25" x14ac:dyDescent="0.35">
      <c r="A847">
        <v>1185</v>
      </c>
      <c r="B847" t="s">
        <v>221</v>
      </c>
      <c r="C847" s="1">
        <v>44956</v>
      </c>
      <c r="D847" s="1">
        <v>45641</v>
      </c>
      <c r="E847">
        <v>22</v>
      </c>
      <c r="F847">
        <v>15.99</v>
      </c>
      <c r="G847">
        <f t="shared" si="13"/>
        <v>351.78000000000003</v>
      </c>
      <c r="H847">
        <v>247</v>
      </c>
      <c r="I847" t="s">
        <v>81</v>
      </c>
      <c r="J847">
        <v>2</v>
      </c>
      <c r="K847">
        <v>2</v>
      </c>
      <c r="L847" t="b">
        <v>0</v>
      </c>
      <c r="M847">
        <v>943</v>
      </c>
      <c r="N847">
        <v>42</v>
      </c>
      <c r="O847" t="s">
        <v>46</v>
      </c>
      <c r="P847" t="s">
        <v>28</v>
      </c>
      <c r="Q847" t="s">
        <v>52</v>
      </c>
      <c r="R847">
        <v>85</v>
      </c>
      <c r="S847">
        <v>3.5</v>
      </c>
      <c r="T847" t="b">
        <v>1</v>
      </c>
      <c r="U847" t="s">
        <v>30</v>
      </c>
      <c r="V847">
        <v>4517</v>
      </c>
      <c r="W847" t="s">
        <v>31</v>
      </c>
      <c r="X847" t="s">
        <v>32</v>
      </c>
      <c r="Y847" t="s">
        <v>39</v>
      </c>
    </row>
    <row r="848" spans="1:25" x14ac:dyDescent="0.35">
      <c r="A848">
        <v>4392</v>
      </c>
      <c r="B848" t="s">
        <v>244</v>
      </c>
      <c r="C848" s="1">
        <v>44976</v>
      </c>
      <c r="D848" s="1">
        <v>45631</v>
      </c>
      <c r="E848">
        <v>21</v>
      </c>
      <c r="F848">
        <v>11.99</v>
      </c>
      <c r="G848">
        <f t="shared" si="13"/>
        <v>251.79</v>
      </c>
      <c r="H848">
        <v>486</v>
      </c>
      <c r="I848" t="s">
        <v>45</v>
      </c>
      <c r="J848">
        <v>2</v>
      </c>
      <c r="K848">
        <v>6</v>
      </c>
      <c r="L848" t="b">
        <v>0</v>
      </c>
      <c r="M848">
        <v>887</v>
      </c>
      <c r="N848">
        <v>128</v>
      </c>
      <c r="O848" t="s">
        <v>27</v>
      </c>
      <c r="P848" t="s">
        <v>51</v>
      </c>
      <c r="Q848" t="s">
        <v>36</v>
      </c>
      <c r="R848">
        <v>59</v>
      </c>
      <c r="S848">
        <v>4.4000000000000004</v>
      </c>
      <c r="T848" t="b">
        <v>0</v>
      </c>
      <c r="U848" t="s">
        <v>30</v>
      </c>
      <c r="V848">
        <v>1238</v>
      </c>
      <c r="W848" t="s">
        <v>59</v>
      </c>
      <c r="X848" t="s">
        <v>32</v>
      </c>
      <c r="Y848" t="s">
        <v>55</v>
      </c>
    </row>
    <row r="849" spans="1:25" x14ac:dyDescent="0.35">
      <c r="A849">
        <v>5785</v>
      </c>
      <c r="B849" t="s">
        <v>82</v>
      </c>
      <c r="C849" s="1">
        <v>45361</v>
      </c>
      <c r="D849" s="1">
        <v>45615</v>
      </c>
      <c r="E849">
        <v>8</v>
      </c>
      <c r="F849">
        <v>7.99</v>
      </c>
      <c r="G849">
        <f t="shared" si="13"/>
        <v>63.92</v>
      </c>
      <c r="H849">
        <v>220</v>
      </c>
      <c r="I849" t="s">
        <v>26</v>
      </c>
      <c r="J849">
        <v>2</v>
      </c>
      <c r="K849">
        <v>1</v>
      </c>
      <c r="L849" t="b">
        <v>0</v>
      </c>
      <c r="M849">
        <v>998</v>
      </c>
      <c r="N849">
        <v>187</v>
      </c>
      <c r="O849" t="s">
        <v>50</v>
      </c>
      <c r="P849" t="s">
        <v>42</v>
      </c>
      <c r="Q849" t="s">
        <v>58</v>
      </c>
      <c r="R849">
        <v>17</v>
      </c>
      <c r="S849">
        <v>4.4000000000000004</v>
      </c>
      <c r="T849" t="b">
        <v>0</v>
      </c>
      <c r="U849" t="s">
        <v>30</v>
      </c>
      <c r="V849">
        <v>1786</v>
      </c>
      <c r="W849" t="s">
        <v>53</v>
      </c>
      <c r="X849" t="s">
        <v>70</v>
      </c>
      <c r="Y849" t="s">
        <v>55</v>
      </c>
    </row>
    <row r="850" spans="1:25" x14ac:dyDescent="0.35">
      <c r="A850">
        <v>4718</v>
      </c>
      <c r="B850" t="s">
        <v>96</v>
      </c>
      <c r="C850" s="1">
        <v>45190</v>
      </c>
      <c r="D850" s="1">
        <v>45621</v>
      </c>
      <c r="E850">
        <v>14</v>
      </c>
      <c r="F850">
        <v>15.99</v>
      </c>
      <c r="G850">
        <f t="shared" si="13"/>
        <v>223.86</v>
      </c>
      <c r="H850">
        <v>21</v>
      </c>
      <c r="I850" t="s">
        <v>35</v>
      </c>
      <c r="J850">
        <v>5</v>
      </c>
      <c r="K850">
        <v>1</v>
      </c>
      <c r="L850" t="b">
        <v>1</v>
      </c>
      <c r="M850">
        <v>484</v>
      </c>
      <c r="N850">
        <v>112</v>
      </c>
      <c r="O850" t="s">
        <v>50</v>
      </c>
      <c r="P850" t="s">
        <v>51</v>
      </c>
      <c r="Q850" t="s">
        <v>29</v>
      </c>
      <c r="R850">
        <v>88</v>
      </c>
      <c r="S850">
        <v>3.5</v>
      </c>
      <c r="T850" t="b">
        <v>1</v>
      </c>
      <c r="U850" t="s">
        <v>30</v>
      </c>
      <c r="V850">
        <v>1683</v>
      </c>
      <c r="W850" t="s">
        <v>67</v>
      </c>
      <c r="X850" t="s">
        <v>70</v>
      </c>
      <c r="Y850" t="s">
        <v>55</v>
      </c>
    </row>
    <row r="851" spans="1:25" x14ac:dyDescent="0.35">
      <c r="A851">
        <v>3992</v>
      </c>
      <c r="B851" t="s">
        <v>148</v>
      </c>
      <c r="C851" s="1">
        <v>45529</v>
      </c>
      <c r="D851" s="1">
        <v>45621</v>
      </c>
      <c r="E851">
        <v>3</v>
      </c>
      <c r="F851">
        <v>11.99</v>
      </c>
      <c r="G851">
        <f t="shared" si="13"/>
        <v>35.97</v>
      </c>
      <c r="H851">
        <v>417</v>
      </c>
      <c r="I851" t="s">
        <v>26</v>
      </c>
      <c r="J851">
        <v>2</v>
      </c>
      <c r="K851">
        <v>5</v>
      </c>
      <c r="L851" t="b">
        <v>1</v>
      </c>
      <c r="M851">
        <v>458</v>
      </c>
      <c r="N851">
        <v>145</v>
      </c>
      <c r="O851" t="s">
        <v>65</v>
      </c>
      <c r="P851" t="s">
        <v>42</v>
      </c>
      <c r="Q851" t="s">
        <v>52</v>
      </c>
      <c r="R851">
        <v>91</v>
      </c>
      <c r="S851">
        <v>3.3</v>
      </c>
      <c r="T851" t="b">
        <v>1</v>
      </c>
      <c r="U851" t="s">
        <v>30</v>
      </c>
      <c r="V851">
        <v>996</v>
      </c>
      <c r="W851" t="s">
        <v>59</v>
      </c>
      <c r="X851" t="s">
        <v>38</v>
      </c>
      <c r="Y851" t="s">
        <v>39</v>
      </c>
    </row>
    <row r="852" spans="1:25" x14ac:dyDescent="0.35">
      <c r="A852">
        <v>6100</v>
      </c>
      <c r="B852" t="s">
        <v>296</v>
      </c>
      <c r="C852" s="1">
        <v>45467</v>
      </c>
      <c r="D852" s="1">
        <v>45616</v>
      </c>
      <c r="E852">
        <v>4</v>
      </c>
      <c r="F852">
        <v>11.99</v>
      </c>
      <c r="G852">
        <f t="shared" si="13"/>
        <v>47.96</v>
      </c>
      <c r="H852">
        <v>191</v>
      </c>
      <c r="I852" t="s">
        <v>64</v>
      </c>
      <c r="J852">
        <v>1</v>
      </c>
      <c r="K852">
        <v>4</v>
      </c>
      <c r="L852" t="b">
        <v>0</v>
      </c>
      <c r="M852">
        <v>925</v>
      </c>
      <c r="N852">
        <v>124</v>
      </c>
      <c r="O852" t="s">
        <v>65</v>
      </c>
      <c r="P852" t="s">
        <v>66</v>
      </c>
      <c r="Q852" t="s">
        <v>29</v>
      </c>
      <c r="R852">
        <v>37</v>
      </c>
      <c r="S852">
        <v>4.0999999999999996</v>
      </c>
      <c r="T852" t="b">
        <v>0</v>
      </c>
      <c r="U852" t="s">
        <v>30</v>
      </c>
      <c r="V852">
        <v>608</v>
      </c>
      <c r="W852" t="s">
        <v>31</v>
      </c>
      <c r="X852" t="s">
        <v>54</v>
      </c>
      <c r="Y852" t="s">
        <v>39</v>
      </c>
    </row>
    <row r="853" spans="1:25" x14ac:dyDescent="0.35">
      <c r="A853">
        <v>8495</v>
      </c>
      <c r="B853" t="s">
        <v>380</v>
      </c>
      <c r="C853" s="1">
        <v>45300</v>
      </c>
      <c r="D853" s="1">
        <v>45622</v>
      </c>
      <c r="E853">
        <v>10</v>
      </c>
      <c r="F853">
        <v>7.99</v>
      </c>
      <c r="G853">
        <f t="shared" si="13"/>
        <v>79.900000000000006</v>
      </c>
      <c r="H853">
        <v>460</v>
      </c>
      <c r="I853" t="s">
        <v>64</v>
      </c>
      <c r="J853">
        <v>5</v>
      </c>
      <c r="K853">
        <v>2</v>
      </c>
      <c r="L853" t="b">
        <v>0</v>
      </c>
      <c r="M853">
        <v>559</v>
      </c>
      <c r="N853">
        <v>136</v>
      </c>
      <c r="O853" t="s">
        <v>76</v>
      </c>
      <c r="P853" t="s">
        <v>51</v>
      </c>
      <c r="Q853" t="s">
        <v>36</v>
      </c>
      <c r="R853">
        <v>58</v>
      </c>
      <c r="S853">
        <v>3.6</v>
      </c>
      <c r="T853" t="b">
        <v>0</v>
      </c>
      <c r="U853" t="s">
        <v>30</v>
      </c>
      <c r="V853">
        <v>4650</v>
      </c>
      <c r="W853" t="s">
        <v>37</v>
      </c>
      <c r="X853" t="s">
        <v>70</v>
      </c>
      <c r="Y853" t="s">
        <v>55</v>
      </c>
    </row>
    <row r="854" spans="1:25" x14ac:dyDescent="0.35">
      <c r="A854">
        <v>3083</v>
      </c>
      <c r="B854" t="s">
        <v>354</v>
      </c>
      <c r="C854" s="1">
        <v>45174</v>
      </c>
      <c r="D854" s="1">
        <v>45639</v>
      </c>
      <c r="E854">
        <v>15</v>
      </c>
      <c r="F854">
        <v>7.99</v>
      </c>
      <c r="G854">
        <f t="shared" si="13"/>
        <v>119.85000000000001</v>
      </c>
      <c r="H854">
        <v>413</v>
      </c>
      <c r="I854" t="s">
        <v>48</v>
      </c>
      <c r="J854">
        <v>5</v>
      </c>
      <c r="K854">
        <v>5</v>
      </c>
      <c r="L854" t="b">
        <v>1</v>
      </c>
      <c r="M854">
        <v>895</v>
      </c>
      <c r="N854">
        <v>3</v>
      </c>
      <c r="O854" t="s">
        <v>27</v>
      </c>
      <c r="P854" t="s">
        <v>51</v>
      </c>
      <c r="Q854" t="s">
        <v>36</v>
      </c>
      <c r="R854">
        <v>87</v>
      </c>
      <c r="S854">
        <v>3.2</v>
      </c>
      <c r="T854" t="b">
        <v>1</v>
      </c>
      <c r="U854" t="s">
        <v>30</v>
      </c>
      <c r="V854">
        <v>1340</v>
      </c>
      <c r="W854" t="s">
        <v>59</v>
      </c>
      <c r="X854" t="s">
        <v>32</v>
      </c>
      <c r="Y854" t="s">
        <v>33</v>
      </c>
    </row>
    <row r="855" spans="1:25" x14ac:dyDescent="0.35">
      <c r="A855">
        <v>9936</v>
      </c>
      <c r="B855" t="s">
        <v>106</v>
      </c>
      <c r="C855" s="1">
        <v>45057</v>
      </c>
      <c r="D855" s="1">
        <v>45643</v>
      </c>
      <c r="E855">
        <v>19</v>
      </c>
      <c r="F855">
        <v>7.99</v>
      </c>
      <c r="G855">
        <f t="shared" si="13"/>
        <v>151.81</v>
      </c>
      <c r="H855">
        <v>484</v>
      </c>
      <c r="I855" t="s">
        <v>26</v>
      </c>
      <c r="J855">
        <v>1</v>
      </c>
      <c r="K855">
        <v>6</v>
      </c>
      <c r="L855" t="b">
        <v>1</v>
      </c>
      <c r="M855">
        <v>570</v>
      </c>
      <c r="N855">
        <v>18</v>
      </c>
      <c r="O855" t="s">
        <v>65</v>
      </c>
      <c r="P855" t="s">
        <v>51</v>
      </c>
      <c r="Q855" t="s">
        <v>29</v>
      </c>
      <c r="R855">
        <v>5</v>
      </c>
      <c r="S855">
        <v>4.5999999999999996</v>
      </c>
      <c r="T855" t="b">
        <v>1</v>
      </c>
      <c r="U855" t="s">
        <v>30</v>
      </c>
      <c r="V855">
        <v>1821</v>
      </c>
      <c r="W855" t="s">
        <v>31</v>
      </c>
      <c r="X855" t="s">
        <v>38</v>
      </c>
      <c r="Y855" t="s">
        <v>55</v>
      </c>
    </row>
    <row r="856" spans="1:25" x14ac:dyDescent="0.35">
      <c r="A856">
        <v>2418</v>
      </c>
      <c r="B856" t="s">
        <v>127</v>
      </c>
      <c r="C856" s="1">
        <v>45539</v>
      </c>
      <c r="D856" s="1">
        <v>45615</v>
      </c>
      <c r="E856">
        <v>2</v>
      </c>
      <c r="F856">
        <v>15.99</v>
      </c>
      <c r="G856">
        <f t="shared" si="13"/>
        <v>31.98</v>
      </c>
      <c r="H856">
        <v>227</v>
      </c>
      <c r="I856" t="s">
        <v>81</v>
      </c>
      <c r="J856">
        <v>1</v>
      </c>
      <c r="K856">
        <v>4</v>
      </c>
      <c r="L856" t="b">
        <v>1</v>
      </c>
      <c r="M856">
        <v>187</v>
      </c>
      <c r="N856">
        <v>48</v>
      </c>
      <c r="O856" t="s">
        <v>27</v>
      </c>
      <c r="P856" t="s">
        <v>51</v>
      </c>
      <c r="Q856" t="s">
        <v>69</v>
      </c>
      <c r="R856">
        <v>6</v>
      </c>
      <c r="S856">
        <v>3.4</v>
      </c>
      <c r="T856" t="b">
        <v>1</v>
      </c>
      <c r="U856" t="s">
        <v>30</v>
      </c>
      <c r="V856">
        <v>3020</v>
      </c>
      <c r="W856" t="s">
        <v>59</v>
      </c>
      <c r="X856" t="s">
        <v>62</v>
      </c>
      <c r="Y856" t="s">
        <v>39</v>
      </c>
    </row>
    <row r="857" spans="1:25" x14ac:dyDescent="0.35">
      <c r="A857">
        <v>4089</v>
      </c>
      <c r="B857" t="s">
        <v>90</v>
      </c>
      <c r="C857" s="1">
        <v>45634</v>
      </c>
      <c r="D857" s="1">
        <v>45643</v>
      </c>
      <c r="E857">
        <v>0</v>
      </c>
      <c r="F857">
        <v>11.99</v>
      </c>
      <c r="G857">
        <f t="shared" si="13"/>
        <v>0</v>
      </c>
      <c r="H857">
        <v>313</v>
      </c>
      <c r="I857" t="s">
        <v>45</v>
      </c>
      <c r="J857">
        <v>5</v>
      </c>
      <c r="K857">
        <v>6</v>
      </c>
      <c r="L857" t="b">
        <v>1</v>
      </c>
      <c r="M857">
        <v>900</v>
      </c>
      <c r="N857">
        <v>135</v>
      </c>
      <c r="O857" t="s">
        <v>41</v>
      </c>
      <c r="P857" t="s">
        <v>42</v>
      </c>
      <c r="Q857" t="s">
        <v>69</v>
      </c>
      <c r="R857">
        <v>87</v>
      </c>
      <c r="S857">
        <v>4.8</v>
      </c>
      <c r="T857" t="b">
        <v>0</v>
      </c>
      <c r="U857" t="s">
        <v>30</v>
      </c>
      <c r="V857">
        <v>1243</v>
      </c>
      <c r="W857" t="s">
        <v>31</v>
      </c>
      <c r="X857" t="s">
        <v>70</v>
      </c>
      <c r="Y857" t="s">
        <v>77</v>
      </c>
    </row>
    <row r="858" spans="1:25" x14ac:dyDescent="0.35">
      <c r="A858">
        <v>8876</v>
      </c>
      <c r="B858" t="s">
        <v>381</v>
      </c>
      <c r="C858" s="1">
        <v>45033</v>
      </c>
      <c r="D858" s="1">
        <v>45619</v>
      </c>
      <c r="E858">
        <v>19</v>
      </c>
      <c r="F858">
        <v>11.99</v>
      </c>
      <c r="G858">
        <f t="shared" si="13"/>
        <v>227.81</v>
      </c>
      <c r="H858">
        <v>491</v>
      </c>
      <c r="I858" t="s">
        <v>57</v>
      </c>
      <c r="J858">
        <v>2</v>
      </c>
      <c r="K858">
        <v>3</v>
      </c>
      <c r="L858" t="b">
        <v>1</v>
      </c>
      <c r="M858">
        <v>194</v>
      </c>
      <c r="N858">
        <v>187</v>
      </c>
      <c r="O858" t="s">
        <v>50</v>
      </c>
      <c r="P858" t="s">
        <v>28</v>
      </c>
      <c r="Q858" t="s">
        <v>69</v>
      </c>
      <c r="R858">
        <v>44</v>
      </c>
      <c r="S858">
        <v>4.4000000000000004</v>
      </c>
      <c r="T858" t="b">
        <v>1</v>
      </c>
      <c r="U858" t="s">
        <v>30</v>
      </c>
      <c r="V858">
        <v>540</v>
      </c>
      <c r="W858" t="s">
        <v>31</v>
      </c>
      <c r="X858" t="s">
        <v>38</v>
      </c>
      <c r="Y858" t="s">
        <v>77</v>
      </c>
    </row>
    <row r="859" spans="1:25" x14ac:dyDescent="0.35">
      <c r="A859">
        <v>3959</v>
      </c>
      <c r="B859" t="s">
        <v>231</v>
      </c>
      <c r="C859" s="1">
        <v>45286</v>
      </c>
      <c r="D859" s="1">
        <v>45642</v>
      </c>
      <c r="E859">
        <v>11</v>
      </c>
      <c r="F859">
        <v>15.99</v>
      </c>
      <c r="G859">
        <f t="shared" si="13"/>
        <v>175.89000000000001</v>
      </c>
      <c r="H859">
        <v>50</v>
      </c>
      <c r="I859" t="s">
        <v>45</v>
      </c>
      <c r="J859">
        <v>4</v>
      </c>
      <c r="K859">
        <v>2</v>
      </c>
      <c r="L859" t="b">
        <v>1</v>
      </c>
      <c r="M859">
        <v>155</v>
      </c>
      <c r="N859">
        <v>115</v>
      </c>
      <c r="O859" t="s">
        <v>27</v>
      </c>
      <c r="P859" t="s">
        <v>42</v>
      </c>
      <c r="Q859" t="s">
        <v>36</v>
      </c>
      <c r="R859">
        <v>92</v>
      </c>
      <c r="S859">
        <v>4.3</v>
      </c>
      <c r="T859" t="b">
        <v>0</v>
      </c>
      <c r="U859" t="s">
        <v>30</v>
      </c>
      <c r="V859">
        <v>2583</v>
      </c>
      <c r="W859" t="s">
        <v>37</v>
      </c>
      <c r="X859" t="s">
        <v>62</v>
      </c>
      <c r="Y859" t="s">
        <v>77</v>
      </c>
    </row>
    <row r="860" spans="1:25" x14ac:dyDescent="0.35">
      <c r="A860">
        <v>2011</v>
      </c>
      <c r="B860" t="s">
        <v>382</v>
      </c>
      <c r="C860" s="1">
        <v>45060</v>
      </c>
      <c r="D860" s="1">
        <v>45630</v>
      </c>
      <c r="E860">
        <v>18</v>
      </c>
      <c r="F860">
        <v>7.99</v>
      </c>
      <c r="G860">
        <f t="shared" si="13"/>
        <v>143.82</v>
      </c>
      <c r="H860">
        <v>73</v>
      </c>
      <c r="I860" t="s">
        <v>81</v>
      </c>
      <c r="J860">
        <v>2</v>
      </c>
      <c r="K860">
        <v>1</v>
      </c>
      <c r="L860" t="b">
        <v>1</v>
      </c>
      <c r="M860">
        <v>184</v>
      </c>
      <c r="N860">
        <v>172</v>
      </c>
      <c r="O860" t="s">
        <v>50</v>
      </c>
      <c r="P860" t="s">
        <v>66</v>
      </c>
      <c r="Q860" t="s">
        <v>58</v>
      </c>
      <c r="R860">
        <v>41</v>
      </c>
      <c r="S860">
        <v>4.8</v>
      </c>
      <c r="T860" t="b">
        <v>0</v>
      </c>
      <c r="U860" t="s">
        <v>30</v>
      </c>
      <c r="V860">
        <v>3463</v>
      </c>
      <c r="W860" t="s">
        <v>31</v>
      </c>
      <c r="X860" t="s">
        <v>32</v>
      </c>
      <c r="Y860" t="s">
        <v>55</v>
      </c>
    </row>
    <row r="861" spans="1:25" x14ac:dyDescent="0.35">
      <c r="A861">
        <v>7896</v>
      </c>
      <c r="B861" t="s">
        <v>111</v>
      </c>
      <c r="C861" s="1">
        <v>45462</v>
      </c>
      <c r="D861" s="1">
        <v>45625</v>
      </c>
      <c r="E861">
        <v>5</v>
      </c>
      <c r="F861">
        <v>11.99</v>
      </c>
      <c r="G861">
        <f t="shared" si="13"/>
        <v>59.95</v>
      </c>
      <c r="H861">
        <v>139</v>
      </c>
      <c r="I861" t="s">
        <v>45</v>
      </c>
      <c r="J861">
        <v>4</v>
      </c>
      <c r="K861">
        <v>5</v>
      </c>
      <c r="L861" t="b">
        <v>1</v>
      </c>
      <c r="M861">
        <v>539</v>
      </c>
      <c r="N861">
        <v>152</v>
      </c>
      <c r="O861" t="s">
        <v>41</v>
      </c>
      <c r="P861" t="s">
        <v>42</v>
      </c>
      <c r="Q861" t="s">
        <v>36</v>
      </c>
      <c r="R861">
        <v>48</v>
      </c>
      <c r="S861">
        <v>3.8</v>
      </c>
      <c r="T861" t="b">
        <v>1</v>
      </c>
      <c r="U861" t="s">
        <v>30</v>
      </c>
      <c r="V861">
        <v>4130</v>
      </c>
      <c r="W861" t="s">
        <v>37</v>
      </c>
      <c r="X861" t="s">
        <v>32</v>
      </c>
      <c r="Y861" t="s">
        <v>77</v>
      </c>
    </row>
    <row r="862" spans="1:25" x14ac:dyDescent="0.35">
      <c r="A862">
        <v>5495</v>
      </c>
      <c r="B862" t="s">
        <v>383</v>
      </c>
      <c r="C862" s="1">
        <v>45308</v>
      </c>
      <c r="D862" s="1">
        <v>45625</v>
      </c>
      <c r="E862">
        <v>10</v>
      </c>
      <c r="F862">
        <v>11.99</v>
      </c>
      <c r="G862">
        <f t="shared" si="13"/>
        <v>119.9</v>
      </c>
      <c r="H862">
        <v>327</v>
      </c>
      <c r="I862" t="s">
        <v>48</v>
      </c>
      <c r="J862">
        <v>2</v>
      </c>
      <c r="K862">
        <v>6</v>
      </c>
      <c r="L862" t="b">
        <v>1</v>
      </c>
      <c r="M862">
        <v>182</v>
      </c>
      <c r="N862">
        <v>14</v>
      </c>
      <c r="O862" t="s">
        <v>27</v>
      </c>
      <c r="P862" t="s">
        <v>42</v>
      </c>
      <c r="Q862" t="s">
        <v>69</v>
      </c>
      <c r="R862">
        <v>90</v>
      </c>
      <c r="S862">
        <v>3.4</v>
      </c>
      <c r="T862" t="b">
        <v>0</v>
      </c>
      <c r="U862" t="s">
        <v>30</v>
      </c>
      <c r="V862">
        <v>3918</v>
      </c>
      <c r="W862" t="s">
        <v>59</v>
      </c>
      <c r="X862" t="s">
        <v>54</v>
      </c>
      <c r="Y862" t="s">
        <v>33</v>
      </c>
    </row>
    <row r="863" spans="1:25" x14ac:dyDescent="0.35">
      <c r="A863">
        <v>6219</v>
      </c>
      <c r="B863" t="s">
        <v>202</v>
      </c>
      <c r="C863" s="1">
        <v>45495</v>
      </c>
      <c r="D863" s="1">
        <v>45642</v>
      </c>
      <c r="E863">
        <v>4</v>
      </c>
      <c r="F863">
        <v>11.99</v>
      </c>
      <c r="G863">
        <f t="shared" si="13"/>
        <v>47.96</v>
      </c>
      <c r="H863">
        <v>206</v>
      </c>
      <c r="I863" t="s">
        <v>35</v>
      </c>
      <c r="J863">
        <v>4</v>
      </c>
      <c r="K863">
        <v>1</v>
      </c>
      <c r="L863" t="b">
        <v>0</v>
      </c>
      <c r="M863">
        <v>981</v>
      </c>
      <c r="N863">
        <v>60</v>
      </c>
      <c r="O863" t="s">
        <v>46</v>
      </c>
      <c r="P863" t="s">
        <v>28</v>
      </c>
      <c r="Q863" t="s">
        <v>58</v>
      </c>
      <c r="R863">
        <v>41</v>
      </c>
      <c r="S863">
        <v>4.4000000000000004</v>
      </c>
      <c r="T863" t="b">
        <v>1</v>
      </c>
      <c r="U863" t="s">
        <v>30</v>
      </c>
      <c r="V863">
        <v>4264</v>
      </c>
      <c r="W863" t="s">
        <v>37</v>
      </c>
      <c r="X863" t="s">
        <v>38</v>
      </c>
      <c r="Y863" t="s">
        <v>33</v>
      </c>
    </row>
    <row r="864" spans="1:25" x14ac:dyDescent="0.35">
      <c r="A864">
        <v>4458</v>
      </c>
      <c r="B864" t="s">
        <v>384</v>
      </c>
      <c r="C864" s="1">
        <v>45225</v>
      </c>
      <c r="D864" s="1">
        <v>45616</v>
      </c>
      <c r="E864">
        <v>12</v>
      </c>
      <c r="F864">
        <v>15.99</v>
      </c>
      <c r="G864">
        <f t="shared" si="13"/>
        <v>191.88</v>
      </c>
      <c r="H864">
        <v>23</v>
      </c>
      <c r="I864" t="s">
        <v>45</v>
      </c>
      <c r="J864">
        <v>3</v>
      </c>
      <c r="K864">
        <v>3</v>
      </c>
      <c r="L864" t="b">
        <v>1</v>
      </c>
      <c r="M864">
        <v>489</v>
      </c>
      <c r="N864">
        <v>7</v>
      </c>
      <c r="O864" t="s">
        <v>50</v>
      </c>
      <c r="P864" t="s">
        <v>42</v>
      </c>
      <c r="Q864" t="s">
        <v>43</v>
      </c>
      <c r="R864">
        <v>54</v>
      </c>
      <c r="S864">
        <v>4.5</v>
      </c>
      <c r="T864" t="b">
        <v>1</v>
      </c>
      <c r="U864" t="s">
        <v>30</v>
      </c>
      <c r="V864">
        <v>1485</v>
      </c>
      <c r="W864" t="s">
        <v>67</v>
      </c>
      <c r="X864" t="s">
        <v>54</v>
      </c>
      <c r="Y864" t="s">
        <v>39</v>
      </c>
    </row>
    <row r="865" spans="1:25" x14ac:dyDescent="0.35">
      <c r="A865">
        <v>4115</v>
      </c>
      <c r="B865" t="s">
        <v>385</v>
      </c>
      <c r="C865" s="1">
        <v>45620</v>
      </c>
      <c r="D865" s="1">
        <v>45620</v>
      </c>
      <c r="E865">
        <v>0</v>
      </c>
      <c r="F865">
        <v>15.99</v>
      </c>
      <c r="G865">
        <f t="shared" si="13"/>
        <v>0</v>
      </c>
      <c r="H865">
        <v>158</v>
      </c>
      <c r="I865" t="s">
        <v>64</v>
      </c>
      <c r="J865">
        <v>1</v>
      </c>
      <c r="K865">
        <v>5</v>
      </c>
      <c r="L865" t="b">
        <v>1</v>
      </c>
      <c r="M865">
        <v>603</v>
      </c>
      <c r="N865">
        <v>72</v>
      </c>
      <c r="O865" t="s">
        <v>50</v>
      </c>
      <c r="P865" t="s">
        <v>51</v>
      </c>
      <c r="Q865" t="s">
        <v>29</v>
      </c>
      <c r="R865">
        <v>88</v>
      </c>
      <c r="S865">
        <v>3.3</v>
      </c>
      <c r="T865" t="b">
        <v>0</v>
      </c>
      <c r="U865" t="s">
        <v>30</v>
      </c>
      <c r="V865">
        <v>3508</v>
      </c>
      <c r="W865" t="s">
        <v>53</v>
      </c>
      <c r="X865" t="s">
        <v>70</v>
      </c>
      <c r="Y865" t="s">
        <v>77</v>
      </c>
    </row>
    <row r="866" spans="1:25" x14ac:dyDescent="0.35">
      <c r="A866">
        <v>6586</v>
      </c>
      <c r="B866" t="s">
        <v>374</v>
      </c>
      <c r="C866" s="1">
        <v>44952</v>
      </c>
      <c r="D866" s="1">
        <v>45641</v>
      </c>
      <c r="E866">
        <v>22</v>
      </c>
      <c r="F866">
        <v>15.99</v>
      </c>
      <c r="G866">
        <f t="shared" si="13"/>
        <v>351.78000000000003</v>
      </c>
      <c r="H866">
        <v>459</v>
      </c>
      <c r="I866" t="s">
        <v>64</v>
      </c>
      <c r="J866">
        <v>2</v>
      </c>
      <c r="K866">
        <v>1</v>
      </c>
      <c r="L866" t="b">
        <v>0</v>
      </c>
      <c r="M866">
        <v>445</v>
      </c>
      <c r="N866">
        <v>153</v>
      </c>
      <c r="O866" t="s">
        <v>76</v>
      </c>
      <c r="P866" t="s">
        <v>28</v>
      </c>
      <c r="Q866" t="s">
        <v>29</v>
      </c>
      <c r="R866">
        <v>13</v>
      </c>
      <c r="S866">
        <v>4.2</v>
      </c>
      <c r="T866" t="b">
        <v>0</v>
      </c>
      <c r="U866" t="s">
        <v>30</v>
      </c>
      <c r="V866">
        <v>3433</v>
      </c>
      <c r="W866" t="s">
        <v>37</v>
      </c>
      <c r="X866" t="s">
        <v>62</v>
      </c>
      <c r="Y866" t="s">
        <v>39</v>
      </c>
    </row>
    <row r="867" spans="1:25" x14ac:dyDescent="0.35">
      <c r="A867">
        <v>3985</v>
      </c>
      <c r="B867" t="s">
        <v>189</v>
      </c>
      <c r="C867" s="1">
        <v>45455</v>
      </c>
      <c r="D867" s="1">
        <v>45638</v>
      </c>
      <c r="E867">
        <v>6</v>
      </c>
      <c r="F867">
        <v>15.99</v>
      </c>
      <c r="G867">
        <f t="shared" si="13"/>
        <v>95.94</v>
      </c>
      <c r="H867">
        <v>30</v>
      </c>
      <c r="I867" t="s">
        <v>48</v>
      </c>
      <c r="J867">
        <v>4</v>
      </c>
      <c r="K867">
        <v>6</v>
      </c>
      <c r="L867" t="b">
        <v>0</v>
      </c>
      <c r="M867">
        <v>233</v>
      </c>
      <c r="N867">
        <v>10</v>
      </c>
      <c r="O867" t="s">
        <v>65</v>
      </c>
      <c r="P867" t="s">
        <v>66</v>
      </c>
      <c r="Q867" t="s">
        <v>52</v>
      </c>
      <c r="R867">
        <v>71</v>
      </c>
      <c r="S867">
        <v>4.5999999999999996</v>
      </c>
      <c r="T867" t="b">
        <v>0</v>
      </c>
      <c r="U867" t="s">
        <v>30</v>
      </c>
      <c r="V867">
        <v>3610</v>
      </c>
      <c r="W867" t="s">
        <v>31</v>
      </c>
      <c r="X867" t="s">
        <v>62</v>
      </c>
      <c r="Y867" t="s">
        <v>33</v>
      </c>
    </row>
    <row r="868" spans="1:25" x14ac:dyDescent="0.35">
      <c r="A868">
        <v>8501</v>
      </c>
      <c r="B868" t="s">
        <v>84</v>
      </c>
      <c r="C868" s="1">
        <v>45390</v>
      </c>
      <c r="D868" s="1">
        <v>45615</v>
      </c>
      <c r="E868">
        <v>7</v>
      </c>
      <c r="F868">
        <v>11.99</v>
      </c>
      <c r="G868">
        <f t="shared" si="13"/>
        <v>83.93</v>
      </c>
      <c r="H868">
        <v>42</v>
      </c>
      <c r="I868" t="s">
        <v>48</v>
      </c>
      <c r="J868">
        <v>5</v>
      </c>
      <c r="K868">
        <v>2</v>
      </c>
      <c r="L868" t="b">
        <v>1</v>
      </c>
      <c r="M868">
        <v>464</v>
      </c>
      <c r="N868">
        <v>171</v>
      </c>
      <c r="O868" t="s">
        <v>27</v>
      </c>
      <c r="P868" t="s">
        <v>66</v>
      </c>
      <c r="Q868" t="s">
        <v>58</v>
      </c>
      <c r="R868">
        <v>88</v>
      </c>
      <c r="S868">
        <v>4.5999999999999996</v>
      </c>
      <c r="T868" t="b">
        <v>1</v>
      </c>
      <c r="U868" t="s">
        <v>30</v>
      </c>
      <c r="V868">
        <v>3307</v>
      </c>
      <c r="W868" t="s">
        <v>53</v>
      </c>
      <c r="X868" t="s">
        <v>54</v>
      </c>
      <c r="Y868" t="s">
        <v>55</v>
      </c>
    </row>
    <row r="869" spans="1:25" x14ac:dyDescent="0.35">
      <c r="A869">
        <v>4048</v>
      </c>
      <c r="B869" t="s">
        <v>127</v>
      </c>
      <c r="C869" s="1">
        <v>45445</v>
      </c>
      <c r="D869" s="1">
        <v>45643</v>
      </c>
      <c r="E869">
        <v>6</v>
      </c>
      <c r="F869">
        <v>11.99</v>
      </c>
      <c r="G869">
        <f t="shared" si="13"/>
        <v>71.94</v>
      </c>
      <c r="H869">
        <v>242</v>
      </c>
      <c r="I869" t="s">
        <v>57</v>
      </c>
      <c r="J869">
        <v>3</v>
      </c>
      <c r="K869">
        <v>1</v>
      </c>
      <c r="L869" t="b">
        <v>0</v>
      </c>
      <c r="M869">
        <v>273</v>
      </c>
      <c r="N869">
        <v>96</v>
      </c>
      <c r="O869" t="s">
        <v>65</v>
      </c>
      <c r="P869" t="s">
        <v>51</v>
      </c>
      <c r="Q869" t="s">
        <v>69</v>
      </c>
      <c r="R869">
        <v>34</v>
      </c>
      <c r="S869">
        <v>4.9000000000000004</v>
      </c>
      <c r="T869" t="b">
        <v>1</v>
      </c>
      <c r="U869" t="s">
        <v>30</v>
      </c>
      <c r="V869">
        <v>868</v>
      </c>
      <c r="W869" t="s">
        <v>53</v>
      </c>
      <c r="X869" t="s">
        <v>54</v>
      </c>
      <c r="Y869" t="s">
        <v>55</v>
      </c>
    </row>
    <row r="870" spans="1:25" x14ac:dyDescent="0.35">
      <c r="A870">
        <v>4466</v>
      </c>
      <c r="B870" t="s">
        <v>101</v>
      </c>
      <c r="C870" s="1">
        <v>45571</v>
      </c>
      <c r="D870" s="1">
        <v>45623</v>
      </c>
      <c r="E870">
        <v>1</v>
      </c>
      <c r="F870">
        <v>11.99</v>
      </c>
      <c r="G870">
        <f t="shared" si="13"/>
        <v>11.99</v>
      </c>
      <c r="H870">
        <v>25</v>
      </c>
      <c r="I870" t="s">
        <v>35</v>
      </c>
      <c r="J870">
        <v>5</v>
      </c>
      <c r="K870">
        <v>2</v>
      </c>
      <c r="L870" t="b">
        <v>0</v>
      </c>
      <c r="M870">
        <v>162</v>
      </c>
      <c r="N870">
        <v>147</v>
      </c>
      <c r="O870" t="s">
        <v>65</v>
      </c>
      <c r="P870" t="s">
        <v>42</v>
      </c>
      <c r="Q870" t="s">
        <v>58</v>
      </c>
      <c r="R870">
        <v>82</v>
      </c>
      <c r="S870">
        <v>4.3</v>
      </c>
      <c r="T870" t="b">
        <v>0</v>
      </c>
      <c r="U870" t="s">
        <v>30</v>
      </c>
      <c r="V870">
        <v>4358</v>
      </c>
      <c r="W870" t="s">
        <v>53</v>
      </c>
      <c r="X870" t="s">
        <v>38</v>
      </c>
      <c r="Y870" t="s">
        <v>33</v>
      </c>
    </row>
    <row r="871" spans="1:25" x14ac:dyDescent="0.35">
      <c r="A871">
        <v>5479</v>
      </c>
      <c r="B871" t="s">
        <v>123</v>
      </c>
      <c r="C871" s="1">
        <v>44989</v>
      </c>
      <c r="D871" s="1">
        <v>45634</v>
      </c>
      <c r="E871">
        <v>21</v>
      </c>
      <c r="F871">
        <v>7.99</v>
      </c>
      <c r="G871">
        <f t="shared" si="13"/>
        <v>167.79</v>
      </c>
      <c r="H871">
        <v>140</v>
      </c>
      <c r="I871" t="s">
        <v>81</v>
      </c>
      <c r="J871">
        <v>4</v>
      </c>
      <c r="K871">
        <v>4</v>
      </c>
      <c r="L871" t="b">
        <v>0</v>
      </c>
      <c r="M871">
        <v>218</v>
      </c>
      <c r="N871">
        <v>5</v>
      </c>
      <c r="O871" t="s">
        <v>50</v>
      </c>
      <c r="P871" t="s">
        <v>28</v>
      </c>
      <c r="Q871" t="s">
        <v>69</v>
      </c>
      <c r="R871">
        <v>86</v>
      </c>
      <c r="S871">
        <v>3.6</v>
      </c>
      <c r="T871" t="b">
        <v>0</v>
      </c>
      <c r="U871" t="s">
        <v>30</v>
      </c>
      <c r="V871">
        <v>4552</v>
      </c>
      <c r="W871" t="s">
        <v>37</v>
      </c>
      <c r="X871" t="s">
        <v>70</v>
      </c>
      <c r="Y871" t="s">
        <v>33</v>
      </c>
    </row>
    <row r="872" spans="1:25" x14ac:dyDescent="0.35">
      <c r="A872">
        <v>2480</v>
      </c>
      <c r="B872" t="s">
        <v>343</v>
      </c>
      <c r="C872" s="1">
        <v>45164</v>
      </c>
      <c r="D872" s="1">
        <v>45643</v>
      </c>
      <c r="E872">
        <v>15</v>
      </c>
      <c r="F872">
        <v>15.99</v>
      </c>
      <c r="G872">
        <f t="shared" si="13"/>
        <v>239.85</v>
      </c>
      <c r="H872">
        <v>192</v>
      </c>
      <c r="I872" t="s">
        <v>64</v>
      </c>
      <c r="J872">
        <v>5</v>
      </c>
      <c r="K872">
        <v>3</v>
      </c>
      <c r="L872" t="b">
        <v>0</v>
      </c>
      <c r="M872">
        <v>39</v>
      </c>
      <c r="N872">
        <v>18</v>
      </c>
      <c r="O872" t="s">
        <v>46</v>
      </c>
      <c r="P872" t="s">
        <v>66</v>
      </c>
      <c r="Q872" t="s">
        <v>36</v>
      </c>
      <c r="R872">
        <v>75</v>
      </c>
      <c r="S872">
        <v>3.3</v>
      </c>
      <c r="T872" t="b">
        <v>1</v>
      </c>
      <c r="U872" t="s">
        <v>30</v>
      </c>
      <c r="V872">
        <v>3003</v>
      </c>
      <c r="W872" t="s">
        <v>37</v>
      </c>
      <c r="X872" t="s">
        <v>54</v>
      </c>
      <c r="Y872" t="s">
        <v>55</v>
      </c>
    </row>
    <row r="873" spans="1:25" x14ac:dyDescent="0.35">
      <c r="A873">
        <v>6288</v>
      </c>
      <c r="B873" t="s">
        <v>177</v>
      </c>
      <c r="C873" s="1">
        <v>45384</v>
      </c>
      <c r="D873" s="1">
        <v>45637</v>
      </c>
      <c r="E873">
        <v>8</v>
      </c>
      <c r="F873">
        <v>15.99</v>
      </c>
      <c r="G873">
        <f t="shared" si="13"/>
        <v>127.92</v>
      </c>
      <c r="H873">
        <v>267</v>
      </c>
      <c r="I873" t="s">
        <v>81</v>
      </c>
      <c r="J873">
        <v>1</v>
      </c>
      <c r="K873">
        <v>2</v>
      </c>
      <c r="L873" t="b">
        <v>0</v>
      </c>
      <c r="M873">
        <v>107</v>
      </c>
      <c r="N873">
        <v>140</v>
      </c>
      <c r="O873" t="s">
        <v>61</v>
      </c>
      <c r="P873" t="s">
        <v>28</v>
      </c>
      <c r="Q873" t="s">
        <v>69</v>
      </c>
      <c r="R873">
        <v>7</v>
      </c>
      <c r="S873">
        <v>4.8</v>
      </c>
      <c r="T873" t="b">
        <v>0</v>
      </c>
      <c r="U873" t="s">
        <v>30</v>
      </c>
      <c r="V873">
        <v>783</v>
      </c>
      <c r="W873" t="s">
        <v>53</v>
      </c>
      <c r="X873" t="s">
        <v>38</v>
      </c>
      <c r="Y873" t="s">
        <v>39</v>
      </c>
    </row>
    <row r="874" spans="1:25" x14ac:dyDescent="0.35">
      <c r="A874">
        <v>9973</v>
      </c>
      <c r="B874" t="s">
        <v>148</v>
      </c>
      <c r="C874" s="1">
        <v>45030</v>
      </c>
      <c r="D874" s="1">
        <v>45641</v>
      </c>
      <c r="E874">
        <v>20</v>
      </c>
      <c r="F874">
        <v>11.99</v>
      </c>
      <c r="G874">
        <f t="shared" si="13"/>
        <v>239.8</v>
      </c>
      <c r="H874">
        <v>410</v>
      </c>
      <c r="I874" t="s">
        <v>81</v>
      </c>
      <c r="J874">
        <v>4</v>
      </c>
      <c r="K874">
        <v>4</v>
      </c>
      <c r="L874" t="b">
        <v>0</v>
      </c>
      <c r="M874">
        <v>513</v>
      </c>
      <c r="N874">
        <v>52</v>
      </c>
      <c r="O874" t="s">
        <v>41</v>
      </c>
      <c r="P874" t="s">
        <v>42</v>
      </c>
      <c r="Q874" t="s">
        <v>69</v>
      </c>
      <c r="R874">
        <v>19</v>
      </c>
      <c r="S874">
        <v>4.7</v>
      </c>
      <c r="T874" t="b">
        <v>0</v>
      </c>
      <c r="U874" t="s">
        <v>30</v>
      </c>
      <c r="V874">
        <v>3578</v>
      </c>
      <c r="W874" t="s">
        <v>53</v>
      </c>
      <c r="X874" t="s">
        <v>38</v>
      </c>
      <c r="Y874" t="s">
        <v>33</v>
      </c>
    </row>
    <row r="875" spans="1:25" x14ac:dyDescent="0.35">
      <c r="A875">
        <v>6078</v>
      </c>
      <c r="B875" t="s">
        <v>337</v>
      </c>
      <c r="C875" s="1">
        <v>45558</v>
      </c>
      <c r="D875" s="1">
        <v>45641</v>
      </c>
      <c r="E875">
        <v>2</v>
      </c>
      <c r="F875">
        <v>7.99</v>
      </c>
      <c r="G875">
        <f t="shared" si="13"/>
        <v>15.98</v>
      </c>
      <c r="H875">
        <v>281</v>
      </c>
      <c r="I875" t="s">
        <v>64</v>
      </c>
      <c r="J875">
        <v>4</v>
      </c>
      <c r="K875">
        <v>5</v>
      </c>
      <c r="L875" t="b">
        <v>0</v>
      </c>
      <c r="M875">
        <v>905</v>
      </c>
      <c r="N875">
        <v>128</v>
      </c>
      <c r="O875" t="s">
        <v>65</v>
      </c>
      <c r="P875" t="s">
        <v>66</v>
      </c>
      <c r="Q875" t="s">
        <v>36</v>
      </c>
      <c r="R875">
        <v>70</v>
      </c>
      <c r="S875">
        <v>4.3</v>
      </c>
      <c r="T875" t="b">
        <v>0</v>
      </c>
      <c r="U875" t="s">
        <v>30</v>
      </c>
      <c r="V875">
        <v>1952</v>
      </c>
      <c r="W875" t="s">
        <v>59</v>
      </c>
      <c r="X875" t="s">
        <v>54</v>
      </c>
      <c r="Y875" t="s">
        <v>39</v>
      </c>
    </row>
    <row r="876" spans="1:25" x14ac:dyDescent="0.35">
      <c r="A876">
        <v>5362</v>
      </c>
      <c r="B876" t="s">
        <v>209</v>
      </c>
      <c r="C876" s="1">
        <v>45358</v>
      </c>
      <c r="D876" s="1">
        <v>45623</v>
      </c>
      <c r="E876">
        <v>8</v>
      </c>
      <c r="F876">
        <v>15.99</v>
      </c>
      <c r="G876">
        <f t="shared" si="13"/>
        <v>127.92</v>
      </c>
      <c r="H876">
        <v>478</v>
      </c>
      <c r="I876" t="s">
        <v>64</v>
      </c>
      <c r="J876">
        <v>4</v>
      </c>
      <c r="K876">
        <v>3</v>
      </c>
      <c r="L876" t="b">
        <v>1</v>
      </c>
      <c r="M876">
        <v>551</v>
      </c>
      <c r="N876">
        <v>96</v>
      </c>
      <c r="O876" t="s">
        <v>46</v>
      </c>
      <c r="P876" t="s">
        <v>66</v>
      </c>
      <c r="Q876" t="s">
        <v>52</v>
      </c>
      <c r="R876">
        <v>65</v>
      </c>
      <c r="S876">
        <v>4.5999999999999996</v>
      </c>
      <c r="T876" t="b">
        <v>1</v>
      </c>
      <c r="U876" t="s">
        <v>30</v>
      </c>
      <c r="V876">
        <v>860</v>
      </c>
      <c r="W876" t="s">
        <v>59</v>
      </c>
      <c r="X876" t="s">
        <v>70</v>
      </c>
      <c r="Y876" t="s">
        <v>55</v>
      </c>
    </row>
    <row r="877" spans="1:25" x14ac:dyDescent="0.35">
      <c r="A877">
        <v>1687</v>
      </c>
      <c r="B877" t="s">
        <v>94</v>
      </c>
      <c r="C877" s="1">
        <v>45401</v>
      </c>
      <c r="D877" s="1">
        <v>45620</v>
      </c>
      <c r="E877">
        <v>7</v>
      </c>
      <c r="F877">
        <v>7.99</v>
      </c>
      <c r="G877">
        <f t="shared" si="13"/>
        <v>55.93</v>
      </c>
      <c r="H877">
        <v>44</v>
      </c>
      <c r="I877" t="s">
        <v>26</v>
      </c>
      <c r="J877">
        <v>4</v>
      </c>
      <c r="K877">
        <v>5</v>
      </c>
      <c r="L877" t="b">
        <v>1</v>
      </c>
      <c r="M877">
        <v>190</v>
      </c>
      <c r="N877">
        <v>193</v>
      </c>
      <c r="O877" t="s">
        <v>76</v>
      </c>
      <c r="P877" t="s">
        <v>28</v>
      </c>
      <c r="Q877" t="s">
        <v>29</v>
      </c>
      <c r="R877">
        <v>13</v>
      </c>
      <c r="S877">
        <v>3.1</v>
      </c>
      <c r="T877" t="b">
        <v>0</v>
      </c>
      <c r="U877" t="s">
        <v>30</v>
      </c>
      <c r="V877">
        <v>3</v>
      </c>
      <c r="W877" t="s">
        <v>59</v>
      </c>
      <c r="X877" t="s">
        <v>54</v>
      </c>
      <c r="Y877" t="s">
        <v>33</v>
      </c>
    </row>
    <row r="878" spans="1:25" x14ac:dyDescent="0.35">
      <c r="A878">
        <v>8986</v>
      </c>
      <c r="B878" t="s">
        <v>251</v>
      </c>
      <c r="C878" s="1">
        <v>45627</v>
      </c>
      <c r="D878" s="1">
        <v>45642</v>
      </c>
      <c r="E878">
        <v>0</v>
      </c>
      <c r="F878">
        <v>15.99</v>
      </c>
      <c r="G878">
        <f t="shared" si="13"/>
        <v>0</v>
      </c>
      <c r="H878">
        <v>250</v>
      </c>
      <c r="I878" t="s">
        <v>26</v>
      </c>
      <c r="J878">
        <v>1</v>
      </c>
      <c r="K878">
        <v>2</v>
      </c>
      <c r="L878" t="b">
        <v>1</v>
      </c>
      <c r="M878">
        <v>69</v>
      </c>
      <c r="N878">
        <v>35</v>
      </c>
      <c r="O878" t="s">
        <v>41</v>
      </c>
      <c r="P878" t="s">
        <v>51</v>
      </c>
      <c r="Q878" t="s">
        <v>36</v>
      </c>
      <c r="R878">
        <v>13</v>
      </c>
      <c r="S878">
        <v>3.3</v>
      </c>
      <c r="T878" t="b">
        <v>1</v>
      </c>
      <c r="U878" t="s">
        <v>30</v>
      </c>
      <c r="V878">
        <v>1836</v>
      </c>
      <c r="W878" t="s">
        <v>53</v>
      </c>
      <c r="X878" t="s">
        <v>38</v>
      </c>
      <c r="Y878" t="s">
        <v>39</v>
      </c>
    </row>
    <row r="879" spans="1:25" x14ac:dyDescent="0.35">
      <c r="A879">
        <v>5994</v>
      </c>
      <c r="B879" t="s">
        <v>281</v>
      </c>
      <c r="C879" s="1">
        <v>45220</v>
      </c>
      <c r="D879" s="1">
        <v>45630</v>
      </c>
      <c r="E879">
        <v>13</v>
      </c>
      <c r="F879">
        <v>7.99</v>
      </c>
      <c r="G879">
        <f t="shared" si="13"/>
        <v>103.87</v>
      </c>
      <c r="H879">
        <v>225</v>
      </c>
      <c r="I879" t="s">
        <v>35</v>
      </c>
      <c r="J879">
        <v>5</v>
      </c>
      <c r="K879">
        <v>5</v>
      </c>
      <c r="L879" t="b">
        <v>0</v>
      </c>
      <c r="M879">
        <v>274</v>
      </c>
      <c r="N879">
        <v>83</v>
      </c>
      <c r="O879" t="s">
        <v>46</v>
      </c>
      <c r="P879" t="s">
        <v>51</v>
      </c>
      <c r="Q879" t="s">
        <v>36</v>
      </c>
      <c r="R879">
        <v>45</v>
      </c>
      <c r="S879">
        <v>3.9</v>
      </c>
      <c r="T879" t="b">
        <v>0</v>
      </c>
      <c r="U879" t="s">
        <v>30</v>
      </c>
      <c r="V879">
        <v>808</v>
      </c>
      <c r="W879" t="s">
        <v>31</v>
      </c>
      <c r="X879" t="s">
        <v>32</v>
      </c>
      <c r="Y879" t="s">
        <v>77</v>
      </c>
    </row>
    <row r="880" spans="1:25" x14ac:dyDescent="0.35">
      <c r="A880">
        <v>6293</v>
      </c>
      <c r="B880" t="s">
        <v>148</v>
      </c>
      <c r="C880" s="1">
        <v>45551</v>
      </c>
      <c r="D880" s="1">
        <v>45617</v>
      </c>
      <c r="E880">
        <v>2</v>
      </c>
      <c r="F880">
        <v>15.99</v>
      </c>
      <c r="G880">
        <f t="shared" si="13"/>
        <v>31.98</v>
      </c>
      <c r="H880">
        <v>473</v>
      </c>
      <c r="I880" t="s">
        <v>45</v>
      </c>
      <c r="J880">
        <v>4</v>
      </c>
      <c r="K880">
        <v>4</v>
      </c>
      <c r="L880" t="b">
        <v>0</v>
      </c>
      <c r="M880">
        <v>605</v>
      </c>
      <c r="N880">
        <v>93</v>
      </c>
      <c r="O880" t="s">
        <v>65</v>
      </c>
      <c r="P880" t="s">
        <v>42</v>
      </c>
      <c r="Q880" t="s">
        <v>43</v>
      </c>
      <c r="R880">
        <v>13</v>
      </c>
      <c r="S880">
        <v>4.8</v>
      </c>
      <c r="T880" t="b">
        <v>0</v>
      </c>
      <c r="U880" t="s">
        <v>30</v>
      </c>
      <c r="V880">
        <v>2141</v>
      </c>
      <c r="W880" t="s">
        <v>37</v>
      </c>
      <c r="X880" t="s">
        <v>32</v>
      </c>
      <c r="Y880" t="s">
        <v>33</v>
      </c>
    </row>
    <row r="881" spans="1:25" x14ac:dyDescent="0.35">
      <c r="A881">
        <v>7558</v>
      </c>
      <c r="B881" t="s">
        <v>230</v>
      </c>
      <c r="C881" s="1">
        <v>45609</v>
      </c>
      <c r="D881" s="1">
        <v>45634</v>
      </c>
      <c r="E881">
        <v>0</v>
      </c>
      <c r="F881">
        <v>11.99</v>
      </c>
      <c r="G881">
        <f t="shared" si="13"/>
        <v>0</v>
      </c>
      <c r="H881">
        <v>236</v>
      </c>
      <c r="I881" t="s">
        <v>45</v>
      </c>
      <c r="J881">
        <v>1</v>
      </c>
      <c r="K881">
        <v>5</v>
      </c>
      <c r="L881" t="b">
        <v>1</v>
      </c>
      <c r="M881">
        <v>225</v>
      </c>
      <c r="N881">
        <v>94</v>
      </c>
      <c r="O881" t="s">
        <v>65</v>
      </c>
      <c r="P881" t="s">
        <v>42</v>
      </c>
      <c r="Q881" t="s">
        <v>58</v>
      </c>
      <c r="R881">
        <v>61</v>
      </c>
      <c r="S881">
        <v>3.7</v>
      </c>
      <c r="T881" t="b">
        <v>0</v>
      </c>
      <c r="U881" t="s">
        <v>30</v>
      </c>
      <c r="V881">
        <v>1254</v>
      </c>
      <c r="W881" t="s">
        <v>59</v>
      </c>
      <c r="X881" t="s">
        <v>32</v>
      </c>
      <c r="Y881" t="s">
        <v>39</v>
      </c>
    </row>
    <row r="882" spans="1:25" x14ac:dyDescent="0.35">
      <c r="A882">
        <v>1805</v>
      </c>
      <c r="B882" t="s">
        <v>74</v>
      </c>
      <c r="C882" s="1">
        <v>44961</v>
      </c>
      <c r="D882" s="1">
        <v>45626</v>
      </c>
      <c r="E882">
        <v>21</v>
      </c>
      <c r="F882">
        <v>11.99</v>
      </c>
      <c r="G882">
        <f t="shared" si="13"/>
        <v>251.79</v>
      </c>
      <c r="H882">
        <v>349</v>
      </c>
      <c r="I882" t="s">
        <v>64</v>
      </c>
      <c r="J882">
        <v>4</v>
      </c>
      <c r="K882">
        <v>4</v>
      </c>
      <c r="L882" t="b">
        <v>1</v>
      </c>
      <c r="M882">
        <v>386</v>
      </c>
      <c r="N882">
        <v>195</v>
      </c>
      <c r="O882" t="s">
        <v>27</v>
      </c>
      <c r="P882" t="s">
        <v>66</v>
      </c>
      <c r="Q882" t="s">
        <v>36</v>
      </c>
      <c r="R882">
        <v>59</v>
      </c>
      <c r="S882">
        <v>4.5999999999999996</v>
      </c>
      <c r="T882" t="b">
        <v>0</v>
      </c>
      <c r="U882" t="s">
        <v>30</v>
      </c>
      <c r="V882">
        <v>2864</v>
      </c>
      <c r="W882" t="s">
        <v>59</v>
      </c>
      <c r="X882" t="s">
        <v>32</v>
      </c>
      <c r="Y882" t="s">
        <v>33</v>
      </c>
    </row>
    <row r="883" spans="1:25" x14ac:dyDescent="0.35">
      <c r="A883">
        <v>1661</v>
      </c>
      <c r="B883" t="s">
        <v>232</v>
      </c>
      <c r="C883" s="1">
        <v>45032</v>
      </c>
      <c r="D883" s="1">
        <v>45634</v>
      </c>
      <c r="E883">
        <v>19</v>
      </c>
      <c r="F883">
        <v>15.99</v>
      </c>
      <c r="G883">
        <f t="shared" si="13"/>
        <v>303.81</v>
      </c>
      <c r="H883">
        <v>139</v>
      </c>
      <c r="I883" t="s">
        <v>64</v>
      </c>
      <c r="J883">
        <v>4</v>
      </c>
      <c r="K883">
        <v>5</v>
      </c>
      <c r="L883" t="b">
        <v>1</v>
      </c>
      <c r="M883">
        <v>442</v>
      </c>
      <c r="N883">
        <v>110</v>
      </c>
      <c r="O883" t="s">
        <v>41</v>
      </c>
      <c r="P883" t="s">
        <v>51</v>
      </c>
      <c r="Q883" t="s">
        <v>29</v>
      </c>
      <c r="R883">
        <v>91</v>
      </c>
      <c r="S883">
        <v>4.7</v>
      </c>
      <c r="T883" t="b">
        <v>1</v>
      </c>
      <c r="U883" t="s">
        <v>30</v>
      </c>
      <c r="V883">
        <v>4589</v>
      </c>
      <c r="W883" t="s">
        <v>31</v>
      </c>
      <c r="X883" t="s">
        <v>70</v>
      </c>
      <c r="Y883" t="s">
        <v>39</v>
      </c>
    </row>
    <row r="884" spans="1:25" x14ac:dyDescent="0.35">
      <c r="A884">
        <v>8960</v>
      </c>
      <c r="B884" t="s">
        <v>354</v>
      </c>
      <c r="C884" s="1">
        <v>45307</v>
      </c>
      <c r="D884" s="1">
        <v>45628</v>
      </c>
      <c r="E884">
        <v>10</v>
      </c>
      <c r="F884">
        <v>15.99</v>
      </c>
      <c r="G884">
        <f t="shared" si="13"/>
        <v>159.9</v>
      </c>
      <c r="H884">
        <v>278</v>
      </c>
      <c r="I884" t="s">
        <v>81</v>
      </c>
      <c r="J884">
        <v>3</v>
      </c>
      <c r="K884">
        <v>2</v>
      </c>
      <c r="L884" t="b">
        <v>1</v>
      </c>
      <c r="M884">
        <v>382</v>
      </c>
      <c r="N884">
        <v>25</v>
      </c>
      <c r="O884" t="s">
        <v>46</v>
      </c>
      <c r="P884" t="s">
        <v>28</v>
      </c>
      <c r="Q884" t="s">
        <v>69</v>
      </c>
      <c r="R884">
        <v>72</v>
      </c>
      <c r="S884">
        <v>4.4000000000000004</v>
      </c>
      <c r="T884" t="b">
        <v>0</v>
      </c>
      <c r="U884" t="s">
        <v>30</v>
      </c>
      <c r="V884">
        <v>2932</v>
      </c>
      <c r="W884" t="s">
        <v>31</v>
      </c>
      <c r="X884" t="s">
        <v>70</v>
      </c>
      <c r="Y884" t="s">
        <v>77</v>
      </c>
    </row>
    <row r="885" spans="1:25" x14ac:dyDescent="0.35">
      <c r="A885">
        <v>6131</v>
      </c>
      <c r="B885" t="s">
        <v>71</v>
      </c>
      <c r="C885" s="1">
        <v>45503</v>
      </c>
      <c r="D885" s="1">
        <v>45643</v>
      </c>
      <c r="E885">
        <v>4</v>
      </c>
      <c r="F885">
        <v>7.99</v>
      </c>
      <c r="G885">
        <f t="shared" si="13"/>
        <v>31.96</v>
      </c>
      <c r="H885">
        <v>242</v>
      </c>
      <c r="I885" t="s">
        <v>57</v>
      </c>
      <c r="J885">
        <v>5</v>
      </c>
      <c r="K885">
        <v>2</v>
      </c>
      <c r="L885" t="b">
        <v>1</v>
      </c>
      <c r="M885">
        <v>156</v>
      </c>
      <c r="N885">
        <v>166</v>
      </c>
      <c r="O885" t="s">
        <v>76</v>
      </c>
      <c r="P885" t="s">
        <v>66</v>
      </c>
      <c r="Q885" t="s">
        <v>29</v>
      </c>
      <c r="R885">
        <v>53</v>
      </c>
      <c r="S885">
        <v>5</v>
      </c>
      <c r="T885" t="b">
        <v>0</v>
      </c>
      <c r="U885" t="s">
        <v>30</v>
      </c>
      <c r="V885">
        <v>1697</v>
      </c>
      <c r="W885" t="s">
        <v>67</v>
      </c>
      <c r="X885" t="s">
        <v>54</v>
      </c>
      <c r="Y885" t="s">
        <v>33</v>
      </c>
    </row>
    <row r="886" spans="1:25" x14ac:dyDescent="0.35">
      <c r="A886">
        <v>4114</v>
      </c>
      <c r="B886" t="s">
        <v>215</v>
      </c>
      <c r="C886" s="1">
        <v>45260</v>
      </c>
      <c r="D886" s="1">
        <v>45640</v>
      </c>
      <c r="E886">
        <v>12</v>
      </c>
      <c r="F886">
        <v>11.99</v>
      </c>
      <c r="G886">
        <f t="shared" si="13"/>
        <v>143.88</v>
      </c>
      <c r="H886">
        <v>251</v>
      </c>
      <c r="I886" t="s">
        <v>57</v>
      </c>
      <c r="J886">
        <v>5</v>
      </c>
      <c r="K886">
        <v>6</v>
      </c>
      <c r="L886" t="b">
        <v>1</v>
      </c>
      <c r="M886">
        <v>687</v>
      </c>
      <c r="N886">
        <v>160</v>
      </c>
      <c r="O886" t="s">
        <v>50</v>
      </c>
      <c r="P886" t="s">
        <v>42</v>
      </c>
      <c r="Q886" t="s">
        <v>58</v>
      </c>
      <c r="R886">
        <v>88</v>
      </c>
      <c r="S886">
        <v>4.5</v>
      </c>
      <c r="T886" t="b">
        <v>0</v>
      </c>
      <c r="U886" t="s">
        <v>30</v>
      </c>
      <c r="V886">
        <v>1411</v>
      </c>
      <c r="W886" t="s">
        <v>67</v>
      </c>
      <c r="X886" t="s">
        <v>54</v>
      </c>
      <c r="Y886" t="s">
        <v>39</v>
      </c>
    </row>
    <row r="887" spans="1:25" x14ac:dyDescent="0.35">
      <c r="A887">
        <v>4833</v>
      </c>
      <c r="B887" t="s">
        <v>100</v>
      </c>
      <c r="C887" s="1">
        <v>45395</v>
      </c>
      <c r="D887" s="1">
        <v>45636</v>
      </c>
      <c r="E887">
        <v>7</v>
      </c>
      <c r="F887">
        <v>7.99</v>
      </c>
      <c r="G887">
        <f t="shared" si="13"/>
        <v>55.93</v>
      </c>
      <c r="H887">
        <v>268</v>
      </c>
      <c r="I887" t="s">
        <v>35</v>
      </c>
      <c r="J887">
        <v>4</v>
      </c>
      <c r="K887">
        <v>4</v>
      </c>
      <c r="L887" t="b">
        <v>1</v>
      </c>
      <c r="M887">
        <v>778</v>
      </c>
      <c r="N887">
        <v>122</v>
      </c>
      <c r="O887" t="s">
        <v>41</v>
      </c>
      <c r="P887" t="s">
        <v>51</v>
      </c>
      <c r="Q887" t="s">
        <v>29</v>
      </c>
      <c r="R887">
        <v>12</v>
      </c>
      <c r="S887">
        <v>3.8</v>
      </c>
      <c r="T887" t="b">
        <v>1</v>
      </c>
      <c r="U887" t="s">
        <v>30</v>
      </c>
      <c r="V887">
        <v>3437</v>
      </c>
      <c r="W887" t="s">
        <v>59</v>
      </c>
      <c r="X887" t="s">
        <v>38</v>
      </c>
      <c r="Y887" t="s">
        <v>39</v>
      </c>
    </row>
    <row r="888" spans="1:25" x14ac:dyDescent="0.35">
      <c r="A888">
        <v>2401</v>
      </c>
      <c r="B888" t="s">
        <v>247</v>
      </c>
      <c r="C888" s="1">
        <v>45571</v>
      </c>
      <c r="D888" s="1">
        <v>45628</v>
      </c>
      <c r="E888">
        <v>1</v>
      </c>
      <c r="F888">
        <v>7.99</v>
      </c>
      <c r="G888">
        <f t="shared" si="13"/>
        <v>7.99</v>
      </c>
      <c r="H888">
        <v>322</v>
      </c>
      <c r="I888" t="s">
        <v>64</v>
      </c>
      <c r="J888">
        <v>4</v>
      </c>
      <c r="K888">
        <v>6</v>
      </c>
      <c r="L888" t="b">
        <v>0</v>
      </c>
      <c r="M888">
        <v>616</v>
      </c>
      <c r="N888">
        <v>45</v>
      </c>
      <c r="O888" t="s">
        <v>65</v>
      </c>
      <c r="P888" t="s">
        <v>28</v>
      </c>
      <c r="Q888" t="s">
        <v>52</v>
      </c>
      <c r="R888">
        <v>22</v>
      </c>
      <c r="S888">
        <v>4.9000000000000004</v>
      </c>
      <c r="T888" t="b">
        <v>1</v>
      </c>
      <c r="U888" t="s">
        <v>30</v>
      </c>
      <c r="V888">
        <v>4509</v>
      </c>
      <c r="W888" t="s">
        <v>53</v>
      </c>
      <c r="X888" t="s">
        <v>32</v>
      </c>
      <c r="Y888" t="s">
        <v>39</v>
      </c>
    </row>
    <row r="889" spans="1:25" x14ac:dyDescent="0.35">
      <c r="A889">
        <v>1037</v>
      </c>
      <c r="B889" t="s">
        <v>108</v>
      </c>
      <c r="C889" s="1">
        <v>45102</v>
      </c>
      <c r="D889" s="1">
        <v>45626</v>
      </c>
      <c r="E889">
        <v>17</v>
      </c>
      <c r="F889">
        <v>7.99</v>
      </c>
      <c r="G889">
        <f t="shared" si="13"/>
        <v>135.83000000000001</v>
      </c>
      <c r="H889">
        <v>356</v>
      </c>
      <c r="I889" t="s">
        <v>48</v>
      </c>
      <c r="J889">
        <v>3</v>
      </c>
      <c r="K889">
        <v>3</v>
      </c>
      <c r="L889" t="b">
        <v>1</v>
      </c>
      <c r="M889">
        <v>314</v>
      </c>
      <c r="N889">
        <v>50</v>
      </c>
      <c r="O889" t="s">
        <v>41</v>
      </c>
      <c r="P889" t="s">
        <v>51</v>
      </c>
      <c r="Q889" t="s">
        <v>43</v>
      </c>
      <c r="R889">
        <v>7</v>
      </c>
      <c r="S889">
        <v>4.9000000000000004</v>
      </c>
      <c r="T889" t="b">
        <v>1</v>
      </c>
      <c r="U889" t="s">
        <v>30</v>
      </c>
      <c r="V889">
        <v>3165</v>
      </c>
      <c r="W889" t="s">
        <v>53</v>
      </c>
      <c r="X889" t="s">
        <v>38</v>
      </c>
      <c r="Y889" t="s">
        <v>55</v>
      </c>
    </row>
    <row r="890" spans="1:25" x14ac:dyDescent="0.35">
      <c r="A890">
        <v>2675</v>
      </c>
      <c r="B890" t="s">
        <v>386</v>
      </c>
      <c r="C890" s="1">
        <v>44975</v>
      </c>
      <c r="D890" s="1">
        <v>45630</v>
      </c>
      <c r="E890">
        <v>21</v>
      </c>
      <c r="F890">
        <v>15.99</v>
      </c>
      <c r="G890">
        <f t="shared" si="13"/>
        <v>335.79</v>
      </c>
      <c r="H890">
        <v>28</v>
      </c>
      <c r="I890" t="s">
        <v>48</v>
      </c>
      <c r="J890">
        <v>2</v>
      </c>
      <c r="K890">
        <v>1</v>
      </c>
      <c r="L890" t="b">
        <v>1</v>
      </c>
      <c r="M890">
        <v>666</v>
      </c>
      <c r="N890">
        <v>65</v>
      </c>
      <c r="O890" t="s">
        <v>76</v>
      </c>
      <c r="P890" t="s">
        <v>28</v>
      </c>
      <c r="Q890" t="s">
        <v>36</v>
      </c>
      <c r="R890">
        <v>21</v>
      </c>
      <c r="S890">
        <v>4.3</v>
      </c>
      <c r="T890" t="b">
        <v>0</v>
      </c>
      <c r="U890" t="s">
        <v>30</v>
      </c>
      <c r="V890">
        <v>2538</v>
      </c>
      <c r="W890" t="s">
        <v>37</v>
      </c>
      <c r="X890" t="s">
        <v>54</v>
      </c>
      <c r="Y890" t="s">
        <v>33</v>
      </c>
    </row>
    <row r="891" spans="1:25" x14ac:dyDescent="0.35">
      <c r="A891">
        <v>1665</v>
      </c>
      <c r="B891" t="s">
        <v>95</v>
      </c>
      <c r="C891" s="1">
        <v>45350</v>
      </c>
      <c r="D891" s="1">
        <v>45643</v>
      </c>
      <c r="E891">
        <v>9</v>
      </c>
      <c r="F891">
        <v>11.99</v>
      </c>
      <c r="G891">
        <f t="shared" si="13"/>
        <v>107.91</v>
      </c>
      <c r="H891">
        <v>43</v>
      </c>
      <c r="I891" t="s">
        <v>64</v>
      </c>
      <c r="J891">
        <v>5</v>
      </c>
      <c r="K891">
        <v>2</v>
      </c>
      <c r="L891" t="b">
        <v>0</v>
      </c>
      <c r="M891">
        <v>767</v>
      </c>
      <c r="N891">
        <v>83</v>
      </c>
      <c r="O891" t="s">
        <v>61</v>
      </c>
      <c r="P891" t="s">
        <v>66</v>
      </c>
      <c r="Q891" t="s">
        <v>36</v>
      </c>
      <c r="R891">
        <v>58</v>
      </c>
      <c r="S891">
        <v>3</v>
      </c>
      <c r="T891" t="b">
        <v>1</v>
      </c>
      <c r="U891" t="s">
        <v>30</v>
      </c>
      <c r="V891">
        <v>245</v>
      </c>
      <c r="W891" t="s">
        <v>37</v>
      </c>
      <c r="X891" t="s">
        <v>32</v>
      </c>
      <c r="Y891" t="s">
        <v>77</v>
      </c>
    </row>
    <row r="892" spans="1:25" x14ac:dyDescent="0.35">
      <c r="A892">
        <v>5671</v>
      </c>
      <c r="B892" t="s">
        <v>179</v>
      </c>
      <c r="C892" s="1">
        <v>45073</v>
      </c>
      <c r="D892" s="1">
        <v>45625</v>
      </c>
      <c r="E892">
        <v>18</v>
      </c>
      <c r="F892">
        <v>11.99</v>
      </c>
      <c r="G892">
        <f t="shared" si="13"/>
        <v>215.82</v>
      </c>
      <c r="H892">
        <v>391</v>
      </c>
      <c r="I892" t="s">
        <v>35</v>
      </c>
      <c r="J892">
        <v>3</v>
      </c>
      <c r="K892">
        <v>3</v>
      </c>
      <c r="L892" t="b">
        <v>1</v>
      </c>
      <c r="M892">
        <v>811</v>
      </c>
      <c r="N892">
        <v>3</v>
      </c>
      <c r="O892" t="s">
        <v>27</v>
      </c>
      <c r="P892" t="s">
        <v>28</v>
      </c>
      <c r="Q892" t="s">
        <v>69</v>
      </c>
      <c r="R892">
        <v>17</v>
      </c>
      <c r="S892">
        <v>4.2</v>
      </c>
      <c r="T892" t="b">
        <v>0</v>
      </c>
      <c r="U892" t="s">
        <v>30</v>
      </c>
      <c r="V892">
        <v>1364</v>
      </c>
      <c r="W892" t="s">
        <v>53</v>
      </c>
      <c r="X892" t="s">
        <v>32</v>
      </c>
      <c r="Y892" t="s">
        <v>55</v>
      </c>
    </row>
    <row r="893" spans="1:25" x14ac:dyDescent="0.35">
      <c r="A893">
        <v>5153</v>
      </c>
      <c r="B893" t="s">
        <v>167</v>
      </c>
      <c r="C893" s="1">
        <v>45469</v>
      </c>
      <c r="D893" s="1">
        <v>45644</v>
      </c>
      <c r="E893">
        <v>5</v>
      </c>
      <c r="F893">
        <v>7.99</v>
      </c>
      <c r="G893">
        <f t="shared" si="13"/>
        <v>39.950000000000003</v>
      </c>
      <c r="H893">
        <v>300</v>
      </c>
      <c r="I893" t="s">
        <v>45</v>
      </c>
      <c r="J893">
        <v>1</v>
      </c>
      <c r="K893">
        <v>4</v>
      </c>
      <c r="L893" t="b">
        <v>1</v>
      </c>
      <c r="M893">
        <v>413</v>
      </c>
      <c r="N893">
        <v>154</v>
      </c>
      <c r="O893" t="s">
        <v>41</v>
      </c>
      <c r="P893" t="s">
        <v>28</v>
      </c>
      <c r="Q893" t="s">
        <v>69</v>
      </c>
      <c r="R893">
        <v>64</v>
      </c>
      <c r="S893">
        <v>4.0999999999999996</v>
      </c>
      <c r="T893" t="b">
        <v>0</v>
      </c>
      <c r="U893" t="s">
        <v>30</v>
      </c>
      <c r="V893">
        <v>732</v>
      </c>
      <c r="W893" t="s">
        <v>37</v>
      </c>
      <c r="X893" t="s">
        <v>70</v>
      </c>
      <c r="Y893" t="s">
        <v>39</v>
      </c>
    </row>
    <row r="894" spans="1:25" x14ac:dyDescent="0.35">
      <c r="A894">
        <v>1114</v>
      </c>
      <c r="B894" t="s">
        <v>205</v>
      </c>
      <c r="C894" s="1">
        <v>44928</v>
      </c>
      <c r="D894" s="1">
        <v>45641</v>
      </c>
      <c r="E894">
        <v>23</v>
      </c>
      <c r="F894">
        <v>11.99</v>
      </c>
      <c r="G894">
        <f t="shared" si="13"/>
        <v>275.77</v>
      </c>
      <c r="H894">
        <v>75</v>
      </c>
      <c r="I894" t="s">
        <v>57</v>
      </c>
      <c r="J894">
        <v>3</v>
      </c>
      <c r="K894">
        <v>3</v>
      </c>
      <c r="L894" t="b">
        <v>0</v>
      </c>
      <c r="M894">
        <v>324</v>
      </c>
      <c r="N894">
        <v>175</v>
      </c>
      <c r="O894" t="s">
        <v>27</v>
      </c>
      <c r="P894" t="s">
        <v>42</v>
      </c>
      <c r="Q894" t="s">
        <v>36</v>
      </c>
      <c r="R894">
        <v>18</v>
      </c>
      <c r="S894">
        <v>3.3</v>
      </c>
      <c r="T894" t="b">
        <v>0</v>
      </c>
      <c r="U894" t="s">
        <v>30</v>
      </c>
      <c r="V894">
        <v>4976</v>
      </c>
      <c r="W894" t="s">
        <v>67</v>
      </c>
      <c r="X894" t="s">
        <v>62</v>
      </c>
      <c r="Y894" t="s">
        <v>39</v>
      </c>
    </row>
    <row r="895" spans="1:25" x14ac:dyDescent="0.35">
      <c r="A895">
        <v>6180</v>
      </c>
      <c r="B895" t="s">
        <v>386</v>
      </c>
      <c r="C895" s="1">
        <v>45513</v>
      </c>
      <c r="D895" s="1">
        <v>45628</v>
      </c>
      <c r="E895">
        <v>3</v>
      </c>
      <c r="F895">
        <v>11.99</v>
      </c>
      <c r="G895">
        <f t="shared" si="13"/>
        <v>35.97</v>
      </c>
      <c r="H895">
        <v>154</v>
      </c>
      <c r="I895" t="s">
        <v>81</v>
      </c>
      <c r="J895">
        <v>1</v>
      </c>
      <c r="K895">
        <v>5</v>
      </c>
      <c r="L895" t="b">
        <v>1</v>
      </c>
      <c r="M895">
        <v>52</v>
      </c>
      <c r="N895">
        <v>108</v>
      </c>
      <c r="O895" t="s">
        <v>65</v>
      </c>
      <c r="P895" t="s">
        <v>51</v>
      </c>
      <c r="Q895" t="s">
        <v>36</v>
      </c>
      <c r="R895">
        <v>94</v>
      </c>
      <c r="S895">
        <v>4.0999999999999996</v>
      </c>
      <c r="T895" t="b">
        <v>0</v>
      </c>
      <c r="U895" t="s">
        <v>30</v>
      </c>
      <c r="V895">
        <v>4176</v>
      </c>
      <c r="W895" t="s">
        <v>67</v>
      </c>
      <c r="X895" t="s">
        <v>54</v>
      </c>
      <c r="Y895" t="s">
        <v>33</v>
      </c>
    </row>
    <row r="896" spans="1:25" x14ac:dyDescent="0.35">
      <c r="A896">
        <v>8237</v>
      </c>
      <c r="B896" t="s">
        <v>49</v>
      </c>
      <c r="C896" s="1">
        <v>45065</v>
      </c>
      <c r="D896" s="1">
        <v>45633</v>
      </c>
      <c r="E896">
        <v>18</v>
      </c>
      <c r="F896">
        <v>7.99</v>
      </c>
      <c r="G896">
        <f t="shared" si="13"/>
        <v>143.82</v>
      </c>
      <c r="H896">
        <v>179</v>
      </c>
      <c r="I896" t="s">
        <v>64</v>
      </c>
      <c r="J896">
        <v>2</v>
      </c>
      <c r="K896">
        <v>6</v>
      </c>
      <c r="L896" t="b">
        <v>0</v>
      </c>
      <c r="M896">
        <v>680</v>
      </c>
      <c r="N896">
        <v>50</v>
      </c>
      <c r="O896" t="s">
        <v>27</v>
      </c>
      <c r="P896" t="s">
        <v>51</v>
      </c>
      <c r="Q896" t="s">
        <v>58</v>
      </c>
      <c r="R896">
        <v>52</v>
      </c>
      <c r="S896">
        <v>3.4</v>
      </c>
      <c r="T896" t="b">
        <v>0</v>
      </c>
      <c r="U896" t="s">
        <v>30</v>
      </c>
      <c r="V896">
        <v>2919</v>
      </c>
      <c r="W896" t="s">
        <v>31</v>
      </c>
      <c r="X896" t="s">
        <v>38</v>
      </c>
      <c r="Y896" t="s">
        <v>33</v>
      </c>
    </row>
    <row r="897" spans="1:25" x14ac:dyDescent="0.35">
      <c r="A897">
        <v>9500</v>
      </c>
      <c r="B897" t="s">
        <v>387</v>
      </c>
      <c r="C897" s="1">
        <v>45182</v>
      </c>
      <c r="D897" s="1">
        <v>45636</v>
      </c>
      <c r="E897">
        <v>14</v>
      </c>
      <c r="F897">
        <v>11.99</v>
      </c>
      <c r="G897">
        <f t="shared" si="13"/>
        <v>167.86</v>
      </c>
      <c r="H897">
        <v>147</v>
      </c>
      <c r="I897" t="s">
        <v>48</v>
      </c>
      <c r="J897">
        <v>1</v>
      </c>
      <c r="K897">
        <v>1</v>
      </c>
      <c r="L897" t="b">
        <v>1</v>
      </c>
      <c r="M897">
        <v>780</v>
      </c>
      <c r="N897">
        <v>76</v>
      </c>
      <c r="O897" t="s">
        <v>27</v>
      </c>
      <c r="P897" t="s">
        <v>51</v>
      </c>
      <c r="Q897" t="s">
        <v>43</v>
      </c>
      <c r="R897">
        <v>21</v>
      </c>
      <c r="S897">
        <v>4.4000000000000004</v>
      </c>
      <c r="T897" t="b">
        <v>1</v>
      </c>
      <c r="U897" t="s">
        <v>30</v>
      </c>
      <c r="V897">
        <v>3081</v>
      </c>
      <c r="W897" t="s">
        <v>67</v>
      </c>
      <c r="X897" t="s">
        <v>38</v>
      </c>
      <c r="Y897" t="s">
        <v>33</v>
      </c>
    </row>
    <row r="898" spans="1:25" x14ac:dyDescent="0.35">
      <c r="A898">
        <v>7476</v>
      </c>
      <c r="B898" t="s">
        <v>34</v>
      </c>
      <c r="C898" s="1">
        <v>45093</v>
      </c>
      <c r="D898" s="1">
        <v>45623</v>
      </c>
      <c r="E898">
        <v>17</v>
      </c>
      <c r="F898">
        <v>11.99</v>
      </c>
      <c r="G898">
        <f t="shared" si="13"/>
        <v>203.83</v>
      </c>
      <c r="H898">
        <v>235</v>
      </c>
      <c r="I898" t="s">
        <v>57</v>
      </c>
      <c r="J898">
        <v>3</v>
      </c>
      <c r="K898">
        <v>1</v>
      </c>
      <c r="L898" t="b">
        <v>1</v>
      </c>
      <c r="M898">
        <v>569</v>
      </c>
      <c r="N898">
        <v>176</v>
      </c>
      <c r="O898" t="s">
        <v>76</v>
      </c>
      <c r="P898" t="s">
        <v>42</v>
      </c>
      <c r="Q898" t="s">
        <v>69</v>
      </c>
      <c r="R898">
        <v>18</v>
      </c>
      <c r="S898">
        <v>3.8</v>
      </c>
      <c r="T898" t="b">
        <v>1</v>
      </c>
      <c r="U898" t="s">
        <v>30</v>
      </c>
      <c r="V898">
        <v>3138</v>
      </c>
      <c r="W898" t="s">
        <v>37</v>
      </c>
      <c r="X898" t="s">
        <v>32</v>
      </c>
      <c r="Y898" t="s">
        <v>77</v>
      </c>
    </row>
    <row r="899" spans="1:25" x14ac:dyDescent="0.35">
      <c r="A899">
        <v>9908</v>
      </c>
      <c r="B899" t="s">
        <v>348</v>
      </c>
      <c r="C899" s="1">
        <v>44929</v>
      </c>
      <c r="D899" s="1">
        <v>45630</v>
      </c>
      <c r="E899">
        <v>23</v>
      </c>
      <c r="F899">
        <v>11.99</v>
      </c>
      <c r="G899">
        <f t="shared" ref="G899:G962" si="14">F899*E899</f>
        <v>275.77</v>
      </c>
      <c r="H899">
        <v>390</v>
      </c>
      <c r="I899" t="s">
        <v>81</v>
      </c>
      <c r="J899">
        <v>3</v>
      </c>
      <c r="K899">
        <v>1</v>
      </c>
      <c r="L899" t="b">
        <v>0</v>
      </c>
      <c r="M899">
        <v>256</v>
      </c>
      <c r="N899">
        <v>183</v>
      </c>
      <c r="O899" t="s">
        <v>65</v>
      </c>
      <c r="P899" t="s">
        <v>51</v>
      </c>
      <c r="Q899" t="s">
        <v>36</v>
      </c>
      <c r="R899">
        <v>89</v>
      </c>
      <c r="S899">
        <v>3.2</v>
      </c>
      <c r="T899" t="b">
        <v>1</v>
      </c>
      <c r="U899" t="s">
        <v>30</v>
      </c>
      <c r="V899">
        <v>1180</v>
      </c>
      <c r="W899" t="s">
        <v>53</v>
      </c>
      <c r="X899" t="s">
        <v>62</v>
      </c>
      <c r="Y899" t="s">
        <v>39</v>
      </c>
    </row>
    <row r="900" spans="1:25" x14ac:dyDescent="0.35">
      <c r="A900">
        <v>1534</v>
      </c>
      <c r="B900" t="s">
        <v>49</v>
      </c>
      <c r="C900" s="1">
        <v>45495</v>
      </c>
      <c r="D900" s="1">
        <v>45644</v>
      </c>
      <c r="E900">
        <v>4</v>
      </c>
      <c r="F900">
        <v>7.99</v>
      </c>
      <c r="G900">
        <f t="shared" si="14"/>
        <v>31.96</v>
      </c>
      <c r="H900">
        <v>116</v>
      </c>
      <c r="I900" t="s">
        <v>26</v>
      </c>
      <c r="J900">
        <v>1</v>
      </c>
      <c r="K900">
        <v>4</v>
      </c>
      <c r="L900" t="b">
        <v>0</v>
      </c>
      <c r="M900">
        <v>799</v>
      </c>
      <c r="N900">
        <v>137</v>
      </c>
      <c r="O900" t="s">
        <v>27</v>
      </c>
      <c r="P900" t="s">
        <v>51</v>
      </c>
      <c r="Q900" t="s">
        <v>43</v>
      </c>
      <c r="R900">
        <v>78</v>
      </c>
      <c r="S900">
        <v>4.5999999999999996</v>
      </c>
      <c r="T900" t="b">
        <v>1</v>
      </c>
      <c r="U900" t="s">
        <v>30</v>
      </c>
      <c r="V900">
        <v>4518</v>
      </c>
      <c r="W900" t="s">
        <v>37</v>
      </c>
      <c r="X900" t="s">
        <v>70</v>
      </c>
      <c r="Y900" t="s">
        <v>39</v>
      </c>
    </row>
    <row r="901" spans="1:25" x14ac:dyDescent="0.35">
      <c r="A901">
        <v>4613</v>
      </c>
      <c r="B901" t="s">
        <v>87</v>
      </c>
      <c r="C901" s="1">
        <v>44988</v>
      </c>
      <c r="D901" s="1">
        <v>45630</v>
      </c>
      <c r="E901">
        <v>21</v>
      </c>
      <c r="F901">
        <v>15.99</v>
      </c>
      <c r="G901">
        <f t="shared" si="14"/>
        <v>335.79</v>
      </c>
      <c r="H901">
        <v>492</v>
      </c>
      <c r="I901" t="s">
        <v>26</v>
      </c>
      <c r="J901">
        <v>1</v>
      </c>
      <c r="K901">
        <v>2</v>
      </c>
      <c r="L901" t="b">
        <v>0</v>
      </c>
      <c r="M901">
        <v>237</v>
      </c>
      <c r="N901">
        <v>55</v>
      </c>
      <c r="O901" t="s">
        <v>61</v>
      </c>
      <c r="P901" t="s">
        <v>66</v>
      </c>
      <c r="Q901" t="s">
        <v>43</v>
      </c>
      <c r="R901">
        <v>15</v>
      </c>
      <c r="S901">
        <v>4.9000000000000004</v>
      </c>
      <c r="T901" t="b">
        <v>1</v>
      </c>
      <c r="U901" t="s">
        <v>30</v>
      </c>
      <c r="V901">
        <v>3843</v>
      </c>
      <c r="W901" t="s">
        <v>31</v>
      </c>
      <c r="X901" t="s">
        <v>32</v>
      </c>
      <c r="Y901" t="s">
        <v>39</v>
      </c>
    </row>
    <row r="902" spans="1:25" x14ac:dyDescent="0.35">
      <c r="A902">
        <v>5063</v>
      </c>
      <c r="B902" t="s">
        <v>280</v>
      </c>
      <c r="C902" s="1">
        <v>45447</v>
      </c>
      <c r="D902" s="1">
        <v>45618</v>
      </c>
      <c r="E902">
        <v>5</v>
      </c>
      <c r="F902">
        <v>7.99</v>
      </c>
      <c r="G902">
        <f t="shared" si="14"/>
        <v>39.950000000000003</v>
      </c>
      <c r="H902">
        <v>159</v>
      </c>
      <c r="I902" t="s">
        <v>26</v>
      </c>
      <c r="J902">
        <v>4</v>
      </c>
      <c r="K902">
        <v>5</v>
      </c>
      <c r="L902" t="b">
        <v>1</v>
      </c>
      <c r="M902">
        <v>138</v>
      </c>
      <c r="N902">
        <v>3</v>
      </c>
      <c r="O902" t="s">
        <v>65</v>
      </c>
      <c r="P902" t="s">
        <v>42</v>
      </c>
      <c r="Q902" t="s">
        <v>29</v>
      </c>
      <c r="R902">
        <v>12</v>
      </c>
      <c r="S902">
        <v>3.9</v>
      </c>
      <c r="T902" t="b">
        <v>1</v>
      </c>
      <c r="U902" t="s">
        <v>30</v>
      </c>
      <c r="V902">
        <v>3604</v>
      </c>
      <c r="W902" t="s">
        <v>59</v>
      </c>
      <c r="X902" t="s">
        <v>38</v>
      </c>
      <c r="Y902" t="s">
        <v>55</v>
      </c>
    </row>
    <row r="903" spans="1:25" x14ac:dyDescent="0.35">
      <c r="A903">
        <v>4548</v>
      </c>
      <c r="B903" t="s">
        <v>159</v>
      </c>
      <c r="C903" s="1">
        <v>45085</v>
      </c>
      <c r="D903" s="1">
        <v>45616</v>
      </c>
      <c r="E903">
        <v>17</v>
      </c>
      <c r="F903">
        <v>7.99</v>
      </c>
      <c r="G903">
        <f t="shared" si="14"/>
        <v>135.83000000000001</v>
      </c>
      <c r="H903">
        <v>279</v>
      </c>
      <c r="I903" t="s">
        <v>81</v>
      </c>
      <c r="J903">
        <v>4</v>
      </c>
      <c r="K903">
        <v>6</v>
      </c>
      <c r="L903" t="b">
        <v>0</v>
      </c>
      <c r="M903">
        <v>636</v>
      </c>
      <c r="N903">
        <v>176</v>
      </c>
      <c r="O903" t="s">
        <v>76</v>
      </c>
      <c r="P903" t="s">
        <v>66</v>
      </c>
      <c r="Q903" t="s">
        <v>69</v>
      </c>
      <c r="R903">
        <v>32</v>
      </c>
      <c r="S903">
        <v>3.7</v>
      </c>
      <c r="T903" t="b">
        <v>1</v>
      </c>
      <c r="U903" t="s">
        <v>30</v>
      </c>
      <c r="V903">
        <v>4445</v>
      </c>
      <c r="W903" t="s">
        <v>31</v>
      </c>
      <c r="X903" t="s">
        <v>38</v>
      </c>
      <c r="Y903" t="s">
        <v>77</v>
      </c>
    </row>
    <row r="904" spans="1:25" x14ac:dyDescent="0.35">
      <c r="A904">
        <v>7556</v>
      </c>
      <c r="B904" t="s">
        <v>332</v>
      </c>
      <c r="C904" s="1">
        <v>45490</v>
      </c>
      <c r="D904" s="1">
        <v>45622</v>
      </c>
      <c r="E904">
        <v>4</v>
      </c>
      <c r="F904">
        <v>15.99</v>
      </c>
      <c r="G904">
        <f t="shared" si="14"/>
        <v>63.96</v>
      </c>
      <c r="H904">
        <v>386</v>
      </c>
      <c r="I904" t="s">
        <v>26</v>
      </c>
      <c r="J904">
        <v>2</v>
      </c>
      <c r="K904">
        <v>6</v>
      </c>
      <c r="L904" t="b">
        <v>1</v>
      </c>
      <c r="M904">
        <v>461</v>
      </c>
      <c r="N904">
        <v>178</v>
      </c>
      <c r="O904" t="s">
        <v>27</v>
      </c>
      <c r="P904" t="s">
        <v>66</v>
      </c>
      <c r="Q904" t="s">
        <v>29</v>
      </c>
      <c r="R904">
        <v>79</v>
      </c>
      <c r="S904">
        <v>3.7</v>
      </c>
      <c r="T904" t="b">
        <v>0</v>
      </c>
      <c r="U904" t="s">
        <v>30</v>
      </c>
      <c r="V904">
        <v>1587</v>
      </c>
      <c r="W904" t="s">
        <v>67</v>
      </c>
      <c r="X904" t="s">
        <v>32</v>
      </c>
      <c r="Y904" t="s">
        <v>77</v>
      </c>
    </row>
    <row r="905" spans="1:25" x14ac:dyDescent="0.35">
      <c r="A905">
        <v>1846</v>
      </c>
      <c r="B905" t="s">
        <v>388</v>
      </c>
      <c r="C905" s="1">
        <v>45464</v>
      </c>
      <c r="D905" s="1">
        <v>45633</v>
      </c>
      <c r="E905">
        <v>5</v>
      </c>
      <c r="F905">
        <v>15.99</v>
      </c>
      <c r="G905">
        <f t="shared" si="14"/>
        <v>79.95</v>
      </c>
      <c r="H905">
        <v>332</v>
      </c>
      <c r="I905" t="s">
        <v>45</v>
      </c>
      <c r="J905">
        <v>1</v>
      </c>
      <c r="K905">
        <v>6</v>
      </c>
      <c r="L905" t="b">
        <v>0</v>
      </c>
      <c r="M905">
        <v>20</v>
      </c>
      <c r="N905">
        <v>128</v>
      </c>
      <c r="O905" t="s">
        <v>61</v>
      </c>
      <c r="P905" t="s">
        <v>51</v>
      </c>
      <c r="Q905" t="s">
        <v>58</v>
      </c>
      <c r="R905">
        <v>50</v>
      </c>
      <c r="S905">
        <v>5</v>
      </c>
      <c r="T905" t="b">
        <v>0</v>
      </c>
      <c r="U905" t="s">
        <v>30</v>
      </c>
      <c r="V905">
        <v>4400</v>
      </c>
      <c r="W905" t="s">
        <v>53</v>
      </c>
      <c r="X905" t="s">
        <v>62</v>
      </c>
      <c r="Y905" t="s">
        <v>33</v>
      </c>
    </row>
    <row r="906" spans="1:25" x14ac:dyDescent="0.35">
      <c r="A906">
        <v>7088</v>
      </c>
      <c r="B906" t="s">
        <v>90</v>
      </c>
      <c r="C906" s="1">
        <v>45292</v>
      </c>
      <c r="D906" s="1">
        <v>45617</v>
      </c>
      <c r="E906">
        <v>10</v>
      </c>
      <c r="F906">
        <v>11.99</v>
      </c>
      <c r="G906">
        <f t="shared" si="14"/>
        <v>119.9</v>
      </c>
      <c r="H906">
        <v>176</v>
      </c>
      <c r="I906" t="s">
        <v>48</v>
      </c>
      <c r="J906">
        <v>5</v>
      </c>
      <c r="K906">
        <v>5</v>
      </c>
      <c r="L906" t="b">
        <v>1</v>
      </c>
      <c r="M906">
        <v>276</v>
      </c>
      <c r="N906">
        <v>138</v>
      </c>
      <c r="O906" t="s">
        <v>61</v>
      </c>
      <c r="P906" t="s">
        <v>28</v>
      </c>
      <c r="Q906" t="s">
        <v>52</v>
      </c>
      <c r="R906">
        <v>56</v>
      </c>
      <c r="S906">
        <v>4.7</v>
      </c>
      <c r="T906" t="b">
        <v>0</v>
      </c>
      <c r="U906" t="s">
        <v>30</v>
      </c>
      <c r="V906">
        <v>2891</v>
      </c>
      <c r="W906" t="s">
        <v>31</v>
      </c>
      <c r="X906" t="s">
        <v>54</v>
      </c>
      <c r="Y906" t="s">
        <v>55</v>
      </c>
    </row>
    <row r="907" spans="1:25" x14ac:dyDescent="0.35">
      <c r="A907">
        <v>1179</v>
      </c>
      <c r="B907" t="s">
        <v>244</v>
      </c>
      <c r="C907" s="1">
        <v>45450</v>
      </c>
      <c r="D907" s="1">
        <v>45644</v>
      </c>
      <c r="E907">
        <v>6</v>
      </c>
      <c r="F907">
        <v>11.99</v>
      </c>
      <c r="G907">
        <f t="shared" si="14"/>
        <v>71.94</v>
      </c>
      <c r="H907">
        <v>221</v>
      </c>
      <c r="I907" t="s">
        <v>81</v>
      </c>
      <c r="J907">
        <v>4</v>
      </c>
      <c r="K907">
        <v>1</v>
      </c>
      <c r="L907" t="b">
        <v>1</v>
      </c>
      <c r="M907">
        <v>603</v>
      </c>
      <c r="N907">
        <v>141</v>
      </c>
      <c r="O907" t="s">
        <v>65</v>
      </c>
      <c r="P907" t="s">
        <v>66</v>
      </c>
      <c r="Q907" t="s">
        <v>29</v>
      </c>
      <c r="R907">
        <v>44</v>
      </c>
      <c r="S907">
        <v>3.3</v>
      </c>
      <c r="T907" t="b">
        <v>1</v>
      </c>
      <c r="U907" t="s">
        <v>30</v>
      </c>
      <c r="V907">
        <v>1363</v>
      </c>
      <c r="W907" t="s">
        <v>31</v>
      </c>
      <c r="X907" t="s">
        <v>32</v>
      </c>
      <c r="Y907" t="s">
        <v>77</v>
      </c>
    </row>
    <row r="908" spans="1:25" x14ac:dyDescent="0.35">
      <c r="A908">
        <v>2190</v>
      </c>
      <c r="B908" t="s">
        <v>376</v>
      </c>
      <c r="C908" s="1">
        <v>45291</v>
      </c>
      <c r="D908" s="1">
        <v>45631</v>
      </c>
      <c r="E908">
        <v>11</v>
      </c>
      <c r="F908">
        <v>7.99</v>
      </c>
      <c r="G908">
        <f t="shared" si="14"/>
        <v>87.89</v>
      </c>
      <c r="H908">
        <v>263</v>
      </c>
      <c r="I908" t="s">
        <v>57</v>
      </c>
      <c r="J908">
        <v>4</v>
      </c>
      <c r="K908">
        <v>1</v>
      </c>
      <c r="L908" t="b">
        <v>1</v>
      </c>
      <c r="M908">
        <v>799</v>
      </c>
      <c r="N908">
        <v>14</v>
      </c>
      <c r="O908" t="s">
        <v>27</v>
      </c>
      <c r="P908" t="s">
        <v>51</v>
      </c>
      <c r="Q908" t="s">
        <v>43</v>
      </c>
      <c r="R908">
        <v>32</v>
      </c>
      <c r="S908">
        <v>3.3</v>
      </c>
      <c r="T908" t="b">
        <v>0</v>
      </c>
      <c r="U908" t="s">
        <v>30</v>
      </c>
      <c r="V908">
        <v>2323</v>
      </c>
      <c r="W908" t="s">
        <v>53</v>
      </c>
      <c r="X908" t="s">
        <v>70</v>
      </c>
      <c r="Y908" t="s">
        <v>39</v>
      </c>
    </row>
    <row r="909" spans="1:25" x14ac:dyDescent="0.35">
      <c r="A909">
        <v>2847</v>
      </c>
      <c r="B909" t="s">
        <v>80</v>
      </c>
      <c r="C909" s="1">
        <v>45192</v>
      </c>
      <c r="D909" s="1">
        <v>45623</v>
      </c>
      <c r="E909">
        <v>14</v>
      </c>
      <c r="F909">
        <v>15.99</v>
      </c>
      <c r="G909">
        <f t="shared" si="14"/>
        <v>223.86</v>
      </c>
      <c r="H909">
        <v>222</v>
      </c>
      <c r="I909" t="s">
        <v>48</v>
      </c>
      <c r="J909">
        <v>1</v>
      </c>
      <c r="K909">
        <v>3</v>
      </c>
      <c r="L909" t="b">
        <v>0</v>
      </c>
      <c r="M909">
        <v>785</v>
      </c>
      <c r="N909">
        <v>147</v>
      </c>
      <c r="O909" t="s">
        <v>76</v>
      </c>
      <c r="P909" t="s">
        <v>51</v>
      </c>
      <c r="Q909" t="s">
        <v>43</v>
      </c>
      <c r="R909">
        <v>21</v>
      </c>
      <c r="S909">
        <v>4.8</v>
      </c>
      <c r="T909" t="b">
        <v>1</v>
      </c>
      <c r="U909" t="s">
        <v>30</v>
      </c>
      <c r="V909">
        <v>4291</v>
      </c>
      <c r="W909" t="s">
        <v>53</v>
      </c>
      <c r="X909" t="s">
        <v>62</v>
      </c>
      <c r="Y909" t="s">
        <v>55</v>
      </c>
    </row>
    <row r="910" spans="1:25" x14ac:dyDescent="0.35">
      <c r="A910">
        <v>6570</v>
      </c>
      <c r="B910" t="s">
        <v>197</v>
      </c>
      <c r="C910" s="1">
        <v>45634</v>
      </c>
      <c r="D910" s="1">
        <v>45638</v>
      </c>
      <c r="E910">
        <v>0</v>
      </c>
      <c r="F910">
        <v>11.99</v>
      </c>
      <c r="G910">
        <f t="shared" si="14"/>
        <v>0</v>
      </c>
      <c r="H910">
        <v>39</v>
      </c>
      <c r="I910" t="s">
        <v>81</v>
      </c>
      <c r="J910">
        <v>5</v>
      </c>
      <c r="K910">
        <v>3</v>
      </c>
      <c r="L910" t="b">
        <v>1</v>
      </c>
      <c r="M910">
        <v>28</v>
      </c>
      <c r="N910">
        <v>189</v>
      </c>
      <c r="O910" t="s">
        <v>41</v>
      </c>
      <c r="P910" t="s">
        <v>51</v>
      </c>
      <c r="Q910" t="s">
        <v>69</v>
      </c>
      <c r="R910">
        <v>26</v>
      </c>
      <c r="S910">
        <v>4.5999999999999996</v>
      </c>
      <c r="T910" t="b">
        <v>1</v>
      </c>
      <c r="U910" t="s">
        <v>30</v>
      </c>
      <c r="V910">
        <v>4938</v>
      </c>
      <c r="W910" t="s">
        <v>31</v>
      </c>
      <c r="X910" t="s">
        <v>70</v>
      </c>
      <c r="Y910" t="s">
        <v>39</v>
      </c>
    </row>
    <row r="911" spans="1:25" x14ac:dyDescent="0.35">
      <c r="A911">
        <v>1149</v>
      </c>
      <c r="B911" t="s">
        <v>111</v>
      </c>
      <c r="C911" s="1">
        <v>45075</v>
      </c>
      <c r="D911" s="1">
        <v>45624</v>
      </c>
      <c r="E911">
        <v>17</v>
      </c>
      <c r="F911">
        <v>11.99</v>
      </c>
      <c r="G911">
        <f t="shared" si="14"/>
        <v>203.83</v>
      </c>
      <c r="H911">
        <v>445</v>
      </c>
      <c r="I911" t="s">
        <v>26</v>
      </c>
      <c r="J911">
        <v>3</v>
      </c>
      <c r="K911">
        <v>2</v>
      </c>
      <c r="L911" t="b">
        <v>1</v>
      </c>
      <c r="M911">
        <v>637</v>
      </c>
      <c r="N911">
        <v>14</v>
      </c>
      <c r="O911" t="s">
        <v>27</v>
      </c>
      <c r="P911" t="s">
        <v>42</v>
      </c>
      <c r="Q911" t="s">
        <v>69</v>
      </c>
      <c r="R911">
        <v>50</v>
      </c>
      <c r="S911">
        <v>3.2</v>
      </c>
      <c r="T911" t="b">
        <v>1</v>
      </c>
      <c r="U911" t="s">
        <v>30</v>
      </c>
      <c r="V911">
        <v>913</v>
      </c>
      <c r="W911" t="s">
        <v>37</v>
      </c>
      <c r="X911" t="s">
        <v>62</v>
      </c>
      <c r="Y911" t="s">
        <v>33</v>
      </c>
    </row>
    <row r="912" spans="1:25" x14ac:dyDescent="0.35">
      <c r="A912">
        <v>1336</v>
      </c>
      <c r="B912" t="s">
        <v>110</v>
      </c>
      <c r="C912" s="1">
        <v>45407</v>
      </c>
      <c r="D912" s="1">
        <v>45636</v>
      </c>
      <c r="E912">
        <v>7</v>
      </c>
      <c r="F912">
        <v>11.99</v>
      </c>
      <c r="G912">
        <f t="shared" si="14"/>
        <v>83.93</v>
      </c>
      <c r="H912">
        <v>164</v>
      </c>
      <c r="I912" t="s">
        <v>45</v>
      </c>
      <c r="J912">
        <v>3</v>
      </c>
      <c r="K912">
        <v>3</v>
      </c>
      <c r="L912" t="b">
        <v>1</v>
      </c>
      <c r="M912">
        <v>79</v>
      </c>
      <c r="N912">
        <v>130</v>
      </c>
      <c r="O912" t="s">
        <v>41</v>
      </c>
      <c r="P912" t="s">
        <v>28</v>
      </c>
      <c r="Q912" t="s">
        <v>69</v>
      </c>
      <c r="R912">
        <v>47</v>
      </c>
      <c r="S912">
        <v>3.9</v>
      </c>
      <c r="T912" t="b">
        <v>0</v>
      </c>
      <c r="U912" t="s">
        <v>30</v>
      </c>
      <c r="V912">
        <v>3925</v>
      </c>
      <c r="W912" t="s">
        <v>59</v>
      </c>
      <c r="X912" t="s">
        <v>70</v>
      </c>
      <c r="Y912" t="s">
        <v>55</v>
      </c>
    </row>
    <row r="913" spans="1:25" x14ac:dyDescent="0.35">
      <c r="A913">
        <v>6956</v>
      </c>
      <c r="B913" t="s">
        <v>190</v>
      </c>
      <c r="C913" s="1">
        <v>45343</v>
      </c>
      <c r="D913" s="1">
        <v>45620</v>
      </c>
      <c r="E913">
        <v>9</v>
      </c>
      <c r="F913">
        <v>15.99</v>
      </c>
      <c r="G913">
        <f t="shared" si="14"/>
        <v>143.91</v>
      </c>
      <c r="H913">
        <v>101</v>
      </c>
      <c r="I913" t="s">
        <v>45</v>
      </c>
      <c r="J913">
        <v>5</v>
      </c>
      <c r="K913">
        <v>1</v>
      </c>
      <c r="L913" t="b">
        <v>1</v>
      </c>
      <c r="M913">
        <v>175</v>
      </c>
      <c r="N913">
        <v>125</v>
      </c>
      <c r="O913" t="s">
        <v>50</v>
      </c>
      <c r="P913" t="s">
        <v>42</v>
      </c>
      <c r="Q913" t="s">
        <v>43</v>
      </c>
      <c r="R913">
        <v>44</v>
      </c>
      <c r="S913">
        <v>3.6</v>
      </c>
      <c r="T913" t="b">
        <v>1</v>
      </c>
      <c r="U913" t="s">
        <v>30</v>
      </c>
      <c r="V913">
        <v>2517</v>
      </c>
      <c r="W913" t="s">
        <v>59</v>
      </c>
      <c r="X913" t="s">
        <v>70</v>
      </c>
      <c r="Y913" t="s">
        <v>39</v>
      </c>
    </row>
    <row r="914" spans="1:25" x14ac:dyDescent="0.35">
      <c r="A914">
        <v>7015</v>
      </c>
      <c r="B914" t="s">
        <v>372</v>
      </c>
      <c r="C914" s="1">
        <v>45567</v>
      </c>
      <c r="D914" s="1">
        <v>45635</v>
      </c>
      <c r="E914">
        <v>2</v>
      </c>
      <c r="F914">
        <v>11.99</v>
      </c>
      <c r="G914">
        <f t="shared" si="14"/>
        <v>23.98</v>
      </c>
      <c r="H914">
        <v>424</v>
      </c>
      <c r="I914" t="s">
        <v>35</v>
      </c>
      <c r="J914">
        <v>1</v>
      </c>
      <c r="K914">
        <v>3</v>
      </c>
      <c r="L914" t="b">
        <v>1</v>
      </c>
      <c r="M914">
        <v>684</v>
      </c>
      <c r="N914">
        <v>127</v>
      </c>
      <c r="O914" t="s">
        <v>65</v>
      </c>
      <c r="P914" t="s">
        <v>66</v>
      </c>
      <c r="Q914" t="s">
        <v>43</v>
      </c>
      <c r="R914">
        <v>97</v>
      </c>
      <c r="S914">
        <v>4.5999999999999996</v>
      </c>
      <c r="T914" t="b">
        <v>0</v>
      </c>
      <c r="U914" t="s">
        <v>30</v>
      </c>
      <c r="V914">
        <v>2070</v>
      </c>
      <c r="W914" t="s">
        <v>59</v>
      </c>
      <c r="X914" t="s">
        <v>38</v>
      </c>
      <c r="Y914" t="s">
        <v>33</v>
      </c>
    </row>
    <row r="915" spans="1:25" x14ac:dyDescent="0.35">
      <c r="A915">
        <v>4104</v>
      </c>
      <c r="B915" t="s">
        <v>389</v>
      </c>
      <c r="C915" s="1">
        <v>45129</v>
      </c>
      <c r="D915" s="1">
        <v>45616</v>
      </c>
      <c r="E915">
        <v>15</v>
      </c>
      <c r="F915">
        <v>15.99</v>
      </c>
      <c r="G915">
        <f t="shared" si="14"/>
        <v>239.85</v>
      </c>
      <c r="H915">
        <v>182</v>
      </c>
      <c r="I915" t="s">
        <v>45</v>
      </c>
      <c r="J915">
        <v>4</v>
      </c>
      <c r="K915">
        <v>5</v>
      </c>
      <c r="L915" t="b">
        <v>0</v>
      </c>
      <c r="M915">
        <v>247</v>
      </c>
      <c r="N915">
        <v>197</v>
      </c>
      <c r="O915" t="s">
        <v>27</v>
      </c>
      <c r="P915" t="s">
        <v>66</v>
      </c>
      <c r="Q915" t="s">
        <v>69</v>
      </c>
      <c r="R915">
        <v>90</v>
      </c>
      <c r="S915">
        <v>4.7</v>
      </c>
      <c r="T915" t="b">
        <v>0</v>
      </c>
      <c r="U915" t="s">
        <v>30</v>
      </c>
      <c r="V915">
        <v>4726</v>
      </c>
      <c r="W915" t="s">
        <v>59</v>
      </c>
      <c r="X915" t="s">
        <v>32</v>
      </c>
      <c r="Y915" t="s">
        <v>39</v>
      </c>
    </row>
    <row r="916" spans="1:25" x14ac:dyDescent="0.35">
      <c r="A916">
        <v>9413</v>
      </c>
      <c r="B916" t="s">
        <v>95</v>
      </c>
      <c r="C916" s="1">
        <v>45165</v>
      </c>
      <c r="D916" s="1">
        <v>45629</v>
      </c>
      <c r="E916">
        <v>15</v>
      </c>
      <c r="F916">
        <v>15.99</v>
      </c>
      <c r="G916">
        <f t="shared" si="14"/>
        <v>239.85</v>
      </c>
      <c r="H916">
        <v>115</v>
      </c>
      <c r="I916" t="s">
        <v>45</v>
      </c>
      <c r="J916">
        <v>2</v>
      </c>
      <c r="K916">
        <v>3</v>
      </c>
      <c r="L916" t="b">
        <v>1</v>
      </c>
      <c r="M916">
        <v>741</v>
      </c>
      <c r="N916">
        <v>68</v>
      </c>
      <c r="O916" t="s">
        <v>27</v>
      </c>
      <c r="P916" t="s">
        <v>66</v>
      </c>
      <c r="Q916" t="s">
        <v>29</v>
      </c>
      <c r="R916">
        <v>30</v>
      </c>
      <c r="S916">
        <v>5</v>
      </c>
      <c r="T916" t="b">
        <v>1</v>
      </c>
      <c r="U916" t="s">
        <v>30</v>
      </c>
      <c r="V916">
        <v>1536</v>
      </c>
      <c r="W916" t="s">
        <v>31</v>
      </c>
      <c r="X916" t="s">
        <v>32</v>
      </c>
      <c r="Y916" t="s">
        <v>55</v>
      </c>
    </row>
    <row r="917" spans="1:25" x14ac:dyDescent="0.35">
      <c r="A917">
        <v>8300</v>
      </c>
      <c r="B917" t="s">
        <v>171</v>
      </c>
      <c r="C917" s="1">
        <v>45406</v>
      </c>
      <c r="D917" s="1">
        <v>45639</v>
      </c>
      <c r="E917">
        <v>7</v>
      </c>
      <c r="F917">
        <v>15.99</v>
      </c>
      <c r="G917">
        <f t="shared" si="14"/>
        <v>111.93</v>
      </c>
      <c r="H917">
        <v>33</v>
      </c>
      <c r="I917" t="s">
        <v>48</v>
      </c>
      <c r="J917">
        <v>1</v>
      </c>
      <c r="K917">
        <v>4</v>
      </c>
      <c r="L917" t="b">
        <v>0</v>
      </c>
      <c r="M917">
        <v>623</v>
      </c>
      <c r="N917">
        <v>53</v>
      </c>
      <c r="O917" t="s">
        <v>41</v>
      </c>
      <c r="P917" t="s">
        <v>51</v>
      </c>
      <c r="Q917" t="s">
        <v>58</v>
      </c>
      <c r="R917">
        <v>17</v>
      </c>
      <c r="S917">
        <v>3.5</v>
      </c>
      <c r="T917" t="b">
        <v>0</v>
      </c>
      <c r="U917" t="s">
        <v>30</v>
      </c>
      <c r="V917">
        <v>2113</v>
      </c>
      <c r="W917" t="s">
        <v>37</v>
      </c>
      <c r="X917" t="s">
        <v>70</v>
      </c>
      <c r="Y917" t="s">
        <v>77</v>
      </c>
    </row>
    <row r="918" spans="1:25" x14ac:dyDescent="0.35">
      <c r="A918">
        <v>5126</v>
      </c>
      <c r="B918" t="s">
        <v>178</v>
      </c>
      <c r="C918" s="1">
        <v>45418</v>
      </c>
      <c r="D918" s="1">
        <v>45629</v>
      </c>
      <c r="E918">
        <v>6</v>
      </c>
      <c r="F918">
        <v>7.99</v>
      </c>
      <c r="G918">
        <f t="shared" si="14"/>
        <v>47.94</v>
      </c>
      <c r="H918">
        <v>259</v>
      </c>
      <c r="I918" t="s">
        <v>35</v>
      </c>
      <c r="J918">
        <v>1</v>
      </c>
      <c r="K918">
        <v>1</v>
      </c>
      <c r="L918" t="b">
        <v>1</v>
      </c>
      <c r="M918">
        <v>327</v>
      </c>
      <c r="N918">
        <v>76</v>
      </c>
      <c r="O918" t="s">
        <v>46</v>
      </c>
      <c r="P918" t="s">
        <v>28</v>
      </c>
      <c r="Q918" t="s">
        <v>69</v>
      </c>
      <c r="R918">
        <v>9</v>
      </c>
      <c r="S918">
        <v>4.3</v>
      </c>
      <c r="T918" t="b">
        <v>1</v>
      </c>
      <c r="U918" t="s">
        <v>30</v>
      </c>
      <c r="V918">
        <v>428</v>
      </c>
      <c r="W918" t="s">
        <v>67</v>
      </c>
      <c r="X918" t="s">
        <v>38</v>
      </c>
      <c r="Y918" t="s">
        <v>77</v>
      </c>
    </row>
    <row r="919" spans="1:25" x14ac:dyDescent="0.35">
      <c r="A919">
        <v>1754</v>
      </c>
      <c r="B919" t="s">
        <v>63</v>
      </c>
      <c r="C919" s="1">
        <v>45456</v>
      </c>
      <c r="D919" s="1">
        <v>45616</v>
      </c>
      <c r="E919">
        <v>5</v>
      </c>
      <c r="F919">
        <v>15.99</v>
      </c>
      <c r="G919">
        <f t="shared" si="14"/>
        <v>79.95</v>
      </c>
      <c r="H919">
        <v>309</v>
      </c>
      <c r="I919" t="s">
        <v>81</v>
      </c>
      <c r="J919">
        <v>5</v>
      </c>
      <c r="K919">
        <v>6</v>
      </c>
      <c r="L919" t="b">
        <v>0</v>
      </c>
      <c r="M919">
        <v>760</v>
      </c>
      <c r="N919">
        <v>72</v>
      </c>
      <c r="O919" t="s">
        <v>76</v>
      </c>
      <c r="P919" t="s">
        <v>51</v>
      </c>
      <c r="Q919" t="s">
        <v>69</v>
      </c>
      <c r="R919">
        <v>91</v>
      </c>
      <c r="S919">
        <v>4.8</v>
      </c>
      <c r="T919" t="b">
        <v>1</v>
      </c>
      <c r="U919" t="s">
        <v>30</v>
      </c>
      <c r="V919">
        <v>2336</v>
      </c>
      <c r="W919" t="s">
        <v>53</v>
      </c>
      <c r="X919" t="s">
        <v>62</v>
      </c>
      <c r="Y919" t="s">
        <v>77</v>
      </c>
    </row>
    <row r="920" spans="1:25" x14ac:dyDescent="0.35">
      <c r="A920">
        <v>7089</v>
      </c>
      <c r="B920" t="s">
        <v>222</v>
      </c>
      <c r="C920" s="1">
        <v>44988</v>
      </c>
      <c r="D920" s="1">
        <v>45637</v>
      </c>
      <c r="E920">
        <v>21</v>
      </c>
      <c r="F920">
        <v>7.99</v>
      </c>
      <c r="G920">
        <f t="shared" si="14"/>
        <v>167.79</v>
      </c>
      <c r="H920">
        <v>367</v>
      </c>
      <c r="I920" t="s">
        <v>81</v>
      </c>
      <c r="J920">
        <v>1</v>
      </c>
      <c r="K920">
        <v>3</v>
      </c>
      <c r="L920" t="b">
        <v>0</v>
      </c>
      <c r="M920">
        <v>522</v>
      </c>
      <c r="N920">
        <v>10</v>
      </c>
      <c r="O920" t="s">
        <v>27</v>
      </c>
      <c r="P920" t="s">
        <v>28</v>
      </c>
      <c r="Q920" t="s">
        <v>43</v>
      </c>
      <c r="R920">
        <v>70</v>
      </c>
      <c r="S920">
        <v>3.8</v>
      </c>
      <c r="T920" t="b">
        <v>0</v>
      </c>
      <c r="U920" t="s">
        <v>30</v>
      </c>
      <c r="V920">
        <v>2344</v>
      </c>
      <c r="W920" t="s">
        <v>37</v>
      </c>
      <c r="X920" t="s">
        <v>38</v>
      </c>
      <c r="Y920" t="s">
        <v>55</v>
      </c>
    </row>
    <row r="921" spans="1:25" x14ac:dyDescent="0.35">
      <c r="A921">
        <v>1697</v>
      </c>
      <c r="B921" t="s">
        <v>83</v>
      </c>
      <c r="C921" s="1">
        <v>45190</v>
      </c>
      <c r="D921" s="1">
        <v>45623</v>
      </c>
      <c r="E921">
        <v>14</v>
      </c>
      <c r="F921">
        <v>7.99</v>
      </c>
      <c r="G921">
        <f t="shared" si="14"/>
        <v>111.86</v>
      </c>
      <c r="H921">
        <v>472</v>
      </c>
      <c r="I921" t="s">
        <v>26</v>
      </c>
      <c r="J921">
        <v>5</v>
      </c>
      <c r="K921">
        <v>2</v>
      </c>
      <c r="L921" t="b">
        <v>1</v>
      </c>
      <c r="M921">
        <v>76</v>
      </c>
      <c r="N921">
        <v>157</v>
      </c>
      <c r="O921" t="s">
        <v>27</v>
      </c>
      <c r="P921" t="s">
        <v>42</v>
      </c>
      <c r="Q921" t="s">
        <v>69</v>
      </c>
      <c r="R921">
        <v>6</v>
      </c>
      <c r="S921">
        <v>3.1</v>
      </c>
      <c r="T921" t="b">
        <v>1</v>
      </c>
      <c r="U921" t="s">
        <v>30</v>
      </c>
      <c r="V921">
        <v>1351</v>
      </c>
      <c r="W921" t="s">
        <v>59</v>
      </c>
      <c r="X921" t="s">
        <v>70</v>
      </c>
      <c r="Y921" t="s">
        <v>77</v>
      </c>
    </row>
    <row r="922" spans="1:25" x14ac:dyDescent="0.35">
      <c r="A922">
        <v>4768</v>
      </c>
      <c r="B922" t="s">
        <v>307</v>
      </c>
      <c r="C922" s="1">
        <v>45264</v>
      </c>
      <c r="D922" s="1">
        <v>45619</v>
      </c>
      <c r="E922">
        <v>11</v>
      </c>
      <c r="F922">
        <v>15.99</v>
      </c>
      <c r="G922">
        <f t="shared" si="14"/>
        <v>175.89000000000001</v>
      </c>
      <c r="H922">
        <v>449</v>
      </c>
      <c r="I922" t="s">
        <v>48</v>
      </c>
      <c r="J922">
        <v>5</v>
      </c>
      <c r="K922">
        <v>4</v>
      </c>
      <c r="L922" t="b">
        <v>0</v>
      </c>
      <c r="M922">
        <v>61</v>
      </c>
      <c r="N922">
        <v>61</v>
      </c>
      <c r="O922" t="s">
        <v>65</v>
      </c>
      <c r="P922" t="s">
        <v>42</v>
      </c>
      <c r="Q922" t="s">
        <v>69</v>
      </c>
      <c r="R922">
        <v>88</v>
      </c>
      <c r="S922">
        <v>3.7</v>
      </c>
      <c r="T922" t="b">
        <v>1</v>
      </c>
      <c r="U922" t="s">
        <v>30</v>
      </c>
      <c r="V922">
        <v>165</v>
      </c>
      <c r="W922" t="s">
        <v>67</v>
      </c>
      <c r="X922" t="s">
        <v>62</v>
      </c>
      <c r="Y922" t="s">
        <v>77</v>
      </c>
    </row>
    <row r="923" spans="1:25" x14ac:dyDescent="0.35">
      <c r="A923">
        <v>4205</v>
      </c>
      <c r="B923" t="s">
        <v>169</v>
      </c>
      <c r="C923" s="1">
        <v>45274</v>
      </c>
      <c r="D923" s="1">
        <v>45632</v>
      </c>
      <c r="E923">
        <v>11</v>
      </c>
      <c r="F923">
        <v>15.99</v>
      </c>
      <c r="G923">
        <f t="shared" si="14"/>
        <v>175.89000000000001</v>
      </c>
      <c r="H923">
        <v>302</v>
      </c>
      <c r="I923" t="s">
        <v>64</v>
      </c>
      <c r="J923">
        <v>4</v>
      </c>
      <c r="K923">
        <v>4</v>
      </c>
      <c r="L923" t="b">
        <v>1</v>
      </c>
      <c r="M923">
        <v>800</v>
      </c>
      <c r="N923">
        <v>101</v>
      </c>
      <c r="O923" t="s">
        <v>27</v>
      </c>
      <c r="P923" t="s">
        <v>66</v>
      </c>
      <c r="Q923" t="s">
        <v>58</v>
      </c>
      <c r="R923">
        <v>89</v>
      </c>
      <c r="S923">
        <v>4.3</v>
      </c>
      <c r="T923" t="b">
        <v>0</v>
      </c>
      <c r="U923" t="s">
        <v>30</v>
      </c>
      <c r="V923">
        <v>3411</v>
      </c>
      <c r="W923" t="s">
        <v>37</v>
      </c>
      <c r="X923" t="s">
        <v>70</v>
      </c>
      <c r="Y923" t="s">
        <v>39</v>
      </c>
    </row>
    <row r="924" spans="1:25" x14ac:dyDescent="0.35">
      <c r="A924">
        <v>8844</v>
      </c>
      <c r="B924" t="s">
        <v>102</v>
      </c>
      <c r="C924" s="1">
        <v>45559</v>
      </c>
      <c r="D924" s="1">
        <v>45644</v>
      </c>
      <c r="E924">
        <v>2</v>
      </c>
      <c r="F924">
        <v>7.99</v>
      </c>
      <c r="G924">
        <f t="shared" si="14"/>
        <v>15.98</v>
      </c>
      <c r="H924">
        <v>70</v>
      </c>
      <c r="I924" t="s">
        <v>45</v>
      </c>
      <c r="J924">
        <v>3</v>
      </c>
      <c r="K924">
        <v>6</v>
      </c>
      <c r="L924" t="b">
        <v>1</v>
      </c>
      <c r="M924">
        <v>226</v>
      </c>
      <c r="N924">
        <v>104</v>
      </c>
      <c r="O924" t="s">
        <v>27</v>
      </c>
      <c r="P924" t="s">
        <v>42</v>
      </c>
      <c r="Q924" t="s">
        <v>36</v>
      </c>
      <c r="R924">
        <v>59</v>
      </c>
      <c r="S924">
        <v>3.3</v>
      </c>
      <c r="T924" t="b">
        <v>1</v>
      </c>
      <c r="U924" t="s">
        <v>30</v>
      </c>
      <c r="V924">
        <v>615</v>
      </c>
      <c r="W924" t="s">
        <v>59</v>
      </c>
      <c r="X924" t="s">
        <v>62</v>
      </c>
      <c r="Y924" t="s">
        <v>33</v>
      </c>
    </row>
    <row r="925" spans="1:25" x14ac:dyDescent="0.35">
      <c r="A925">
        <v>1103</v>
      </c>
      <c r="B925" t="s">
        <v>252</v>
      </c>
      <c r="C925" s="1">
        <v>45054</v>
      </c>
      <c r="D925" s="1">
        <v>45628</v>
      </c>
      <c r="E925">
        <v>18</v>
      </c>
      <c r="F925">
        <v>7.99</v>
      </c>
      <c r="G925">
        <f t="shared" si="14"/>
        <v>143.82</v>
      </c>
      <c r="H925">
        <v>157</v>
      </c>
      <c r="I925" t="s">
        <v>45</v>
      </c>
      <c r="J925">
        <v>2</v>
      </c>
      <c r="K925">
        <v>1</v>
      </c>
      <c r="L925" t="b">
        <v>0</v>
      </c>
      <c r="M925">
        <v>792</v>
      </c>
      <c r="N925">
        <v>141</v>
      </c>
      <c r="O925" t="s">
        <v>41</v>
      </c>
      <c r="P925" t="s">
        <v>51</v>
      </c>
      <c r="Q925" t="s">
        <v>52</v>
      </c>
      <c r="R925">
        <v>18</v>
      </c>
      <c r="S925">
        <v>4.2</v>
      </c>
      <c r="T925" t="b">
        <v>0</v>
      </c>
      <c r="U925" t="s">
        <v>30</v>
      </c>
      <c r="V925">
        <v>1538</v>
      </c>
      <c r="W925" t="s">
        <v>31</v>
      </c>
      <c r="X925" t="s">
        <v>70</v>
      </c>
      <c r="Y925" t="s">
        <v>77</v>
      </c>
    </row>
    <row r="926" spans="1:25" x14ac:dyDescent="0.35">
      <c r="A926">
        <v>2180</v>
      </c>
      <c r="B926" t="s">
        <v>390</v>
      </c>
      <c r="C926" s="1">
        <v>45032</v>
      </c>
      <c r="D926" s="1">
        <v>45620</v>
      </c>
      <c r="E926">
        <v>19</v>
      </c>
      <c r="F926">
        <v>7.99</v>
      </c>
      <c r="G926">
        <f t="shared" si="14"/>
        <v>151.81</v>
      </c>
      <c r="H926">
        <v>17</v>
      </c>
      <c r="I926" t="s">
        <v>57</v>
      </c>
      <c r="J926">
        <v>5</v>
      </c>
      <c r="K926">
        <v>5</v>
      </c>
      <c r="L926" t="b">
        <v>0</v>
      </c>
      <c r="M926">
        <v>498</v>
      </c>
      <c r="N926">
        <v>67</v>
      </c>
      <c r="O926" t="s">
        <v>46</v>
      </c>
      <c r="P926" t="s">
        <v>28</v>
      </c>
      <c r="Q926" t="s">
        <v>43</v>
      </c>
      <c r="R926">
        <v>67</v>
      </c>
      <c r="S926">
        <v>3</v>
      </c>
      <c r="T926" t="b">
        <v>1</v>
      </c>
      <c r="U926" t="s">
        <v>30</v>
      </c>
      <c r="V926">
        <v>1835</v>
      </c>
      <c r="W926" t="s">
        <v>53</v>
      </c>
      <c r="X926" t="s">
        <v>32</v>
      </c>
      <c r="Y926" t="s">
        <v>33</v>
      </c>
    </row>
    <row r="927" spans="1:25" x14ac:dyDescent="0.35">
      <c r="A927">
        <v>6607</v>
      </c>
      <c r="B927" t="s">
        <v>391</v>
      </c>
      <c r="C927" s="1">
        <v>44939</v>
      </c>
      <c r="D927" s="1">
        <v>45628</v>
      </c>
      <c r="E927">
        <v>22</v>
      </c>
      <c r="F927">
        <v>15.99</v>
      </c>
      <c r="G927">
        <f t="shared" si="14"/>
        <v>351.78000000000003</v>
      </c>
      <c r="H927">
        <v>173</v>
      </c>
      <c r="I927" t="s">
        <v>35</v>
      </c>
      <c r="J927">
        <v>1</v>
      </c>
      <c r="K927">
        <v>3</v>
      </c>
      <c r="L927" t="b">
        <v>1</v>
      </c>
      <c r="M927">
        <v>950</v>
      </c>
      <c r="N927">
        <v>163</v>
      </c>
      <c r="O927" t="s">
        <v>76</v>
      </c>
      <c r="P927" t="s">
        <v>42</v>
      </c>
      <c r="Q927" t="s">
        <v>69</v>
      </c>
      <c r="R927">
        <v>96</v>
      </c>
      <c r="S927">
        <v>4.9000000000000004</v>
      </c>
      <c r="T927" t="b">
        <v>1</v>
      </c>
      <c r="U927" t="s">
        <v>30</v>
      </c>
      <c r="V927">
        <v>3515</v>
      </c>
      <c r="W927" t="s">
        <v>53</v>
      </c>
      <c r="X927" t="s">
        <v>32</v>
      </c>
      <c r="Y927" t="s">
        <v>33</v>
      </c>
    </row>
    <row r="928" spans="1:25" x14ac:dyDescent="0.35">
      <c r="A928">
        <v>7949</v>
      </c>
      <c r="B928" t="s">
        <v>242</v>
      </c>
      <c r="C928" s="1">
        <v>44937</v>
      </c>
      <c r="D928" s="1">
        <v>45617</v>
      </c>
      <c r="E928">
        <v>22</v>
      </c>
      <c r="F928">
        <v>11.99</v>
      </c>
      <c r="G928">
        <f t="shared" si="14"/>
        <v>263.78000000000003</v>
      </c>
      <c r="H928">
        <v>301</v>
      </c>
      <c r="I928" t="s">
        <v>64</v>
      </c>
      <c r="J928">
        <v>5</v>
      </c>
      <c r="K928">
        <v>4</v>
      </c>
      <c r="L928" t="b">
        <v>0</v>
      </c>
      <c r="M928">
        <v>906</v>
      </c>
      <c r="N928">
        <v>141</v>
      </c>
      <c r="O928" t="s">
        <v>61</v>
      </c>
      <c r="P928" t="s">
        <v>51</v>
      </c>
      <c r="Q928" t="s">
        <v>29</v>
      </c>
      <c r="R928">
        <v>56</v>
      </c>
      <c r="S928">
        <v>4.5</v>
      </c>
      <c r="T928" t="b">
        <v>1</v>
      </c>
      <c r="U928" t="s">
        <v>30</v>
      </c>
      <c r="V928">
        <v>1657</v>
      </c>
      <c r="W928" t="s">
        <v>37</v>
      </c>
      <c r="X928" t="s">
        <v>32</v>
      </c>
      <c r="Y928" t="s">
        <v>77</v>
      </c>
    </row>
    <row r="929" spans="1:25" x14ac:dyDescent="0.35">
      <c r="A929">
        <v>5337</v>
      </c>
      <c r="B929" t="s">
        <v>291</v>
      </c>
      <c r="C929" s="1">
        <v>45520</v>
      </c>
      <c r="D929" s="1">
        <v>45624</v>
      </c>
      <c r="E929">
        <v>3</v>
      </c>
      <c r="F929">
        <v>7.99</v>
      </c>
      <c r="G929">
        <f t="shared" si="14"/>
        <v>23.97</v>
      </c>
      <c r="H929">
        <v>357</v>
      </c>
      <c r="I929" t="s">
        <v>57</v>
      </c>
      <c r="J929">
        <v>2</v>
      </c>
      <c r="K929">
        <v>4</v>
      </c>
      <c r="L929" t="b">
        <v>1</v>
      </c>
      <c r="M929">
        <v>245</v>
      </c>
      <c r="N929">
        <v>116</v>
      </c>
      <c r="O929" t="s">
        <v>76</v>
      </c>
      <c r="P929" t="s">
        <v>66</v>
      </c>
      <c r="Q929" t="s">
        <v>43</v>
      </c>
      <c r="R929">
        <v>71</v>
      </c>
      <c r="S929">
        <v>4.2</v>
      </c>
      <c r="T929" t="b">
        <v>1</v>
      </c>
      <c r="U929" t="s">
        <v>30</v>
      </c>
      <c r="V929">
        <v>2209</v>
      </c>
      <c r="W929" t="s">
        <v>31</v>
      </c>
      <c r="X929" t="s">
        <v>54</v>
      </c>
      <c r="Y929" t="s">
        <v>33</v>
      </c>
    </row>
    <row r="930" spans="1:25" x14ac:dyDescent="0.35">
      <c r="A930">
        <v>8477</v>
      </c>
      <c r="B930" t="s">
        <v>154</v>
      </c>
      <c r="C930" s="1">
        <v>45125</v>
      </c>
      <c r="D930" s="1">
        <v>45628</v>
      </c>
      <c r="E930">
        <v>16</v>
      </c>
      <c r="F930">
        <v>7.99</v>
      </c>
      <c r="G930">
        <f t="shared" si="14"/>
        <v>127.84</v>
      </c>
      <c r="H930">
        <v>48</v>
      </c>
      <c r="I930" t="s">
        <v>35</v>
      </c>
      <c r="J930">
        <v>4</v>
      </c>
      <c r="K930">
        <v>2</v>
      </c>
      <c r="L930" t="b">
        <v>0</v>
      </c>
      <c r="M930">
        <v>33</v>
      </c>
      <c r="N930">
        <v>7</v>
      </c>
      <c r="O930" t="s">
        <v>27</v>
      </c>
      <c r="P930" t="s">
        <v>28</v>
      </c>
      <c r="Q930" t="s">
        <v>36</v>
      </c>
      <c r="R930">
        <v>13</v>
      </c>
      <c r="S930">
        <v>4.8</v>
      </c>
      <c r="T930" t="b">
        <v>1</v>
      </c>
      <c r="U930" t="s">
        <v>30</v>
      </c>
      <c r="V930">
        <v>1327</v>
      </c>
      <c r="W930" t="s">
        <v>53</v>
      </c>
      <c r="X930" t="s">
        <v>62</v>
      </c>
      <c r="Y930" t="s">
        <v>55</v>
      </c>
    </row>
    <row r="931" spans="1:25" x14ac:dyDescent="0.35">
      <c r="A931">
        <v>7673</v>
      </c>
      <c r="B931" t="s">
        <v>392</v>
      </c>
      <c r="C931" s="1">
        <v>45156</v>
      </c>
      <c r="D931" s="1">
        <v>45618</v>
      </c>
      <c r="E931">
        <v>15</v>
      </c>
      <c r="F931">
        <v>7.99</v>
      </c>
      <c r="G931">
        <f t="shared" si="14"/>
        <v>119.85000000000001</v>
      </c>
      <c r="H931">
        <v>351</v>
      </c>
      <c r="I931" t="s">
        <v>26</v>
      </c>
      <c r="J931">
        <v>4</v>
      </c>
      <c r="K931">
        <v>2</v>
      </c>
      <c r="L931" t="b">
        <v>0</v>
      </c>
      <c r="M931">
        <v>70</v>
      </c>
      <c r="N931">
        <v>41</v>
      </c>
      <c r="O931" t="s">
        <v>65</v>
      </c>
      <c r="P931" t="s">
        <v>66</v>
      </c>
      <c r="Q931" t="s">
        <v>52</v>
      </c>
      <c r="R931">
        <v>78</v>
      </c>
      <c r="S931">
        <v>3.7</v>
      </c>
      <c r="T931" t="b">
        <v>0</v>
      </c>
      <c r="U931" t="s">
        <v>30</v>
      </c>
      <c r="V931">
        <v>4337</v>
      </c>
      <c r="W931" t="s">
        <v>31</v>
      </c>
      <c r="X931" t="s">
        <v>70</v>
      </c>
      <c r="Y931" t="s">
        <v>39</v>
      </c>
    </row>
    <row r="932" spans="1:25" x14ac:dyDescent="0.35">
      <c r="A932">
        <v>6113</v>
      </c>
      <c r="B932" t="s">
        <v>393</v>
      </c>
      <c r="C932" s="1">
        <v>45236</v>
      </c>
      <c r="D932" s="1">
        <v>45640</v>
      </c>
      <c r="E932">
        <v>13</v>
      </c>
      <c r="F932">
        <v>11.99</v>
      </c>
      <c r="G932">
        <f t="shared" si="14"/>
        <v>155.87</v>
      </c>
      <c r="H932">
        <v>491</v>
      </c>
      <c r="I932" t="s">
        <v>64</v>
      </c>
      <c r="J932">
        <v>3</v>
      </c>
      <c r="K932">
        <v>4</v>
      </c>
      <c r="L932" t="b">
        <v>1</v>
      </c>
      <c r="M932">
        <v>779</v>
      </c>
      <c r="N932">
        <v>86</v>
      </c>
      <c r="O932" t="s">
        <v>46</v>
      </c>
      <c r="P932" t="s">
        <v>66</v>
      </c>
      <c r="Q932" t="s">
        <v>29</v>
      </c>
      <c r="R932">
        <v>85</v>
      </c>
      <c r="S932">
        <v>4.7</v>
      </c>
      <c r="T932" t="b">
        <v>1</v>
      </c>
      <c r="U932" t="s">
        <v>30</v>
      </c>
      <c r="V932">
        <v>398</v>
      </c>
      <c r="W932" t="s">
        <v>59</v>
      </c>
      <c r="X932" t="s">
        <v>70</v>
      </c>
      <c r="Y932" t="s">
        <v>39</v>
      </c>
    </row>
    <row r="933" spans="1:25" x14ac:dyDescent="0.35">
      <c r="A933">
        <v>7457</v>
      </c>
      <c r="B933" t="s">
        <v>284</v>
      </c>
      <c r="C933" s="1">
        <v>45028</v>
      </c>
      <c r="D933" s="1">
        <v>45625</v>
      </c>
      <c r="E933">
        <v>19</v>
      </c>
      <c r="F933">
        <v>11.99</v>
      </c>
      <c r="G933">
        <f t="shared" si="14"/>
        <v>227.81</v>
      </c>
      <c r="H933">
        <v>164</v>
      </c>
      <c r="I933" t="s">
        <v>45</v>
      </c>
      <c r="J933">
        <v>2</v>
      </c>
      <c r="K933">
        <v>1</v>
      </c>
      <c r="L933" t="b">
        <v>1</v>
      </c>
      <c r="M933">
        <v>536</v>
      </c>
      <c r="N933">
        <v>150</v>
      </c>
      <c r="O933" t="s">
        <v>46</v>
      </c>
      <c r="P933" t="s">
        <v>42</v>
      </c>
      <c r="Q933" t="s">
        <v>43</v>
      </c>
      <c r="R933">
        <v>7</v>
      </c>
      <c r="S933">
        <v>3.2</v>
      </c>
      <c r="T933" t="b">
        <v>1</v>
      </c>
      <c r="U933" t="s">
        <v>30</v>
      </c>
      <c r="V933">
        <v>1508</v>
      </c>
      <c r="W933" t="s">
        <v>31</v>
      </c>
      <c r="X933" t="s">
        <v>62</v>
      </c>
      <c r="Y933" t="s">
        <v>55</v>
      </c>
    </row>
    <row r="934" spans="1:25" x14ac:dyDescent="0.35">
      <c r="A934">
        <v>6639</v>
      </c>
      <c r="B934" t="s">
        <v>246</v>
      </c>
      <c r="C934" s="1">
        <v>45278</v>
      </c>
      <c r="D934" s="1">
        <v>45644</v>
      </c>
      <c r="E934">
        <v>12</v>
      </c>
      <c r="F934">
        <v>7.99</v>
      </c>
      <c r="G934">
        <f t="shared" si="14"/>
        <v>95.88</v>
      </c>
      <c r="H934">
        <v>304</v>
      </c>
      <c r="I934" t="s">
        <v>26</v>
      </c>
      <c r="J934">
        <v>1</v>
      </c>
      <c r="K934">
        <v>6</v>
      </c>
      <c r="L934" t="b">
        <v>1</v>
      </c>
      <c r="M934">
        <v>902</v>
      </c>
      <c r="N934">
        <v>20</v>
      </c>
      <c r="O934" t="s">
        <v>65</v>
      </c>
      <c r="P934" t="s">
        <v>28</v>
      </c>
      <c r="Q934" t="s">
        <v>43</v>
      </c>
      <c r="R934">
        <v>62</v>
      </c>
      <c r="S934">
        <v>3.9</v>
      </c>
      <c r="T934" t="b">
        <v>1</v>
      </c>
      <c r="U934" t="s">
        <v>30</v>
      </c>
      <c r="V934">
        <v>249</v>
      </c>
      <c r="W934" t="s">
        <v>37</v>
      </c>
      <c r="X934" t="s">
        <v>32</v>
      </c>
      <c r="Y934" t="s">
        <v>39</v>
      </c>
    </row>
    <row r="935" spans="1:25" x14ac:dyDescent="0.35">
      <c r="A935">
        <v>5220</v>
      </c>
      <c r="B935" t="s">
        <v>142</v>
      </c>
      <c r="C935" s="1">
        <v>45151</v>
      </c>
      <c r="D935" s="1">
        <v>45634</v>
      </c>
      <c r="E935">
        <v>15</v>
      </c>
      <c r="F935">
        <v>7.99</v>
      </c>
      <c r="G935">
        <f t="shared" si="14"/>
        <v>119.85000000000001</v>
      </c>
      <c r="H935">
        <v>166</v>
      </c>
      <c r="I935" t="s">
        <v>57</v>
      </c>
      <c r="J935">
        <v>2</v>
      </c>
      <c r="K935">
        <v>3</v>
      </c>
      <c r="L935" t="b">
        <v>1</v>
      </c>
      <c r="M935">
        <v>493</v>
      </c>
      <c r="N935">
        <v>168</v>
      </c>
      <c r="O935" t="s">
        <v>27</v>
      </c>
      <c r="P935" t="s">
        <v>28</v>
      </c>
      <c r="Q935" t="s">
        <v>58</v>
      </c>
      <c r="R935">
        <v>55</v>
      </c>
      <c r="S935">
        <v>3.4</v>
      </c>
      <c r="T935" t="b">
        <v>1</v>
      </c>
      <c r="U935" t="s">
        <v>30</v>
      </c>
      <c r="V935">
        <v>954</v>
      </c>
      <c r="W935" t="s">
        <v>59</v>
      </c>
      <c r="X935" t="s">
        <v>54</v>
      </c>
      <c r="Y935" t="s">
        <v>39</v>
      </c>
    </row>
    <row r="936" spans="1:25" x14ac:dyDescent="0.35">
      <c r="A936">
        <v>6970</v>
      </c>
      <c r="B936" t="s">
        <v>229</v>
      </c>
      <c r="C936" s="1">
        <v>45643</v>
      </c>
      <c r="D936" s="1">
        <v>45631</v>
      </c>
      <c r="E936">
        <v>0</v>
      </c>
      <c r="F936">
        <v>7.99</v>
      </c>
      <c r="G936">
        <f t="shared" si="14"/>
        <v>0</v>
      </c>
      <c r="H936">
        <v>225</v>
      </c>
      <c r="I936" t="s">
        <v>81</v>
      </c>
      <c r="J936">
        <v>3</v>
      </c>
      <c r="K936">
        <v>3</v>
      </c>
      <c r="L936" t="b">
        <v>1</v>
      </c>
      <c r="M936">
        <v>589</v>
      </c>
      <c r="N936">
        <v>103</v>
      </c>
      <c r="O936" t="s">
        <v>41</v>
      </c>
      <c r="P936" t="s">
        <v>51</v>
      </c>
      <c r="Q936" t="s">
        <v>29</v>
      </c>
      <c r="R936">
        <v>93</v>
      </c>
      <c r="S936">
        <v>3.2</v>
      </c>
      <c r="T936" t="b">
        <v>1</v>
      </c>
      <c r="U936" t="s">
        <v>30</v>
      </c>
      <c r="V936">
        <v>3313</v>
      </c>
      <c r="W936" t="s">
        <v>53</v>
      </c>
      <c r="X936" t="s">
        <v>32</v>
      </c>
      <c r="Y936" t="s">
        <v>55</v>
      </c>
    </row>
    <row r="937" spans="1:25" x14ac:dyDescent="0.35">
      <c r="A937">
        <v>6705</v>
      </c>
      <c r="B937" t="s">
        <v>94</v>
      </c>
      <c r="C937" s="1">
        <v>45563</v>
      </c>
      <c r="D937" s="1">
        <v>45635</v>
      </c>
      <c r="E937">
        <v>2</v>
      </c>
      <c r="F937">
        <v>7.99</v>
      </c>
      <c r="G937">
        <f t="shared" si="14"/>
        <v>15.98</v>
      </c>
      <c r="H937">
        <v>163</v>
      </c>
      <c r="I937" t="s">
        <v>81</v>
      </c>
      <c r="J937">
        <v>2</v>
      </c>
      <c r="K937">
        <v>6</v>
      </c>
      <c r="L937" t="b">
        <v>1</v>
      </c>
      <c r="M937">
        <v>206</v>
      </c>
      <c r="N937">
        <v>132</v>
      </c>
      <c r="O937" t="s">
        <v>65</v>
      </c>
      <c r="P937" t="s">
        <v>42</v>
      </c>
      <c r="Q937" t="s">
        <v>29</v>
      </c>
      <c r="R937">
        <v>63</v>
      </c>
      <c r="S937">
        <v>3.5</v>
      </c>
      <c r="T937" t="b">
        <v>1</v>
      </c>
      <c r="U937" t="s">
        <v>30</v>
      </c>
      <c r="V937">
        <v>1790</v>
      </c>
      <c r="W937" t="s">
        <v>37</v>
      </c>
      <c r="X937" t="s">
        <v>32</v>
      </c>
      <c r="Y937" t="s">
        <v>39</v>
      </c>
    </row>
    <row r="938" spans="1:25" x14ac:dyDescent="0.35">
      <c r="A938">
        <v>2477</v>
      </c>
      <c r="B938" t="s">
        <v>228</v>
      </c>
      <c r="C938" s="1">
        <v>44998</v>
      </c>
      <c r="D938" s="1">
        <v>45622</v>
      </c>
      <c r="E938">
        <v>20</v>
      </c>
      <c r="F938">
        <v>15.99</v>
      </c>
      <c r="G938">
        <f t="shared" si="14"/>
        <v>319.8</v>
      </c>
      <c r="H938">
        <v>419</v>
      </c>
      <c r="I938" t="s">
        <v>45</v>
      </c>
      <c r="J938">
        <v>2</v>
      </c>
      <c r="K938">
        <v>6</v>
      </c>
      <c r="L938" t="b">
        <v>1</v>
      </c>
      <c r="M938">
        <v>752</v>
      </c>
      <c r="N938">
        <v>21</v>
      </c>
      <c r="O938" t="s">
        <v>27</v>
      </c>
      <c r="P938" t="s">
        <v>42</v>
      </c>
      <c r="Q938" t="s">
        <v>29</v>
      </c>
      <c r="R938">
        <v>94</v>
      </c>
      <c r="S938">
        <v>3.9</v>
      </c>
      <c r="T938" t="b">
        <v>0</v>
      </c>
      <c r="U938" t="s">
        <v>30</v>
      </c>
      <c r="V938">
        <v>2864</v>
      </c>
      <c r="W938" t="s">
        <v>37</v>
      </c>
      <c r="X938" t="s">
        <v>32</v>
      </c>
      <c r="Y938" t="s">
        <v>77</v>
      </c>
    </row>
    <row r="939" spans="1:25" x14ac:dyDescent="0.35">
      <c r="A939">
        <v>6236</v>
      </c>
      <c r="B939" t="s">
        <v>365</v>
      </c>
      <c r="C939" s="1">
        <v>44983</v>
      </c>
      <c r="D939" s="1">
        <v>45618</v>
      </c>
      <c r="E939">
        <v>20</v>
      </c>
      <c r="F939">
        <v>11.99</v>
      </c>
      <c r="G939">
        <f t="shared" si="14"/>
        <v>239.8</v>
      </c>
      <c r="H939">
        <v>293</v>
      </c>
      <c r="I939" t="s">
        <v>26</v>
      </c>
      <c r="J939">
        <v>2</v>
      </c>
      <c r="K939">
        <v>3</v>
      </c>
      <c r="L939" t="b">
        <v>0</v>
      </c>
      <c r="M939">
        <v>514</v>
      </c>
      <c r="N939">
        <v>68</v>
      </c>
      <c r="O939" t="s">
        <v>50</v>
      </c>
      <c r="P939" t="s">
        <v>51</v>
      </c>
      <c r="Q939" t="s">
        <v>43</v>
      </c>
      <c r="R939">
        <v>4</v>
      </c>
      <c r="S939">
        <v>4.7</v>
      </c>
      <c r="T939" t="b">
        <v>0</v>
      </c>
      <c r="U939" t="s">
        <v>30</v>
      </c>
      <c r="V939">
        <v>1872</v>
      </c>
      <c r="W939" t="s">
        <v>67</v>
      </c>
      <c r="X939" t="s">
        <v>38</v>
      </c>
      <c r="Y939" t="s">
        <v>33</v>
      </c>
    </row>
    <row r="940" spans="1:25" x14ac:dyDescent="0.35">
      <c r="A940">
        <v>4079</v>
      </c>
      <c r="B940" t="s">
        <v>394</v>
      </c>
      <c r="C940" s="1">
        <v>44942</v>
      </c>
      <c r="D940" s="1">
        <v>45641</v>
      </c>
      <c r="E940">
        <v>22</v>
      </c>
      <c r="F940">
        <v>7.99</v>
      </c>
      <c r="G940">
        <f t="shared" si="14"/>
        <v>175.78</v>
      </c>
      <c r="H940">
        <v>171</v>
      </c>
      <c r="I940" t="s">
        <v>57</v>
      </c>
      <c r="J940">
        <v>3</v>
      </c>
      <c r="K940">
        <v>6</v>
      </c>
      <c r="L940" t="b">
        <v>1</v>
      </c>
      <c r="M940">
        <v>858</v>
      </c>
      <c r="N940">
        <v>58</v>
      </c>
      <c r="O940" t="s">
        <v>65</v>
      </c>
      <c r="P940" t="s">
        <v>42</v>
      </c>
      <c r="Q940" t="s">
        <v>36</v>
      </c>
      <c r="R940">
        <v>21</v>
      </c>
      <c r="S940">
        <v>4.5</v>
      </c>
      <c r="T940" t="b">
        <v>1</v>
      </c>
      <c r="U940" t="s">
        <v>30</v>
      </c>
      <c r="V940">
        <v>2521</v>
      </c>
      <c r="W940" t="s">
        <v>31</v>
      </c>
      <c r="X940" t="s">
        <v>62</v>
      </c>
      <c r="Y940" t="s">
        <v>77</v>
      </c>
    </row>
    <row r="941" spans="1:25" x14ac:dyDescent="0.35">
      <c r="A941">
        <v>7927</v>
      </c>
      <c r="B941" t="s">
        <v>329</v>
      </c>
      <c r="C941" s="1">
        <v>44937</v>
      </c>
      <c r="D941" s="1">
        <v>45616</v>
      </c>
      <c r="E941">
        <v>22</v>
      </c>
      <c r="F941">
        <v>7.99</v>
      </c>
      <c r="G941">
        <f t="shared" si="14"/>
        <v>175.78</v>
      </c>
      <c r="H941">
        <v>438</v>
      </c>
      <c r="I941" t="s">
        <v>48</v>
      </c>
      <c r="J941">
        <v>4</v>
      </c>
      <c r="K941">
        <v>3</v>
      </c>
      <c r="L941" t="b">
        <v>0</v>
      </c>
      <c r="M941">
        <v>970</v>
      </c>
      <c r="N941">
        <v>59</v>
      </c>
      <c r="O941" t="s">
        <v>65</v>
      </c>
      <c r="P941" t="s">
        <v>51</v>
      </c>
      <c r="Q941" t="s">
        <v>52</v>
      </c>
      <c r="R941">
        <v>78</v>
      </c>
      <c r="S941">
        <v>4.5999999999999996</v>
      </c>
      <c r="T941" t="b">
        <v>1</v>
      </c>
      <c r="U941" t="s">
        <v>30</v>
      </c>
      <c r="V941">
        <v>4426</v>
      </c>
      <c r="W941" t="s">
        <v>67</v>
      </c>
      <c r="X941" t="s">
        <v>70</v>
      </c>
      <c r="Y941" t="s">
        <v>33</v>
      </c>
    </row>
    <row r="942" spans="1:25" x14ac:dyDescent="0.35">
      <c r="A942">
        <v>5059</v>
      </c>
      <c r="B942" t="s">
        <v>40</v>
      </c>
      <c r="C942" s="1">
        <v>45538</v>
      </c>
      <c r="D942" s="1">
        <v>45623</v>
      </c>
      <c r="E942">
        <v>2</v>
      </c>
      <c r="F942">
        <v>11.99</v>
      </c>
      <c r="G942">
        <f t="shared" si="14"/>
        <v>23.98</v>
      </c>
      <c r="H942">
        <v>247</v>
      </c>
      <c r="I942" t="s">
        <v>64</v>
      </c>
      <c r="J942">
        <v>4</v>
      </c>
      <c r="K942">
        <v>4</v>
      </c>
      <c r="L942" t="b">
        <v>0</v>
      </c>
      <c r="M942">
        <v>510</v>
      </c>
      <c r="N942">
        <v>87</v>
      </c>
      <c r="O942" t="s">
        <v>61</v>
      </c>
      <c r="P942" t="s">
        <v>42</v>
      </c>
      <c r="Q942" t="s">
        <v>43</v>
      </c>
      <c r="R942">
        <v>99</v>
      </c>
      <c r="S942">
        <v>3.5</v>
      </c>
      <c r="T942" t="b">
        <v>0</v>
      </c>
      <c r="U942" t="s">
        <v>30</v>
      </c>
      <c r="V942">
        <v>3100</v>
      </c>
      <c r="W942" t="s">
        <v>53</v>
      </c>
      <c r="X942" t="s">
        <v>62</v>
      </c>
      <c r="Y942" t="s">
        <v>77</v>
      </c>
    </row>
    <row r="943" spans="1:25" x14ac:dyDescent="0.35">
      <c r="A943">
        <v>4210</v>
      </c>
      <c r="B943" t="s">
        <v>186</v>
      </c>
      <c r="C943" s="1">
        <v>45259</v>
      </c>
      <c r="D943" s="1">
        <v>45622</v>
      </c>
      <c r="E943">
        <v>11</v>
      </c>
      <c r="F943">
        <v>11.99</v>
      </c>
      <c r="G943">
        <f t="shared" si="14"/>
        <v>131.89000000000001</v>
      </c>
      <c r="H943">
        <v>85</v>
      </c>
      <c r="I943" t="s">
        <v>57</v>
      </c>
      <c r="J943">
        <v>1</v>
      </c>
      <c r="K943">
        <v>2</v>
      </c>
      <c r="L943" t="b">
        <v>0</v>
      </c>
      <c r="M943">
        <v>770</v>
      </c>
      <c r="N943">
        <v>132</v>
      </c>
      <c r="O943" t="s">
        <v>46</v>
      </c>
      <c r="P943" t="s">
        <v>42</v>
      </c>
      <c r="Q943" t="s">
        <v>52</v>
      </c>
      <c r="R943">
        <v>99</v>
      </c>
      <c r="S943">
        <v>4.4000000000000004</v>
      </c>
      <c r="T943" t="b">
        <v>0</v>
      </c>
      <c r="U943" t="s">
        <v>30</v>
      </c>
      <c r="V943">
        <v>4273</v>
      </c>
      <c r="W943" t="s">
        <v>67</v>
      </c>
      <c r="X943" t="s">
        <v>32</v>
      </c>
      <c r="Y943" t="s">
        <v>55</v>
      </c>
    </row>
    <row r="944" spans="1:25" x14ac:dyDescent="0.35">
      <c r="A944">
        <v>5054</v>
      </c>
      <c r="B944" t="s">
        <v>40</v>
      </c>
      <c r="C944" s="1">
        <v>44937</v>
      </c>
      <c r="D944" s="1">
        <v>45626</v>
      </c>
      <c r="E944">
        <v>22</v>
      </c>
      <c r="F944">
        <v>11.99</v>
      </c>
      <c r="G944">
        <f t="shared" si="14"/>
        <v>263.78000000000003</v>
      </c>
      <c r="H944">
        <v>203</v>
      </c>
      <c r="I944" t="s">
        <v>48</v>
      </c>
      <c r="J944">
        <v>5</v>
      </c>
      <c r="K944">
        <v>2</v>
      </c>
      <c r="L944" t="b">
        <v>0</v>
      </c>
      <c r="M944">
        <v>903</v>
      </c>
      <c r="N944">
        <v>19</v>
      </c>
      <c r="O944" t="s">
        <v>41</v>
      </c>
      <c r="P944" t="s">
        <v>51</v>
      </c>
      <c r="Q944" t="s">
        <v>29</v>
      </c>
      <c r="R944">
        <v>76</v>
      </c>
      <c r="S944">
        <v>4.5999999999999996</v>
      </c>
      <c r="T944" t="b">
        <v>0</v>
      </c>
      <c r="U944" t="s">
        <v>30</v>
      </c>
      <c r="V944">
        <v>1254</v>
      </c>
      <c r="W944" t="s">
        <v>59</v>
      </c>
      <c r="X944" t="s">
        <v>62</v>
      </c>
      <c r="Y944" t="s">
        <v>55</v>
      </c>
    </row>
    <row r="945" spans="1:25" x14ac:dyDescent="0.35">
      <c r="A945">
        <v>5836</v>
      </c>
      <c r="B945" t="s">
        <v>288</v>
      </c>
      <c r="C945" s="1">
        <v>45512</v>
      </c>
      <c r="D945" s="1">
        <v>45617</v>
      </c>
      <c r="E945">
        <v>3</v>
      </c>
      <c r="F945">
        <v>15.99</v>
      </c>
      <c r="G945">
        <f t="shared" si="14"/>
        <v>47.97</v>
      </c>
      <c r="H945">
        <v>219</v>
      </c>
      <c r="I945" t="s">
        <v>45</v>
      </c>
      <c r="J945">
        <v>1</v>
      </c>
      <c r="K945">
        <v>5</v>
      </c>
      <c r="L945" t="b">
        <v>1</v>
      </c>
      <c r="M945">
        <v>347</v>
      </c>
      <c r="N945">
        <v>55</v>
      </c>
      <c r="O945" t="s">
        <v>76</v>
      </c>
      <c r="P945" t="s">
        <v>66</v>
      </c>
      <c r="Q945" t="s">
        <v>43</v>
      </c>
      <c r="R945">
        <v>64</v>
      </c>
      <c r="S945">
        <v>4.5999999999999996</v>
      </c>
      <c r="T945" t="b">
        <v>1</v>
      </c>
      <c r="U945" t="s">
        <v>30</v>
      </c>
      <c r="V945">
        <v>4817</v>
      </c>
      <c r="W945" t="s">
        <v>53</v>
      </c>
      <c r="X945" t="s">
        <v>32</v>
      </c>
      <c r="Y945" t="s">
        <v>39</v>
      </c>
    </row>
    <row r="946" spans="1:25" x14ac:dyDescent="0.35">
      <c r="A946">
        <v>8612</v>
      </c>
      <c r="B946" t="s">
        <v>197</v>
      </c>
      <c r="C946" s="1">
        <v>45344</v>
      </c>
      <c r="D946" s="1">
        <v>45644</v>
      </c>
      <c r="E946">
        <v>9</v>
      </c>
      <c r="F946">
        <v>7.99</v>
      </c>
      <c r="G946">
        <f t="shared" si="14"/>
        <v>71.91</v>
      </c>
      <c r="H946">
        <v>285</v>
      </c>
      <c r="I946" t="s">
        <v>64</v>
      </c>
      <c r="J946">
        <v>5</v>
      </c>
      <c r="K946">
        <v>5</v>
      </c>
      <c r="L946" t="b">
        <v>0</v>
      </c>
      <c r="M946">
        <v>600</v>
      </c>
      <c r="N946">
        <v>109</v>
      </c>
      <c r="O946" t="s">
        <v>65</v>
      </c>
      <c r="P946" t="s">
        <v>66</v>
      </c>
      <c r="Q946" t="s">
        <v>43</v>
      </c>
      <c r="R946">
        <v>76</v>
      </c>
      <c r="S946">
        <v>4</v>
      </c>
      <c r="T946" t="b">
        <v>0</v>
      </c>
      <c r="U946" t="s">
        <v>30</v>
      </c>
      <c r="V946">
        <v>2330</v>
      </c>
      <c r="W946" t="s">
        <v>31</v>
      </c>
      <c r="X946" t="s">
        <v>38</v>
      </c>
      <c r="Y946" t="s">
        <v>55</v>
      </c>
    </row>
    <row r="947" spans="1:25" x14ac:dyDescent="0.35">
      <c r="A947">
        <v>7445</v>
      </c>
      <c r="B947" t="s">
        <v>93</v>
      </c>
      <c r="C947" s="1">
        <v>45249</v>
      </c>
      <c r="D947" s="1">
        <v>45619</v>
      </c>
      <c r="E947">
        <v>12</v>
      </c>
      <c r="F947">
        <v>15.99</v>
      </c>
      <c r="G947">
        <f t="shared" si="14"/>
        <v>191.88</v>
      </c>
      <c r="H947">
        <v>115</v>
      </c>
      <c r="I947" t="s">
        <v>57</v>
      </c>
      <c r="J947">
        <v>2</v>
      </c>
      <c r="K947">
        <v>6</v>
      </c>
      <c r="L947" t="b">
        <v>1</v>
      </c>
      <c r="M947">
        <v>583</v>
      </c>
      <c r="N947">
        <v>127</v>
      </c>
      <c r="O947" t="s">
        <v>27</v>
      </c>
      <c r="P947" t="s">
        <v>51</v>
      </c>
      <c r="Q947" t="s">
        <v>58</v>
      </c>
      <c r="R947">
        <v>0</v>
      </c>
      <c r="S947">
        <v>3.6</v>
      </c>
      <c r="T947" t="b">
        <v>0</v>
      </c>
      <c r="U947" t="s">
        <v>30</v>
      </c>
      <c r="V947">
        <v>244</v>
      </c>
      <c r="W947" t="s">
        <v>37</v>
      </c>
      <c r="X947" t="s">
        <v>32</v>
      </c>
      <c r="Y947" t="s">
        <v>33</v>
      </c>
    </row>
    <row r="948" spans="1:25" x14ac:dyDescent="0.35">
      <c r="A948">
        <v>6135</v>
      </c>
      <c r="B948" t="s">
        <v>86</v>
      </c>
      <c r="C948" s="1">
        <v>45575</v>
      </c>
      <c r="D948" s="1">
        <v>45617</v>
      </c>
      <c r="E948">
        <v>1</v>
      </c>
      <c r="F948">
        <v>7.99</v>
      </c>
      <c r="G948">
        <f t="shared" si="14"/>
        <v>7.99</v>
      </c>
      <c r="H948">
        <v>322</v>
      </c>
      <c r="I948" t="s">
        <v>35</v>
      </c>
      <c r="J948">
        <v>1</v>
      </c>
      <c r="K948">
        <v>5</v>
      </c>
      <c r="L948" t="b">
        <v>1</v>
      </c>
      <c r="M948">
        <v>446</v>
      </c>
      <c r="N948">
        <v>114</v>
      </c>
      <c r="O948" t="s">
        <v>61</v>
      </c>
      <c r="P948" t="s">
        <v>51</v>
      </c>
      <c r="Q948" t="s">
        <v>58</v>
      </c>
      <c r="R948">
        <v>84</v>
      </c>
      <c r="S948">
        <v>4.5</v>
      </c>
      <c r="T948" t="b">
        <v>1</v>
      </c>
      <c r="U948" t="s">
        <v>30</v>
      </c>
      <c r="V948">
        <v>1539</v>
      </c>
      <c r="W948" t="s">
        <v>67</v>
      </c>
      <c r="X948" t="s">
        <v>38</v>
      </c>
      <c r="Y948" t="s">
        <v>33</v>
      </c>
    </row>
    <row r="949" spans="1:25" x14ac:dyDescent="0.35">
      <c r="A949">
        <v>3168</v>
      </c>
      <c r="B949" t="s">
        <v>231</v>
      </c>
      <c r="C949" s="1">
        <v>45389</v>
      </c>
      <c r="D949" s="1">
        <v>45617</v>
      </c>
      <c r="E949">
        <v>7</v>
      </c>
      <c r="F949">
        <v>7.99</v>
      </c>
      <c r="G949">
        <f t="shared" si="14"/>
        <v>55.93</v>
      </c>
      <c r="H949">
        <v>348</v>
      </c>
      <c r="I949" t="s">
        <v>26</v>
      </c>
      <c r="J949">
        <v>2</v>
      </c>
      <c r="K949">
        <v>2</v>
      </c>
      <c r="L949" t="b">
        <v>1</v>
      </c>
      <c r="M949">
        <v>797</v>
      </c>
      <c r="N949">
        <v>81</v>
      </c>
      <c r="O949" t="s">
        <v>61</v>
      </c>
      <c r="P949" t="s">
        <v>28</v>
      </c>
      <c r="Q949" t="s">
        <v>52</v>
      </c>
      <c r="R949">
        <v>12</v>
      </c>
      <c r="S949">
        <v>5</v>
      </c>
      <c r="T949" t="b">
        <v>1</v>
      </c>
      <c r="U949" t="s">
        <v>30</v>
      </c>
      <c r="V949">
        <v>2657</v>
      </c>
      <c r="W949" t="s">
        <v>53</v>
      </c>
      <c r="X949" t="s">
        <v>62</v>
      </c>
      <c r="Y949" t="s">
        <v>55</v>
      </c>
    </row>
    <row r="950" spans="1:25" x14ac:dyDescent="0.35">
      <c r="A950">
        <v>2981</v>
      </c>
      <c r="B950" t="s">
        <v>395</v>
      </c>
      <c r="C950" s="1">
        <v>45419</v>
      </c>
      <c r="D950" s="1">
        <v>45629</v>
      </c>
      <c r="E950">
        <v>6</v>
      </c>
      <c r="F950">
        <v>11.99</v>
      </c>
      <c r="G950">
        <f t="shared" si="14"/>
        <v>71.94</v>
      </c>
      <c r="H950">
        <v>482</v>
      </c>
      <c r="I950" t="s">
        <v>45</v>
      </c>
      <c r="J950">
        <v>5</v>
      </c>
      <c r="K950">
        <v>2</v>
      </c>
      <c r="L950" t="b">
        <v>1</v>
      </c>
      <c r="M950">
        <v>665</v>
      </c>
      <c r="N950">
        <v>96</v>
      </c>
      <c r="O950" t="s">
        <v>76</v>
      </c>
      <c r="P950" t="s">
        <v>42</v>
      </c>
      <c r="Q950" t="s">
        <v>52</v>
      </c>
      <c r="R950">
        <v>24</v>
      </c>
      <c r="S950">
        <v>4.7</v>
      </c>
      <c r="T950" t="b">
        <v>1</v>
      </c>
      <c r="U950" t="s">
        <v>30</v>
      </c>
      <c r="V950">
        <v>4851</v>
      </c>
      <c r="W950" t="s">
        <v>31</v>
      </c>
      <c r="X950" t="s">
        <v>54</v>
      </c>
      <c r="Y950" t="s">
        <v>77</v>
      </c>
    </row>
    <row r="951" spans="1:25" x14ac:dyDescent="0.35">
      <c r="A951">
        <v>7739</v>
      </c>
      <c r="B951" t="s">
        <v>167</v>
      </c>
      <c r="C951" s="1">
        <v>44997</v>
      </c>
      <c r="D951" s="1">
        <v>45637</v>
      </c>
      <c r="E951">
        <v>20</v>
      </c>
      <c r="F951">
        <v>7.99</v>
      </c>
      <c r="G951">
        <f t="shared" si="14"/>
        <v>159.80000000000001</v>
      </c>
      <c r="H951">
        <v>384</v>
      </c>
      <c r="I951" t="s">
        <v>45</v>
      </c>
      <c r="J951">
        <v>4</v>
      </c>
      <c r="K951">
        <v>3</v>
      </c>
      <c r="L951" t="b">
        <v>1</v>
      </c>
      <c r="M951">
        <v>188</v>
      </c>
      <c r="N951">
        <v>140</v>
      </c>
      <c r="O951" t="s">
        <v>76</v>
      </c>
      <c r="P951" t="s">
        <v>66</v>
      </c>
      <c r="Q951" t="s">
        <v>69</v>
      </c>
      <c r="R951">
        <v>78</v>
      </c>
      <c r="S951">
        <v>3.9</v>
      </c>
      <c r="T951" t="b">
        <v>0</v>
      </c>
      <c r="U951" t="s">
        <v>30</v>
      </c>
      <c r="V951">
        <v>2341</v>
      </c>
      <c r="W951" t="s">
        <v>31</v>
      </c>
      <c r="X951" t="s">
        <v>38</v>
      </c>
      <c r="Y951" t="s">
        <v>77</v>
      </c>
    </row>
    <row r="952" spans="1:25" x14ac:dyDescent="0.35">
      <c r="A952">
        <v>5905</v>
      </c>
      <c r="B952" t="s">
        <v>216</v>
      </c>
      <c r="C952" s="1">
        <v>45357</v>
      </c>
      <c r="D952" s="1">
        <v>45635</v>
      </c>
      <c r="E952">
        <v>9</v>
      </c>
      <c r="F952">
        <v>15.99</v>
      </c>
      <c r="G952">
        <f t="shared" si="14"/>
        <v>143.91</v>
      </c>
      <c r="H952">
        <v>178</v>
      </c>
      <c r="I952" t="s">
        <v>64</v>
      </c>
      <c r="J952">
        <v>5</v>
      </c>
      <c r="K952">
        <v>5</v>
      </c>
      <c r="L952" t="b">
        <v>0</v>
      </c>
      <c r="M952">
        <v>489</v>
      </c>
      <c r="N952">
        <v>6</v>
      </c>
      <c r="O952" t="s">
        <v>50</v>
      </c>
      <c r="P952" t="s">
        <v>28</v>
      </c>
      <c r="Q952" t="s">
        <v>52</v>
      </c>
      <c r="R952">
        <v>72</v>
      </c>
      <c r="S952">
        <v>4.5</v>
      </c>
      <c r="T952" t="b">
        <v>0</v>
      </c>
      <c r="U952" t="s">
        <v>30</v>
      </c>
      <c r="V952">
        <v>3356</v>
      </c>
      <c r="W952" t="s">
        <v>67</v>
      </c>
      <c r="X952" t="s">
        <v>70</v>
      </c>
      <c r="Y952" t="s">
        <v>33</v>
      </c>
    </row>
    <row r="953" spans="1:25" x14ac:dyDescent="0.35">
      <c r="A953">
        <v>1443</v>
      </c>
      <c r="B953" t="s">
        <v>230</v>
      </c>
      <c r="C953" s="1">
        <v>45098</v>
      </c>
      <c r="D953" s="1">
        <v>45643</v>
      </c>
      <c r="E953">
        <v>17</v>
      </c>
      <c r="F953">
        <v>11.99</v>
      </c>
      <c r="G953">
        <f t="shared" si="14"/>
        <v>203.83</v>
      </c>
      <c r="H953">
        <v>91</v>
      </c>
      <c r="I953" t="s">
        <v>35</v>
      </c>
      <c r="J953">
        <v>1</v>
      </c>
      <c r="K953">
        <v>2</v>
      </c>
      <c r="L953" t="b">
        <v>0</v>
      </c>
      <c r="M953">
        <v>377</v>
      </c>
      <c r="N953">
        <v>14</v>
      </c>
      <c r="O953" t="s">
        <v>27</v>
      </c>
      <c r="P953" t="s">
        <v>51</v>
      </c>
      <c r="Q953" t="s">
        <v>36</v>
      </c>
      <c r="R953">
        <v>53</v>
      </c>
      <c r="S953">
        <v>4.5999999999999996</v>
      </c>
      <c r="T953" t="b">
        <v>0</v>
      </c>
      <c r="U953" t="s">
        <v>30</v>
      </c>
      <c r="V953">
        <v>228</v>
      </c>
      <c r="W953" t="s">
        <v>67</v>
      </c>
      <c r="X953" t="s">
        <v>70</v>
      </c>
      <c r="Y953" t="s">
        <v>33</v>
      </c>
    </row>
    <row r="954" spans="1:25" x14ac:dyDescent="0.35">
      <c r="A954">
        <v>6181</v>
      </c>
      <c r="B954" t="s">
        <v>338</v>
      </c>
      <c r="C954" s="1">
        <v>45627</v>
      </c>
      <c r="D954" s="1">
        <v>45631</v>
      </c>
      <c r="E954">
        <v>0</v>
      </c>
      <c r="F954">
        <v>11.99</v>
      </c>
      <c r="G954">
        <f t="shared" si="14"/>
        <v>0</v>
      </c>
      <c r="H954">
        <v>175</v>
      </c>
      <c r="I954" t="s">
        <v>57</v>
      </c>
      <c r="J954">
        <v>4</v>
      </c>
      <c r="K954">
        <v>3</v>
      </c>
      <c r="L954" t="b">
        <v>1</v>
      </c>
      <c r="M954">
        <v>424</v>
      </c>
      <c r="N954">
        <v>125</v>
      </c>
      <c r="O954" t="s">
        <v>46</v>
      </c>
      <c r="P954" t="s">
        <v>51</v>
      </c>
      <c r="Q954" t="s">
        <v>69</v>
      </c>
      <c r="R954">
        <v>13</v>
      </c>
      <c r="S954">
        <v>4.7</v>
      </c>
      <c r="T954" t="b">
        <v>1</v>
      </c>
      <c r="U954" t="s">
        <v>30</v>
      </c>
      <c r="V954">
        <v>2821</v>
      </c>
      <c r="W954" t="s">
        <v>53</v>
      </c>
      <c r="X954" t="s">
        <v>32</v>
      </c>
      <c r="Y954" t="s">
        <v>39</v>
      </c>
    </row>
    <row r="955" spans="1:25" x14ac:dyDescent="0.35">
      <c r="A955">
        <v>8406</v>
      </c>
      <c r="B955" t="s">
        <v>396</v>
      </c>
      <c r="C955" s="1">
        <v>45249</v>
      </c>
      <c r="D955" s="1">
        <v>45640</v>
      </c>
      <c r="E955">
        <v>12</v>
      </c>
      <c r="F955">
        <v>11.99</v>
      </c>
      <c r="G955">
        <f t="shared" si="14"/>
        <v>143.88</v>
      </c>
      <c r="H955">
        <v>187</v>
      </c>
      <c r="I955" t="s">
        <v>26</v>
      </c>
      <c r="J955">
        <v>5</v>
      </c>
      <c r="K955">
        <v>5</v>
      </c>
      <c r="L955" t="b">
        <v>1</v>
      </c>
      <c r="M955">
        <v>491</v>
      </c>
      <c r="N955">
        <v>197</v>
      </c>
      <c r="O955" t="s">
        <v>46</v>
      </c>
      <c r="P955" t="s">
        <v>28</v>
      </c>
      <c r="Q955" t="s">
        <v>69</v>
      </c>
      <c r="R955">
        <v>54</v>
      </c>
      <c r="S955">
        <v>3.3</v>
      </c>
      <c r="T955" t="b">
        <v>1</v>
      </c>
      <c r="U955" t="s">
        <v>30</v>
      </c>
      <c r="V955">
        <v>4380</v>
      </c>
      <c r="W955" t="s">
        <v>31</v>
      </c>
      <c r="X955" t="s">
        <v>32</v>
      </c>
      <c r="Y955" t="s">
        <v>33</v>
      </c>
    </row>
    <row r="956" spans="1:25" x14ac:dyDescent="0.35">
      <c r="A956">
        <v>5389</v>
      </c>
      <c r="B956" t="s">
        <v>397</v>
      </c>
      <c r="C956" s="1">
        <v>45439</v>
      </c>
      <c r="D956" s="1">
        <v>45625</v>
      </c>
      <c r="E956">
        <v>6</v>
      </c>
      <c r="F956">
        <v>11.99</v>
      </c>
      <c r="G956">
        <f t="shared" si="14"/>
        <v>71.94</v>
      </c>
      <c r="H956">
        <v>352</v>
      </c>
      <c r="I956" t="s">
        <v>35</v>
      </c>
      <c r="J956">
        <v>4</v>
      </c>
      <c r="K956">
        <v>1</v>
      </c>
      <c r="L956" t="b">
        <v>0</v>
      </c>
      <c r="M956">
        <v>521</v>
      </c>
      <c r="N956">
        <v>128</v>
      </c>
      <c r="O956" t="s">
        <v>65</v>
      </c>
      <c r="P956" t="s">
        <v>66</v>
      </c>
      <c r="Q956" t="s">
        <v>58</v>
      </c>
      <c r="R956">
        <v>59</v>
      </c>
      <c r="S956">
        <v>4.5999999999999996</v>
      </c>
      <c r="T956" t="b">
        <v>1</v>
      </c>
      <c r="U956" t="s">
        <v>30</v>
      </c>
      <c r="V956">
        <v>2131</v>
      </c>
      <c r="W956" t="s">
        <v>37</v>
      </c>
      <c r="X956" t="s">
        <v>62</v>
      </c>
      <c r="Y956" t="s">
        <v>77</v>
      </c>
    </row>
    <row r="957" spans="1:25" x14ac:dyDescent="0.35">
      <c r="A957">
        <v>4586</v>
      </c>
      <c r="B957" t="s">
        <v>398</v>
      </c>
      <c r="C957" s="1">
        <v>45221</v>
      </c>
      <c r="D957" s="1">
        <v>45627</v>
      </c>
      <c r="E957">
        <v>13</v>
      </c>
      <c r="F957">
        <v>7.99</v>
      </c>
      <c r="G957">
        <f t="shared" si="14"/>
        <v>103.87</v>
      </c>
      <c r="H957">
        <v>448</v>
      </c>
      <c r="I957" t="s">
        <v>26</v>
      </c>
      <c r="J957">
        <v>3</v>
      </c>
      <c r="K957">
        <v>4</v>
      </c>
      <c r="L957" t="b">
        <v>1</v>
      </c>
      <c r="M957">
        <v>506</v>
      </c>
      <c r="N957">
        <v>193</v>
      </c>
      <c r="O957" t="s">
        <v>65</v>
      </c>
      <c r="P957" t="s">
        <v>42</v>
      </c>
      <c r="Q957" t="s">
        <v>52</v>
      </c>
      <c r="R957">
        <v>79</v>
      </c>
      <c r="S957">
        <v>4.3</v>
      </c>
      <c r="T957" t="b">
        <v>0</v>
      </c>
      <c r="U957" t="s">
        <v>30</v>
      </c>
      <c r="V957">
        <v>3589</v>
      </c>
      <c r="W957" t="s">
        <v>53</v>
      </c>
      <c r="X957" t="s">
        <v>38</v>
      </c>
      <c r="Y957" t="s">
        <v>33</v>
      </c>
    </row>
    <row r="958" spans="1:25" x14ac:dyDescent="0.35">
      <c r="A958">
        <v>4020</v>
      </c>
      <c r="B958" t="s">
        <v>380</v>
      </c>
      <c r="C958" s="1">
        <v>45371</v>
      </c>
      <c r="D958" s="1">
        <v>45628</v>
      </c>
      <c r="E958">
        <v>8</v>
      </c>
      <c r="F958">
        <v>15.99</v>
      </c>
      <c r="G958">
        <f t="shared" si="14"/>
        <v>127.92</v>
      </c>
      <c r="H958">
        <v>81</v>
      </c>
      <c r="I958" t="s">
        <v>45</v>
      </c>
      <c r="J958">
        <v>1</v>
      </c>
      <c r="K958">
        <v>6</v>
      </c>
      <c r="L958" t="b">
        <v>0</v>
      </c>
      <c r="M958">
        <v>390</v>
      </c>
      <c r="N958">
        <v>43</v>
      </c>
      <c r="O958" t="s">
        <v>46</v>
      </c>
      <c r="P958" t="s">
        <v>42</v>
      </c>
      <c r="Q958" t="s">
        <v>43</v>
      </c>
      <c r="R958">
        <v>33</v>
      </c>
      <c r="S958">
        <v>4</v>
      </c>
      <c r="T958" t="b">
        <v>0</v>
      </c>
      <c r="U958" t="s">
        <v>30</v>
      </c>
      <c r="V958">
        <v>4162</v>
      </c>
      <c r="W958" t="s">
        <v>37</v>
      </c>
      <c r="X958" t="s">
        <v>62</v>
      </c>
      <c r="Y958" t="s">
        <v>77</v>
      </c>
    </row>
    <row r="959" spans="1:25" x14ac:dyDescent="0.35">
      <c r="A959">
        <v>1635</v>
      </c>
      <c r="B959" t="s">
        <v>260</v>
      </c>
      <c r="C959" s="1">
        <v>45282</v>
      </c>
      <c r="D959" s="1">
        <v>45631</v>
      </c>
      <c r="E959">
        <v>11</v>
      </c>
      <c r="F959">
        <v>15.99</v>
      </c>
      <c r="G959">
        <f t="shared" si="14"/>
        <v>175.89000000000001</v>
      </c>
      <c r="H959">
        <v>321</v>
      </c>
      <c r="I959" t="s">
        <v>45</v>
      </c>
      <c r="J959">
        <v>1</v>
      </c>
      <c r="K959">
        <v>5</v>
      </c>
      <c r="L959" t="b">
        <v>1</v>
      </c>
      <c r="M959">
        <v>276</v>
      </c>
      <c r="N959">
        <v>182</v>
      </c>
      <c r="O959" t="s">
        <v>61</v>
      </c>
      <c r="P959" t="s">
        <v>66</v>
      </c>
      <c r="Q959" t="s">
        <v>43</v>
      </c>
      <c r="R959">
        <v>52</v>
      </c>
      <c r="S959">
        <v>4.9000000000000004</v>
      </c>
      <c r="T959" t="b">
        <v>1</v>
      </c>
      <c r="U959" t="s">
        <v>30</v>
      </c>
      <c r="V959">
        <v>1013</v>
      </c>
      <c r="W959" t="s">
        <v>53</v>
      </c>
      <c r="X959" t="s">
        <v>32</v>
      </c>
      <c r="Y959" t="s">
        <v>77</v>
      </c>
    </row>
    <row r="960" spans="1:25" x14ac:dyDescent="0.35">
      <c r="A960">
        <v>9257</v>
      </c>
      <c r="B960" t="s">
        <v>122</v>
      </c>
      <c r="C960" s="1">
        <v>45448</v>
      </c>
      <c r="D960" s="1">
        <v>45625</v>
      </c>
      <c r="E960">
        <v>5</v>
      </c>
      <c r="F960">
        <v>7.99</v>
      </c>
      <c r="G960">
        <f t="shared" si="14"/>
        <v>39.950000000000003</v>
      </c>
      <c r="H960">
        <v>114</v>
      </c>
      <c r="I960" t="s">
        <v>57</v>
      </c>
      <c r="J960">
        <v>1</v>
      </c>
      <c r="K960">
        <v>1</v>
      </c>
      <c r="L960" t="b">
        <v>1</v>
      </c>
      <c r="M960">
        <v>896</v>
      </c>
      <c r="N960">
        <v>9</v>
      </c>
      <c r="O960" t="s">
        <v>61</v>
      </c>
      <c r="P960" t="s">
        <v>42</v>
      </c>
      <c r="Q960" t="s">
        <v>43</v>
      </c>
      <c r="R960">
        <v>60</v>
      </c>
      <c r="S960">
        <v>3.2</v>
      </c>
      <c r="T960" t="b">
        <v>0</v>
      </c>
      <c r="U960" t="s">
        <v>30</v>
      </c>
      <c r="V960">
        <v>2731</v>
      </c>
      <c r="W960" t="s">
        <v>37</v>
      </c>
      <c r="X960" t="s">
        <v>54</v>
      </c>
      <c r="Y960" t="s">
        <v>55</v>
      </c>
    </row>
    <row r="961" spans="1:25" x14ac:dyDescent="0.35">
      <c r="A961">
        <v>6380</v>
      </c>
      <c r="B961" t="s">
        <v>74</v>
      </c>
      <c r="C961" s="1">
        <v>45020</v>
      </c>
      <c r="D961" s="1">
        <v>45640</v>
      </c>
      <c r="E961">
        <v>20</v>
      </c>
      <c r="F961">
        <v>7.99</v>
      </c>
      <c r="G961">
        <f t="shared" si="14"/>
        <v>159.80000000000001</v>
      </c>
      <c r="H961">
        <v>493</v>
      </c>
      <c r="I961" t="s">
        <v>35</v>
      </c>
      <c r="J961">
        <v>5</v>
      </c>
      <c r="K961">
        <v>2</v>
      </c>
      <c r="L961" t="b">
        <v>1</v>
      </c>
      <c r="M961">
        <v>29</v>
      </c>
      <c r="N961">
        <v>82</v>
      </c>
      <c r="O961" t="s">
        <v>50</v>
      </c>
      <c r="P961" t="s">
        <v>66</v>
      </c>
      <c r="Q961" t="s">
        <v>29</v>
      </c>
      <c r="R961">
        <v>64</v>
      </c>
      <c r="S961">
        <v>3.4</v>
      </c>
      <c r="T961" t="b">
        <v>0</v>
      </c>
      <c r="U961" t="s">
        <v>30</v>
      </c>
      <c r="V961">
        <v>833</v>
      </c>
      <c r="W961" t="s">
        <v>31</v>
      </c>
      <c r="X961" t="s">
        <v>54</v>
      </c>
      <c r="Y961" t="s">
        <v>39</v>
      </c>
    </row>
    <row r="962" spans="1:25" x14ac:dyDescent="0.35">
      <c r="A962">
        <v>6385</v>
      </c>
      <c r="B962" t="s">
        <v>291</v>
      </c>
      <c r="C962" s="1">
        <v>45126</v>
      </c>
      <c r="D962" s="1">
        <v>45624</v>
      </c>
      <c r="E962">
        <v>16</v>
      </c>
      <c r="F962">
        <v>11.99</v>
      </c>
      <c r="G962">
        <f t="shared" si="14"/>
        <v>191.84</v>
      </c>
      <c r="H962">
        <v>475</v>
      </c>
      <c r="I962" t="s">
        <v>48</v>
      </c>
      <c r="J962">
        <v>1</v>
      </c>
      <c r="K962">
        <v>5</v>
      </c>
      <c r="L962" t="b">
        <v>0</v>
      </c>
      <c r="M962">
        <v>523</v>
      </c>
      <c r="N962">
        <v>30</v>
      </c>
      <c r="O962" t="s">
        <v>65</v>
      </c>
      <c r="P962" t="s">
        <v>66</v>
      </c>
      <c r="Q962" t="s">
        <v>36</v>
      </c>
      <c r="R962">
        <v>2</v>
      </c>
      <c r="S962">
        <v>4.8</v>
      </c>
      <c r="T962" t="b">
        <v>0</v>
      </c>
      <c r="U962" t="s">
        <v>30</v>
      </c>
      <c r="V962">
        <v>2428</v>
      </c>
      <c r="W962" t="s">
        <v>31</v>
      </c>
      <c r="X962" t="s">
        <v>54</v>
      </c>
      <c r="Y962" t="s">
        <v>33</v>
      </c>
    </row>
    <row r="963" spans="1:25" x14ac:dyDescent="0.35">
      <c r="A963">
        <v>6858</v>
      </c>
      <c r="B963" t="s">
        <v>202</v>
      </c>
      <c r="C963" s="1">
        <v>45283</v>
      </c>
      <c r="D963" s="1">
        <v>45638</v>
      </c>
      <c r="E963">
        <v>11</v>
      </c>
      <c r="F963">
        <v>11.99</v>
      </c>
      <c r="G963">
        <f t="shared" ref="G963:G1001" si="15">F963*E963</f>
        <v>131.89000000000001</v>
      </c>
      <c r="H963">
        <v>287</v>
      </c>
      <c r="I963" t="s">
        <v>48</v>
      </c>
      <c r="J963">
        <v>1</v>
      </c>
      <c r="K963">
        <v>2</v>
      </c>
      <c r="L963" t="b">
        <v>0</v>
      </c>
      <c r="M963">
        <v>918</v>
      </c>
      <c r="N963">
        <v>82</v>
      </c>
      <c r="O963" t="s">
        <v>50</v>
      </c>
      <c r="P963" t="s">
        <v>42</v>
      </c>
      <c r="Q963" t="s">
        <v>36</v>
      </c>
      <c r="R963">
        <v>81</v>
      </c>
      <c r="S963">
        <v>3.2</v>
      </c>
      <c r="T963" t="b">
        <v>0</v>
      </c>
      <c r="U963" t="s">
        <v>30</v>
      </c>
      <c r="V963">
        <v>4555</v>
      </c>
      <c r="W963" t="s">
        <v>53</v>
      </c>
      <c r="X963" t="s">
        <v>70</v>
      </c>
      <c r="Y963" t="s">
        <v>77</v>
      </c>
    </row>
    <row r="964" spans="1:25" x14ac:dyDescent="0.35">
      <c r="A964">
        <v>8875</v>
      </c>
      <c r="B964" t="s">
        <v>260</v>
      </c>
      <c r="C964" s="1">
        <v>45013</v>
      </c>
      <c r="D964" s="1">
        <v>45643</v>
      </c>
      <c r="E964">
        <v>20</v>
      </c>
      <c r="F964">
        <v>15.99</v>
      </c>
      <c r="G964">
        <f t="shared" si="15"/>
        <v>319.8</v>
      </c>
      <c r="H964">
        <v>138</v>
      </c>
      <c r="I964" t="s">
        <v>26</v>
      </c>
      <c r="J964">
        <v>5</v>
      </c>
      <c r="K964">
        <v>2</v>
      </c>
      <c r="L964" t="b">
        <v>0</v>
      </c>
      <c r="M964">
        <v>40</v>
      </c>
      <c r="N964">
        <v>166</v>
      </c>
      <c r="O964" t="s">
        <v>46</v>
      </c>
      <c r="P964" t="s">
        <v>66</v>
      </c>
      <c r="Q964" t="s">
        <v>69</v>
      </c>
      <c r="R964">
        <v>83</v>
      </c>
      <c r="S964">
        <v>4.2</v>
      </c>
      <c r="T964" t="b">
        <v>0</v>
      </c>
      <c r="U964" t="s">
        <v>30</v>
      </c>
      <c r="V964">
        <v>4777</v>
      </c>
      <c r="W964" t="s">
        <v>67</v>
      </c>
      <c r="X964" t="s">
        <v>38</v>
      </c>
      <c r="Y964" t="s">
        <v>55</v>
      </c>
    </row>
    <row r="965" spans="1:25" x14ac:dyDescent="0.35">
      <c r="A965">
        <v>3334</v>
      </c>
      <c r="B965" t="s">
        <v>187</v>
      </c>
      <c r="C965" s="1">
        <v>45389</v>
      </c>
      <c r="D965" s="1">
        <v>45631</v>
      </c>
      <c r="E965">
        <v>7</v>
      </c>
      <c r="F965">
        <v>15.99</v>
      </c>
      <c r="G965">
        <f t="shared" si="15"/>
        <v>111.93</v>
      </c>
      <c r="H965">
        <v>198</v>
      </c>
      <c r="I965" t="s">
        <v>26</v>
      </c>
      <c r="J965">
        <v>3</v>
      </c>
      <c r="K965">
        <v>1</v>
      </c>
      <c r="L965" t="b">
        <v>1</v>
      </c>
      <c r="M965">
        <v>614</v>
      </c>
      <c r="N965">
        <v>69</v>
      </c>
      <c r="O965" t="s">
        <v>76</v>
      </c>
      <c r="P965" t="s">
        <v>28</v>
      </c>
      <c r="Q965" t="s">
        <v>52</v>
      </c>
      <c r="R965">
        <v>27</v>
      </c>
      <c r="S965">
        <v>3.6</v>
      </c>
      <c r="T965" t="b">
        <v>1</v>
      </c>
      <c r="U965" t="s">
        <v>30</v>
      </c>
      <c r="V965">
        <v>459</v>
      </c>
      <c r="W965" t="s">
        <v>31</v>
      </c>
      <c r="X965" t="s">
        <v>38</v>
      </c>
      <c r="Y965" t="s">
        <v>33</v>
      </c>
    </row>
    <row r="966" spans="1:25" x14ac:dyDescent="0.35">
      <c r="A966">
        <v>5850</v>
      </c>
      <c r="B966" t="s">
        <v>94</v>
      </c>
      <c r="C966" s="1">
        <v>45145</v>
      </c>
      <c r="D966" s="1">
        <v>45637</v>
      </c>
      <c r="E966">
        <v>16</v>
      </c>
      <c r="F966">
        <v>15.99</v>
      </c>
      <c r="G966">
        <f t="shared" si="15"/>
        <v>255.84</v>
      </c>
      <c r="H966">
        <v>164</v>
      </c>
      <c r="I966" t="s">
        <v>26</v>
      </c>
      <c r="J966">
        <v>2</v>
      </c>
      <c r="K966">
        <v>1</v>
      </c>
      <c r="L966" t="b">
        <v>0</v>
      </c>
      <c r="M966">
        <v>833</v>
      </c>
      <c r="N966">
        <v>89</v>
      </c>
      <c r="O966" t="s">
        <v>76</v>
      </c>
      <c r="P966" t="s">
        <v>66</v>
      </c>
      <c r="Q966" t="s">
        <v>52</v>
      </c>
      <c r="R966">
        <v>32</v>
      </c>
      <c r="S966">
        <v>4.9000000000000004</v>
      </c>
      <c r="T966" t="b">
        <v>0</v>
      </c>
      <c r="U966" t="s">
        <v>30</v>
      </c>
      <c r="V966">
        <v>2644</v>
      </c>
      <c r="W966" t="s">
        <v>53</v>
      </c>
      <c r="X966" t="s">
        <v>54</v>
      </c>
      <c r="Y966" t="s">
        <v>39</v>
      </c>
    </row>
    <row r="967" spans="1:25" x14ac:dyDescent="0.35">
      <c r="A967">
        <v>8593</v>
      </c>
      <c r="B967" t="s">
        <v>110</v>
      </c>
      <c r="C967" s="1">
        <v>45496</v>
      </c>
      <c r="D967" s="1">
        <v>45636</v>
      </c>
      <c r="E967">
        <v>4</v>
      </c>
      <c r="F967">
        <v>15.99</v>
      </c>
      <c r="G967">
        <f t="shared" si="15"/>
        <v>63.96</v>
      </c>
      <c r="H967">
        <v>65</v>
      </c>
      <c r="I967" t="s">
        <v>57</v>
      </c>
      <c r="J967">
        <v>4</v>
      </c>
      <c r="K967">
        <v>3</v>
      </c>
      <c r="L967" t="b">
        <v>0</v>
      </c>
      <c r="M967">
        <v>238</v>
      </c>
      <c r="N967">
        <v>39</v>
      </c>
      <c r="O967" t="s">
        <v>76</v>
      </c>
      <c r="P967" t="s">
        <v>66</v>
      </c>
      <c r="Q967" t="s">
        <v>36</v>
      </c>
      <c r="R967">
        <v>23</v>
      </c>
      <c r="S967">
        <v>4.7</v>
      </c>
      <c r="T967" t="b">
        <v>0</v>
      </c>
      <c r="U967" t="s">
        <v>30</v>
      </c>
      <c r="V967">
        <v>2678</v>
      </c>
      <c r="W967" t="s">
        <v>53</v>
      </c>
      <c r="X967" t="s">
        <v>62</v>
      </c>
      <c r="Y967" t="s">
        <v>39</v>
      </c>
    </row>
    <row r="968" spans="1:25" x14ac:dyDescent="0.35">
      <c r="A968">
        <v>6278</v>
      </c>
      <c r="B968" t="s">
        <v>222</v>
      </c>
      <c r="C968" s="1">
        <v>45095</v>
      </c>
      <c r="D968" s="1">
        <v>45621</v>
      </c>
      <c r="E968">
        <v>17</v>
      </c>
      <c r="F968">
        <v>7.99</v>
      </c>
      <c r="G968">
        <f t="shared" si="15"/>
        <v>135.83000000000001</v>
      </c>
      <c r="H968">
        <v>388</v>
      </c>
      <c r="I968" t="s">
        <v>35</v>
      </c>
      <c r="J968">
        <v>1</v>
      </c>
      <c r="K968">
        <v>6</v>
      </c>
      <c r="L968" t="b">
        <v>1</v>
      </c>
      <c r="M968">
        <v>861</v>
      </c>
      <c r="N968">
        <v>59</v>
      </c>
      <c r="O968" t="s">
        <v>27</v>
      </c>
      <c r="P968" t="s">
        <v>42</v>
      </c>
      <c r="Q968" t="s">
        <v>29</v>
      </c>
      <c r="R968">
        <v>42</v>
      </c>
      <c r="S968">
        <v>4.4000000000000004</v>
      </c>
      <c r="T968" t="b">
        <v>0</v>
      </c>
      <c r="U968" t="s">
        <v>30</v>
      </c>
      <c r="V968">
        <v>1129</v>
      </c>
      <c r="W968" t="s">
        <v>59</v>
      </c>
      <c r="X968" t="s">
        <v>62</v>
      </c>
      <c r="Y968" t="s">
        <v>55</v>
      </c>
    </row>
    <row r="969" spans="1:25" x14ac:dyDescent="0.35">
      <c r="A969">
        <v>1388</v>
      </c>
      <c r="B969" t="s">
        <v>111</v>
      </c>
      <c r="C969" s="1">
        <v>45310</v>
      </c>
      <c r="D969" s="1">
        <v>45636</v>
      </c>
      <c r="E969">
        <v>10</v>
      </c>
      <c r="F969">
        <v>15.99</v>
      </c>
      <c r="G969">
        <f t="shared" si="15"/>
        <v>159.9</v>
      </c>
      <c r="H969">
        <v>412</v>
      </c>
      <c r="I969" t="s">
        <v>81</v>
      </c>
      <c r="J969">
        <v>3</v>
      </c>
      <c r="K969">
        <v>3</v>
      </c>
      <c r="L969" t="b">
        <v>1</v>
      </c>
      <c r="M969">
        <v>999</v>
      </c>
      <c r="N969">
        <v>127</v>
      </c>
      <c r="O969" t="s">
        <v>27</v>
      </c>
      <c r="P969" t="s">
        <v>66</v>
      </c>
      <c r="Q969" t="s">
        <v>29</v>
      </c>
      <c r="R969">
        <v>4</v>
      </c>
      <c r="S969">
        <v>4</v>
      </c>
      <c r="T969" t="b">
        <v>0</v>
      </c>
      <c r="U969" t="s">
        <v>30</v>
      </c>
      <c r="V969">
        <v>1258</v>
      </c>
      <c r="W969" t="s">
        <v>37</v>
      </c>
      <c r="X969" t="s">
        <v>54</v>
      </c>
      <c r="Y969" t="s">
        <v>33</v>
      </c>
    </row>
    <row r="970" spans="1:25" x14ac:dyDescent="0.35">
      <c r="A970">
        <v>2521</v>
      </c>
      <c r="B970" t="s">
        <v>104</v>
      </c>
      <c r="C970" s="1">
        <v>45412</v>
      </c>
      <c r="D970" s="1">
        <v>45623</v>
      </c>
      <c r="E970">
        <v>6</v>
      </c>
      <c r="F970">
        <v>15.99</v>
      </c>
      <c r="G970">
        <f t="shared" si="15"/>
        <v>95.94</v>
      </c>
      <c r="H970">
        <v>267</v>
      </c>
      <c r="I970" t="s">
        <v>26</v>
      </c>
      <c r="J970">
        <v>4</v>
      </c>
      <c r="K970">
        <v>4</v>
      </c>
      <c r="L970" t="b">
        <v>0</v>
      </c>
      <c r="M970">
        <v>118</v>
      </c>
      <c r="N970">
        <v>6</v>
      </c>
      <c r="O970" t="s">
        <v>27</v>
      </c>
      <c r="P970" t="s">
        <v>66</v>
      </c>
      <c r="Q970" t="s">
        <v>58</v>
      </c>
      <c r="R970">
        <v>57</v>
      </c>
      <c r="S970">
        <v>5</v>
      </c>
      <c r="T970" t="b">
        <v>0</v>
      </c>
      <c r="U970" t="s">
        <v>30</v>
      </c>
      <c r="V970">
        <v>3213</v>
      </c>
      <c r="W970" t="s">
        <v>31</v>
      </c>
      <c r="X970" t="s">
        <v>70</v>
      </c>
      <c r="Y970" t="s">
        <v>39</v>
      </c>
    </row>
    <row r="971" spans="1:25" x14ac:dyDescent="0.35">
      <c r="A971">
        <v>1269</v>
      </c>
      <c r="B971" t="s">
        <v>399</v>
      </c>
      <c r="C971" s="1">
        <v>44935</v>
      </c>
      <c r="D971" s="1">
        <v>45625</v>
      </c>
      <c r="E971">
        <v>22</v>
      </c>
      <c r="F971">
        <v>15.99</v>
      </c>
      <c r="G971">
        <f t="shared" si="15"/>
        <v>351.78000000000003</v>
      </c>
      <c r="H971">
        <v>29</v>
      </c>
      <c r="I971" t="s">
        <v>26</v>
      </c>
      <c r="J971">
        <v>3</v>
      </c>
      <c r="K971">
        <v>2</v>
      </c>
      <c r="L971" t="b">
        <v>0</v>
      </c>
      <c r="M971">
        <v>404</v>
      </c>
      <c r="N971">
        <v>177</v>
      </c>
      <c r="O971" t="s">
        <v>27</v>
      </c>
      <c r="P971" t="s">
        <v>66</v>
      </c>
      <c r="Q971" t="s">
        <v>52</v>
      </c>
      <c r="R971">
        <v>81</v>
      </c>
      <c r="S971">
        <v>4.4000000000000004</v>
      </c>
      <c r="T971" t="b">
        <v>0</v>
      </c>
      <c r="U971" t="s">
        <v>30</v>
      </c>
      <c r="V971">
        <v>4127</v>
      </c>
      <c r="W971" t="s">
        <v>67</v>
      </c>
      <c r="X971" t="s">
        <v>54</v>
      </c>
      <c r="Y971" t="s">
        <v>39</v>
      </c>
    </row>
    <row r="972" spans="1:25" x14ac:dyDescent="0.35">
      <c r="A972">
        <v>9959</v>
      </c>
      <c r="B972" t="s">
        <v>174</v>
      </c>
      <c r="C972" s="1">
        <v>45546</v>
      </c>
      <c r="D972" s="1">
        <v>45636</v>
      </c>
      <c r="E972">
        <v>2</v>
      </c>
      <c r="F972">
        <v>15.99</v>
      </c>
      <c r="G972">
        <f t="shared" si="15"/>
        <v>31.98</v>
      </c>
      <c r="H972">
        <v>454</v>
      </c>
      <c r="I972" t="s">
        <v>26</v>
      </c>
      <c r="J972">
        <v>5</v>
      </c>
      <c r="K972">
        <v>6</v>
      </c>
      <c r="L972" t="b">
        <v>1</v>
      </c>
      <c r="M972">
        <v>938</v>
      </c>
      <c r="N972">
        <v>75</v>
      </c>
      <c r="O972" t="s">
        <v>65</v>
      </c>
      <c r="P972" t="s">
        <v>42</v>
      </c>
      <c r="Q972" t="s">
        <v>36</v>
      </c>
      <c r="R972">
        <v>51</v>
      </c>
      <c r="S972">
        <v>3.1</v>
      </c>
      <c r="T972" t="b">
        <v>0</v>
      </c>
      <c r="U972" t="s">
        <v>30</v>
      </c>
      <c r="V972">
        <v>1961</v>
      </c>
      <c r="W972" t="s">
        <v>53</v>
      </c>
      <c r="X972" t="s">
        <v>38</v>
      </c>
      <c r="Y972" t="s">
        <v>77</v>
      </c>
    </row>
    <row r="973" spans="1:25" x14ac:dyDescent="0.35">
      <c r="A973">
        <v>7549</v>
      </c>
      <c r="B973" t="s">
        <v>396</v>
      </c>
      <c r="C973" s="1">
        <v>45442</v>
      </c>
      <c r="D973" s="1">
        <v>45624</v>
      </c>
      <c r="E973">
        <v>5</v>
      </c>
      <c r="F973">
        <v>15.99</v>
      </c>
      <c r="G973">
        <f t="shared" si="15"/>
        <v>79.95</v>
      </c>
      <c r="H973">
        <v>119</v>
      </c>
      <c r="I973" t="s">
        <v>81</v>
      </c>
      <c r="J973">
        <v>1</v>
      </c>
      <c r="K973">
        <v>5</v>
      </c>
      <c r="L973" t="b">
        <v>1</v>
      </c>
      <c r="M973">
        <v>112</v>
      </c>
      <c r="N973">
        <v>181</v>
      </c>
      <c r="O973" t="s">
        <v>76</v>
      </c>
      <c r="P973" t="s">
        <v>51</v>
      </c>
      <c r="Q973" t="s">
        <v>36</v>
      </c>
      <c r="R973">
        <v>47</v>
      </c>
      <c r="S973">
        <v>3.2</v>
      </c>
      <c r="T973" t="b">
        <v>1</v>
      </c>
      <c r="U973" t="s">
        <v>30</v>
      </c>
      <c r="V973">
        <v>1708</v>
      </c>
      <c r="W973" t="s">
        <v>37</v>
      </c>
      <c r="X973" t="s">
        <v>54</v>
      </c>
      <c r="Y973" t="s">
        <v>77</v>
      </c>
    </row>
    <row r="974" spans="1:25" x14ac:dyDescent="0.35">
      <c r="A974">
        <v>4747</v>
      </c>
      <c r="B974" t="s">
        <v>148</v>
      </c>
      <c r="C974" s="1">
        <v>45332</v>
      </c>
      <c r="D974" s="1">
        <v>45635</v>
      </c>
      <c r="E974">
        <v>9</v>
      </c>
      <c r="F974">
        <v>11.99</v>
      </c>
      <c r="G974">
        <f t="shared" si="15"/>
        <v>107.91</v>
      </c>
      <c r="H974">
        <v>311</v>
      </c>
      <c r="I974" t="s">
        <v>26</v>
      </c>
      <c r="J974">
        <v>5</v>
      </c>
      <c r="K974">
        <v>1</v>
      </c>
      <c r="L974" t="b">
        <v>1</v>
      </c>
      <c r="M974">
        <v>430</v>
      </c>
      <c r="N974">
        <v>188</v>
      </c>
      <c r="O974" t="s">
        <v>46</v>
      </c>
      <c r="P974" t="s">
        <v>51</v>
      </c>
      <c r="Q974" t="s">
        <v>69</v>
      </c>
      <c r="R974">
        <v>78</v>
      </c>
      <c r="S974">
        <v>4.4000000000000004</v>
      </c>
      <c r="T974" t="b">
        <v>1</v>
      </c>
      <c r="U974" t="s">
        <v>30</v>
      </c>
      <c r="V974">
        <v>2288</v>
      </c>
      <c r="W974" t="s">
        <v>53</v>
      </c>
      <c r="X974" t="s">
        <v>70</v>
      </c>
      <c r="Y974" t="s">
        <v>55</v>
      </c>
    </row>
    <row r="975" spans="1:25" x14ac:dyDescent="0.35">
      <c r="A975">
        <v>8320</v>
      </c>
      <c r="B975" t="s">
        <v>312</v>
      </c>
      <c r="C975" s="1">
        <v>45293</v>
      </c>
      <c r="D975" s="1">
        <v>45635</v>
      </c>
      <c r="E975">
        <v>11</v>
      </c>
      <c r="F975">
        <v>15.99</v>
      </c>
      <c r="G975">
        <f t="shared" si="15"/>
        <v>175.89000000000001</v>
      </c>
      <c r="H975">
        <v>122</v>
      </c>
      <c r="I975" t="s">
        <v>64</v>
      </c>
      <c r="J975">
        <v>2</v>
      </c>
      <c r="K975">
        <v>2</v>
      </c>
      <c r="L975" t="b">
        <v>0</v>
      </c>
      <c r="M975">
        <v>626</v>
      </c>
      <c r="N975">
        <v>69</v>
      </c>
      <c r="O975" t="s">
        <v>27</v>
      </c>
      <c r="P975" t="s">
        <v>28</v>
      </c>
      <c r="Q975" t="s">
        <v>43</v>
      </c>
      <c r="R975">
        <v>17</v>
      </c>
      <c r="S975">
        <v>4.2</v>
      </c>
      <c r="T975" t="b">
        <v>1</v>
      </c>
      <c r="U975" t="s">
        <v>30</v>
      </c>
      <c r="V975">
        <v>4570</v>
      </c>
      <c r="W975" t="s">
        <v>59</v>
      </c>
      <c r="X975" t="s">
        <v>32</v>
      </c>
      <c r="Y975" t="s">
        <v>55</v>
      </c>
    </row>
    <row r="976" spans="1:25" x14ac:dyDescent="0.35">
      <c r="A976">
        <v>1333</v>
      </c>
      <c r="B976" t="s">
        <v>84</v>
      </c>
      <c r="C976" s="1">
        <v>45398</v>
      </c>
      <c r="D976" s="1">
        <v>45615</v>
      </c>
      <c r="E976">
        <v>7</v>
      </c>
      <c r="F976">
        <v>15.99</v>
      </c>
      <c r="G976">
        <f t="shared" si="15"/>
        <v>111.93</v>
      </c>
      <c r="H976">
        <v>300</v>
      </c>
      <c r="I976" t="s">
        <v>45</v>
      </c>
      <c r="J976">
        <v>5</v>
      </c>
      <c r="K976">
        <v>4</v>
      </c>
      <c r="L976" t="b">
        <v>1</v>
      </c>
      <c r="M976">
        <v>819</v>
      </c>
      <c r="N976">
        <v>143</v>
      </c>
      <c r="O976" t="s">
        <v>41</v>
      </c>
      <c r="P976" t="s">
        <v>51</v>
      </c>
      <c r="Q976" t="s">
        <v>36</v>
      </c>
      <c r="R976">
        <v>23</v>
      </c>
      <c r="S976">
        <v>5</v>
      </c>
      <c r="T976" t="b">
        <v>0</v>
      </c>
      <c r="U976" t="s">
        <v>30</v>
      </c>
      <c r="V976">
        <v>2547</v>
      </c>
      <c r="W976" t="s">
        <v>37</v>
      </c>
      <c r="X976" t="s">
        <v>62</v>
      </c>
      <c r="Y976" t="s">
        <v>39</v>
      </c>
    </row>
    <row r="977" spans="1:25" x14ac:dyDescent="0.35">
      <c r="A977">
        <v>5254</v>
      </c>
      <c r="B977" t="s">
        <v>307</v>
      </c>
      <c r="C977" s="1">
        <v>45546</v>
      </c>
      <c r="D977" s="1">
        <v>45626</v>
      </c>
      <c r="E977">
        <v>2</v>
      </c>
      <c r="F977">
        <v>15.99</v>
      </c>
      <c r="G977">
        <f t="shared" si="15"/>
        <v>31.98</v>
      </c>
      <c r="H977">
        <v>59</v>
      </c>
      <c r="I977" t="s">
        <v>81</v>
      </c>
      <c r="J977">
        <v>4</v>
      </c>
      <c r="K977">
        <v>3</v>
      </c>
      <c r="L977" t="b">
        <v>0</v>
      </c>
      <c r="M977">
        <v>718</v>
      </c>
      <c r="N977">
        <v>3</v>
      </c>
      <c r="O977" t="s">
        <v>41</v>
      </c>
      <c r="P977" t="s">
        <v>42</v>
      </c>
      <c r="Q977" t="s">
        <v>36</v>
      </c>
      <c r="R977">
        <v>43</v>
      </c>
      <c r="S977">
        <v>4.2</v>
      </c>
      <c r="T977" t="b">
        <v>1</v>
      </c>
      <c r="U977" t="s">
        <v>30</v>
      </c>
      <c r="V977">
        <v>4655</v>
      </c>
      <c r="W977" t="s">
        <v>37</v>
      </c>
      <c r="X977" t="s">
        <v>54</v>
      </c>
      <c r="Y977" t="s">
        <v>33</v>
      </c>
    </row>
    <row r="978" spans="1:25" x14ac:dyDescent="0.35">
      <c r="A978">
        <v>6842</v>
      </c>
      <c r="B978" t="s">
        <v>361</v>
      </c>
      <c r="C978" s="1">
        <v>45099</v>
      </c>
      <c r="D978" s="1">
        <v>45634</v>
      </c>
      <c r="E978">
        <v>17</v>
      </c>
      <c r="F978">
        <v>15.99</v>
      </c>
      <c r="G978">
        <f t="shared" si="15"/>
        <v>271.83</v>
      </c>
      <c r="H978">
        <v>34</v>
      </c>
      <c r="I978" t="s">
        <v>35</v>
      </c>
      <c r="J978">
        <v>1</v>
      </c>
      <c r="K978">
        <v>4</v>
      </c>
      <c r="L978" t="b">
        <v>1</v>
      </c>
      <c r="M978">
        <v>109</v>
      </c>
      <c r="N978">
        <v>174</v>
      </c>
      <c r="O978" t="s">
        <v>41</v>
      </c>
      <c r="P978" t="s">
        <v>42</v>
      </c>
      <c r="Q978" t="s">
        <v>29</v>
      </c>
      <c r="R978">
        <v>74</v>
      </c>
      <c r="S978">
        <v>4.4000000000000004</v>
      </c>
      <c r="T978" t="b">
        <v>1</v>
      </c>
      <c r="U978" t="s">
        <v>30</v>
      </c>
      <c r="V978">
        <v>1656</v>
      </c>
      <c r="W978" t="s">
        <v>67</v>
      </c>
      <c r="X978" t="s">
        <v>70</v>
      </c>
      <c r="Y978" t="s">
        <v>33</v>
      </c>
    </row>
    <row r="979" spans="1:25" x14ac:dyDescent="0.35">
      <c r="A979">
        <v>9333</v>
      </c>
      <c r="B979" t="s">
        <v>355</v>
      </c>
      <c r="C979" s="1">
        <v>45277</v>
      </c>
      <c r="D979" s="1">
        <v>45643</v>
      </c>
      <c r="E979">
        <v>12</v>
      </c>
      <c r="F979">
        <v>11.99</v>
      </c>
      <c r="G979">
        <f t="shared" si="15"/>
        <v>143.88</v>
      </c>
      <c r="H979">
        <v>23</v>
      </c>
      <c r="I979" t="s">
        <v>64</v>
      </c>
      <c r="J979">
        <v>2</v>
      </c>
      <c r="K979">
        <v>1</v>
      </c>
      <c r="L979" t="b">
        <v>0</v>
      </c>
      <c r="M979">
        <v>544</v>
      </c>
      <c r="N979">
        <v>25</v>
      </c>
      <c r="O979" t="s">
        <v>50</v>
      </c>
      <c r="P979" t="s">
        <v>66</v>
      </c>
      <c r="Q979" t="s">
        <v>36</v>
      </c>
      <c r="R979">
        <v>47</v>
      </c>
      <c r="S979">
        <v>3.6</v>
      </c>
      <c r="T979" t="b">
        <v>0</v>
      </c>
      <c r="U979" t="s">
        <v>30</v>
      </c>
      <c r="V979">
        <v>2761</v>
      </c>
      <c r="W979" t="s">
        <v>59</v>
      </c>
      <c r="X979" t="s">
        <v>38</v>
      </c>
      <c r="Y979" t="s">
        <v>39</v>
      </c>
    </row>
    <row r="980" spans="1:25" x14ac:dyDescent="0.35">
      <c r="A980">
        <v>9122</v>
      </c>
      <c r="B980" t="s">
        <v>400</v>
      </c>
      <c r="C980" s="1">
        <v>45507</v>
      </c>
      <c r="D980" s="1">
        <v>45637</v>
      </c>
      <c r="E980">
        <v>4</v>
      </c>
      <c r="F980">
        <v>15.99</v>
      </c>
      <c r="G980">
        <f t="shared" si="15"/>
        <v>63.96</v>
      </c>
      <c r="H980">
        <v>168</v>
      </c>
      <c r="I980" t="s">
        <v>26</v>
      </c>
      <c r="J980">
        <v>3</v>
      </c>
      <c r="K980">
        <v>2</v>
      </c>
      <c r="L980" t="b">
        <v>1</v>
      </c>
      <c r="M980">
        <v>25</v>
      </c>
      <c r="N980">
        <v>171</v>
      </c>
      <c r="O980" t="s">
        <v>76</v>
      </c>
      <c r="P980" t="s">
        <v>28</v>
      </c>
      <c r="Q980" t="s">
        <v>29</v>
      </c>
      <c r="R980">
        <v>79</v>
      </c>
      <c r="S980">
        <v>4</v>
      </c>
      <c r="T980" t="b">
        <v>0</v>
      </c>
      <c r="U980" t="s">
        <v>30</v>
      </c>
      <c r="V980">
        <v>773</v>
      </c>
      <c r="W980" t="s">
        <v>37</v>
      </c>
      <c r="X980" t="s">
        <v>38</v>
      </c>
      <c r="Y980" t="s">
        <v>39</v>
      </c>
    </row>
    <row r="981" spans="1:25" x14ac:dyDescent="0.35">
      <c r="A981">
        <v>6221</v>
      </c>
      <c r="B981" t="s">
        <v>104</v>
      </c>
      <c r="C981" s="1">
        <v>45612</v>
      </c>
      <c r="D981" s="1">
        <v>45621</v>
      </c>
      <c r="E981">
        <v>0</v>
      </c>
      <c r="F981">
        <v>11.99</v>
      </c>
      <c r="G981">
        <f t="shared" si="15"/>
        <v>0</v>
      </c>
      <c r="H981">
        <v>306</v>
      </c>
      <c r="I981" t="s">
        <v>26</v>
      </c>
      <c r="J981">
        <v>5</v>
      </c>
      <c r="K981">
        <v>1</v>
      </c>
      <c r="L981" t="b">
        <v>1</v>
      </c>
      <c r="M981">
        <v>513</v>
      </c>
      <c r="N981">
        <v>70</v>
      </c>
      <c r="O981" t="s">
        <v>27</v>
      </c>
      <c r="P981" t="s">
        <v>51</v>
      </c>
      <c r="Q981" t="s">
        <v>52</v>
      </c>
      <c r="R981">
        <v>86</v>
      </c>
      <c r="S981">
        <v>3.7</v>
      </c>
      <c r="T981" t="b">
        <v>0</v>
      </c>
      <c r="U981" t="s">
        <v>30</v>
      </c>
      <c r="V981">
        <v>1652</v>
      </c>
      <c r="W981" t="s">
        <v>37</v>
      </c>
      <c r="X981" t="s">
        <v>54</v>
      </c>
      <c r="Y981" t="s">
        <v>33</v>
      </c>
    </row>
    <row r="982" spans="1:25" x14ac:dyDescent="0.35">
      <c r="A982">
        <v>9957</v>
      </c>
      <c r="B982" t="s">
        <v>222</v>
      </c>
      <c r="C982" s="1">
        <v>45238</v>
      </c>
      <c r="D982" s="1">
        <v>45639</v>
      </c>
      <c r="E982">
        <v>13</v>
      </c>
      <c r="F982">
        <v>15.99</v>
      </c>
      <c r="G982">
        <f t="shared" si="15"/>
        <v>207.87</v>
      </c>
      <c r="H982">
        <v>433</v>
      </c>
      <c r="I982" t="s">
        <v>48</v>
      </c>
      <c r="J982">
        <v>2</v>
      </c>
      <c r="K982">
        <v>6</v>
      </c>
      <c r="L982" t="b">
        <v>1</v>
      </c>
      <c r="M982">
        <v>1000</v>
      </c>
      <c r="N982">
        <v>48</v>
      </c>
      <c r="O982" t="s">
        <v>76</v>
      </c>
      <c r="P982" t="s">
        <v>42</v>
      </c>
      <c r="Q982" t="s">
        <v>52</v>
      </c>
      <c r="R982">
        <v>92</v>
      </c>
      <c r="S982">
        <v>3.7</v>
      </c>
      <c r="T982" t="b">
        <v>0</v>
      </c>
      <c r="U982" t="s">
        <v>30</v>
      </c>
      <c r="V982">
        <v>1037</v>
      </c>
      <c r="W982" t="s">
        <v>67</v>
      </c>
      <c r="X982" t="s">
        <v>70</v>
      </c>
      <c r="Y982" t="s">
        <v>33</v>
      </c>
    </row>
    <row r="983" spans="1:25" x14ac:dyDescent="0.35">
      <c r="A983">
        <v>4680</v>
      </c>
      <c r="B983" t="s">
        <v>401</v>
      </c>
      <c r="C983" s="1">
        <v>45642</v>
      </c>
      <c r="D983" s="1">
        <v>45637</v>
      </c>
      <c r="E983">
        <v>0</v>
      </c>
      <c r="F983">
        <v>11.99</v>
      </c>
      <c r="G983">
        <f t="shared" si="15"/>
        <v>0</v>
      </c>
      <c r="H983">
        <v>221</v>
      </c>
      <c r="I983" t="s">
        <v>81</v>
      </c>
      <c r="J983">
        <v>5</v>
      </c>
      <c r="K983">
        <v>5</v>
      </c>
      <c r="L983" t="b">
        <v>1</v>
      </c>
      <c r="M983">
        <v>749</v>
      </c>
      <c r="N983">
        <v>66</v>
      </c>
      <c r="O983" t="s">
        <v>27</v>
      </c>
      <c r="P983" t="s">
        <v>66</v>
      </c>
      <c r="Q983" t="s">
        <v>36</v>
      </c>
      <c r="R983">
        <v>37</v>
      </c>
      <c r="S983">
        <v>3.3</v>
      </c>
      <c r="T983" t="b">
        <v>1</v>
      </c>
      <c r="U983" t="s">
        <v>30</v>
      </c>
      <c r="V983">
        <v>4505</v>
      </c>
      <c r="W983" t="s">
        <v>53</v>
      </c>
      <c r="X983" t="s">
        <v>32</v>
      </c>
      <c r="Y983" t="s">
        <v>77</v>
      </c>
    </row>
    <row r="984" spans="1:25" x14ac:dyDescent="0.35">
      <c r="A984">
        <v>5974</v>
      </c>
      <c r="B984" t="s">
        <v>402</v>
      </c>
      <c r="C984" s="1">
        <v>45585</v>
      </c>
      <c r="D984" s="1">
        <v>45619</v>
      </c>
      <c r="E984">
        <v>1</v>
      </c>
      <c r="F984">
        <v>15.99</v>
      </c>
      <c r="G984">
        <f t="shared" si="15"/>
        <v>15.99</v>
      </c>
      <c r="H984">
        <v>236</v>
      </c>
      <c r="I984" t="s">
        <v>48</v>
      </c>
      <c r="J984">
        <v>3</v>
      </c>
      <c r="K984">
        <v>5</v>
      </c>
      <c r="L984" t="b">
        <v>1</v>
      </c>
      <c r="M984">
        <v>600</v>
      </c>
      <c r="N984">
        <v>199</v>
      </c>
      <c r="O984" t="s">
        <v>46</v>
      </c>
      <c r="P984" t="s">
        <v>66</v>
      </c>
      <c r="Q984" t="s">
        <v>36</v>
      </c>
      <c r="R984">
        <v>56</v>
      </c>
      <c r="S984">
        <v>3.7</v>
      </c>
      <c r="T984" t="b">
        <v>0</v>
      </c>
      <c r="U984" t="s">
        <v>30</v>
      </c>
      <c r="V984">
        <v>3648</v>
      </c>
      <c r="W984" t="s">
        <v>67</v>
      </c>
      <c r="X984" t="s">
        <v>54</v>
      </c>
      <c r="Y984" t="s">
        <v>39</v>
      </c>
    </row>
    <row r="985" spans="1:25" x14ac:dyDescent="0.35">
      <c r="A985">
        <v>6938</v>
      </c>
      <c r="B985" t="s">
        <v>237</v>
      </c>
      <c r="C985" s="1">
        <v>45417</v>
      </c>
      <c r="D985" s="1">
        <v>45638</v>
      </c>
      <c r="E985">
        <v>7</v>
      </c>
      <c r="F985">
        <v>11.99</v>
      </c>
      <c r="G985">
        <f t="shared" si="15"/>
        <v>83.93</v>
      </c>
      <c r="H985">
        <v>75</v>
      </c>
      <c r="I985" t="s">
        <v>26</v>
      </c>
      <c r="J985">
        <v>4</v>
      </c>
      <c r="K985">
        <v>6</v>
      </c>
      <c r="L985" t="b">
        <v>0</v>
      </c>
      <c r="M985">
        <v>897</v>
      </c>
      <c r="N985">
        <v>59</v>
      </c>
      <c r="O985" t="s">
        <v>65</v>
      </c>
      <c r="P985" t="s">
        <v>51</v>
      </c>
      <c r="Q985" t="s">
        <v>29</v>
      </c>
      <c r="R985">
        <v>11</v>
      </c>
      <c r="S985">
        <v>3.4</v>
      </c>
      <c r="T985" t="b">
        <v>0</v>
      </c>
      <c r="U985" t="s">
        <v>30</v>
      </c>
      <c r="V985">
        <v>4015</v>
      </c>
      <c r="W985" t="s">
        <v>37</v>
      </c>
      <c r="X985" t="s">
        <v>54</v>
      </c>
      <c r="Y985" t="s">
        <v>77</v>
      </c>
    </row>
    <row r="986" spans="1:25" x14ac:dyDescent="0.35">
      <c r="A986">
        <v>1175</v>
      </c>
      <c r="B986" t="s">
        <v>327</v>
      </c>
      <c r="C986" s="1">
        <v>45363</v>
      </c>
      <c r="D986" s="1">
        <v>45617</v>
      </c>
      <c r="E986">
        <v>8</v>
      </c>
      <c r="F986">
        <v>15.99</v>
      </c>
      <c r="G986">
        <f t="shared" si="15"/>
        <v>127.92</v>
      </c>
      <c r="H986">
        <v>325</v>
      </c>
      <c r="I986" t="s">
        <v>64</v>
      </c>
      <c r="J986">
        <v>3</v>
      </c>
      <c r="K986">
        <v>6</v>
      </c>
      <c r="L986" t="b">
        <v>1</v>
      </c>
      <c r="M986">
        <v>412</v>
      </c>
      <c r="N986">
        <v>117</v>
      </c>
      <c r="O986" t="s">
        <v>65</v>
      </c>
      <c r="P986" t="s">
        <v>51</v>
      </c>
      <c r="Q986" t="s">
        <v>29</v>
      </c>
      <c r="R986">
        <v>48</v>
      </c>
      <c r="S986">
        <v>4</v>
      </c>
      <c r="T986" t="b">
        <v>1</v>
      </c>
      <c r="U986" t="s">
        <v>30</v>
      </c>
      <c r="V986">
        <v>2050</v>
      </c>
      <c r="W986" t="s">
        <v>67</v>
      </c>
      <c r="X986" t="s">
        <v>38</v>
      </c>
      <c r="Y986" t="s">
        <v>77</v>
      </c>
    </row>
    <row r="987" spans="1:25" x14ac:dyDescent="0.35">
      <c r="A987">
        <v>1260</v>
      </c>
      <c r="B987" t="s">
        <v>269</v>
      </c>
      <c r="C987" s="1">
        <v>45363</v>
      </c>
      <c r="D987" s="1">
        <v>45629</v>
      </c>
      <c r="E987">
        <v>8</v>
      </c>
      <c r="F987">
        <v>7.99</v>
      </c>
      <c r="G987">
        <f t="shared" si="15"/>
        <v>63.92</v>
      </c>
      <c r="H987">
        <v>217</v>
      </c>
      <c r="I987" t="s">
        <v>48</v>
      </c>
      <c r="J987">
        <v>5</v>
      </c>
      <c r="K987">
        <v>2</v>
      </c>
      <c r="L987" t="b">
        <v>0</v>
      </c>
      <c r="M987">
        <v>669</v>
      </c>
      <c r="N987">
        <v>155</v>
      </c>
      <c r="O987" t="s">
        <v>65</v>
      </c>
      <c r="P987" t="s">
        <v>42</v>
      </c>
      <c r="Q987" t="s">
        <v>43</v>
      </c>
      <c r="R987">
        <v>40</v>
      </c>
      <c r="S987">
        <v>4.8</v>
      </c>
      <c r="T987" t="b">
        <v>1</v>
      </c>
      <c r="U987" t="s">
        <v>30</v>
      </c>
      <c r="V987">
        <v>2390</v>
      </c>
      <c r="W987" t="s">
        <v>67</v>
      </c>
      <c r="X987" t="s">
        <v>32</v>
      </c>
      <c r="Y987" t="s">
        <v>33</v>
      </c>
    </row>
    <row r="988" spans="1:25" x14ac:dyDescent="0.35">
      <c r="A988">
        <v>4645</v>
      </c>
      <c r="B988" t="s">
        <v>96</v>
      </c>
      <c r="C988" s="1">
        <v>45076</v>
      </c>
      <c r="D988" s="1">
        <v>45640</v>
      </c>
      <c r="E988">
        <v>18</v>
      </c>
      <c r="F988">
        <v>7.99</v>
      </c>
      <c r="G988">
        <f t="shared" si="15"/>
        <v>143.82</v>
      </c>
      <c r="H988">
        <v>178</v>
      </c>
      <c r="I988" t="s">
        <v>26</v>
      </c>
      <c r="J988">
        <v>4</v>
      </c>
      <c r="K988">
        <v>5</v>
      </c>
      <c r="L988" t="b">
        <v>1</v>
      </c>
      <c r="M988">
        <v>323</v>
      </c>
      <c r="N988">
        <v>130</v>
      </c>
      <c r="O988" t="s">
        <v>65</v>
      </c>
      <c r="P988" t="s">
        <v>66</v>
      </c>
      <c r="Q988" t="s">
        <v>69</v>
      </c>
      <c r="R988">
        <v>29</v>
      </c>
      <c r="S988">
        <v>3</v>
      </c>
      <c r="T988" t="b">
        <v>1</v>
      </c>
      <c r="U988" t="s">
        <v>30</v>
      </c>
      <c r="V988">
        <v>3079</v>
      </c>
      <c r="W988" t="s">
        <v>37</v>
      </c>
      <c r="X988" t="s">
        <v>32</v>
      </c>
      <c r="Y988" t="s">
        <v>77</v>
      </c>
    </row>
    <row r="989" spans="1:25" x14ac:dyDescent="0.35">
      <c r="A989">
        <v>1637</v>
      </c>
      <c r="B989" t="s">
        <v>91</v>
      </c>
      <c r="C989" s="1">
        <v>45387</v>
      </c>
      <c r="D989" s="1">
        <v>45615</v>
      </c>
      <c r="E989">
        <v>7</v>
      </c>
      <c r="F989">
        <v>15.99</v>
      </c>
      <c r="G989">
        <f t="shared" si="15"/>
        <v>111.93</v>
      </c>
      <c r="H989">
        <v>74</v>
      </c>
      <c r="I989" t="s">
        <v>45</v>
      </c>
      <c r="J989">
        <v>4</v>
      </c>
      <c r="K989">
        <v>3</v>
      </c>
      <c r="L989" t="b">
        <v>1</v>
      </c>
      <c r="M989">
        <v>646</v>
      </c>
      <c r="N989">
        <v>38</v>
      </c>
      <c r="O989" t="s">
        <v>46</v>
      </c>
      <c r="P989" t="s">
        <v>66</v>
      </c>
      <c r="Q989" t="s">
        <v>29</v>
      </c>
      <c r="R989">
        <v>37</v>
      </c>
      <c r="S989">
        <v>4.0999999999999996</v>
      </c>
      <c r="T989" t="b">
        <v>0</v>
      </c>
      <c r="U989" t="s">
        <v>30</v>
      </c>
      <c r="V989">
        <v>4111</v>
      </c>
      <c r="W989" t="s">
        <v>67</v>
      </c>
      <c r="X989" t="s">
        <v>62</v>
      </c>
      <c r="Y989" t="s">
        <v>33</v>
      </c>
    </row>
    <row r="990" spans="1:25" x14ac:dyDescent="0.35">
      <c r="A990">
        <v>7960</v>
      </c>
      <c r="B990" t="s">
        <v>298</v>
      </c>
      <c r="C990" s="1">
        <v>44935</v>
      </c>
      <c r="D990" s="1">
        <v>45618</v>
      </c>
      <c r="E990">
        <v>22</v>
      </c>
      <c r="F990">
        <v>15.99</v>
      </c>
      <c r="G990">
        <f t="shared" si="15"/>
        <v>351.78000000000003</v>
      </c>
      <c r="H990">
        <v>373</v>
      </c>
      <c r="I990" t="s">
        <v>64</v>
      </c>
      <c r="J990">
        <v>1</v>
      </c>
      <c r="K990">
        <v>3</v>
      </c>
      <c r="L990" t="b">
        <v>0</v>
      </c>
      <c r="M990">
        <v>507</v>
      </c>
      <c r="N990">
        <v>130</v>
      </c>
      <c r="O990" t="s">
        <v>41</v>
      </c>
      <c r="P990" t="s">
        <v>51</v>
      </c>
      <c r="Q990" t="s">
        <v>58</v>
      </c>
      <c r="R990">
        <v>41</v>
      </c>
      <c r="S990">
        <v>3.3</v>
      </c>
      <c r="T990" t="b">
        <v>1</v>
      </c>
      <c r="U990" t="s">
        <v>30</v>
      </c>
      <c r="V990">
        <v>3221</v>
      </c>
      <c r="W990" t="s">
        <v>31</v>
      </c>
      <c r="X990" t="s">
        <v>54</v>
      </c>
      <c r="Y990" t="s">
        <v>55</v>
      </c>
    </row>
    <row r="991" spans="1:25" x14ac:dyDescent="0.35">
      <c r="A991">
        <v>9693</v>
      </c>
      <c r="B991" t="s">
        <v>403</v>
      </c>
      <c r="C991" s="1">
        <v>45379</v>
      </c>
      <c r="D991" s="1">
        <v>45626</v>
      </c>
      <c r="E991">
        <v>8</v>
      </c>
      <c r="F991">
        <v>15.99</v>
      </c>
      <c r="G991">
        <f t="shared" si="15"/>
        <v>127.92</v>
      </c>
      <c r="H991">
        <v>64</v>
      </c>
      <c r="I991" t="s">
        <v>64</v>
      </c>
      <c r="J991">
        <v>5</v>
      </c>
      <c r="K991">
        <v>1</v>
      </c>
      <c r="L991" t="b">
        <v>0</v>
      </c>
      <c r="M991">
        <v>881</v>
      </c>
      <c r="N991">
        <v>15</v>
      </c>
      <c r="O991" t="s">
        <v>46</v>
      </c>
      <c r="P991" t="s">
        <v>28</v>
      </c>
      <c r="Q991" t="s">
        <v>43</v>
      </c>
      <c r="R991">
        <v>22</v>
      </c>
      <c r="S991">
        <v>3.6</v>
      </c>
      <c r="T991" t="b">
        <v>0</v>
      </c>
      <c r="U991" t="s">
        <v>30</v>
      </c>
      <c r="V991">
        <v>2461</v>
      </c>
      <c r="W991" t="s">
        <v>67</v>
      </c>
      <c r="X991" t="s">
        <v>54</v>
      </c>
      <c r="Y991" t="s">
        <v>77</v>
      </c>
    </row>
    <row r="992" spans="1:25" x14ac:dyDescent="0.35">
      <c r="A992">
        <v>8743</v>
      </c>
      <c r="B992" t="s">
        <v>136</v>
      </c>
      <c r="C992" s="1">
        <v>45321</v>
      </c>
      <c r="D992" s="1">
        <v>45621</v>
      </c>
      <c r="E992">
        <v>9</v>
      </c>
      <c r="F992">
        <v>11.99</v>
      </c>
      <c r="G992">
        <f t="shared" si="15"/>
        <v>107.91</v>
      </c>
      <c r="H992">
        <v>129</v>
      </c>
      <c r="I992" t="s">
        <v>26</v>
      </c>
      <c r="J992">
        <v>3</v>
      </c>
      <c r="K992">
        <v>5</v>
      </c>
      <c r="L992" t="b">
        <v>1</v>
      </c>
      <c r="M992">
        <v>594</v>
      </c>
      <c r="N992">
        <v>127</v>
      </c>
      <c r="O992" t="s">
        <v>50</v>
      </c>
      <c r="P992" t="s">
        <v>28</v>
      </c>
      <c r="Q992" t="s">
        <v>36</v>
      </c>
      <c r="R992">
        <v>79</v>
      </c>
      <c r="S992">
        <v>3.9</v>
      </c>
      <c r="T992" t="b">
        <v>0</v>
      </c>
      <c r="U992" t="s">
        <v>30</v>
      </c>
      <c r="V992">
        <v>2858</v>
      </c>
      <c r="W992" t="s">
        <v>31</v>
      </c>
      <c r="X992" t="s">
        <v>62</v>
      </c>
      <c r="Y992" t="s">
        <v>55</v>
      </c>
    </row>
    <row r="993" spans="1:25" x14ac:dyDescent="0.35">
      <c r="A993">
        <v>3379</v>
      </c>
      <c r="B993" t="s">
        <v>383</v>
      </c>
      <c r="C993" s="1">
        <v>45177</v>
      </c>
      <c r="D993" s="1">
        <v>45638</v>
      </c>
      <c r="E993">
        <v>15</v>
      </c>
      <c r="F993">
        <v>15.99</v>
      </c>
      <c r="G993">
        <f t="shared" si="15"/>
        <v>239.85</v>
      </c>
      <c r="H993">
        <v>297</v>
      </c>
      <c r="I993" t="s">
        <v>45</v>
      </c>
      <c r="J993">
        <v>3</v>
      </c>
      <c r="K993">
        <v>1</v>
      </c>
      <c r="L993" t="b">
        <v>1</v>
      </c>
      <c r="M993">
        <v>667</v>
      </c>
      <c r="N993">
        <v>75</v>
      </c>
      <c r="O993" t="s">
        <v>50</v>
      </c>
      <c r="P993" t="s">
        <v>28</v>
      </c>
      <c r="Q993" t="s">
        <v>36</v>
      </c>
      <c r="R993">
        <v>89</v>
      </c>
      <c r="S993">
        <v>4.5</v>
      </c>
      <c r="T993" t="b">
        <v>0</v>
      </c>
      <c r="U993" t="s">
        <v>30</v>
      </c>
      <c r="V993">
        <v>4076</v>
      </c>
      <c r="W993" t="s">
        <v>67</v>
      </c>
      <c r="X993" t="s">
        <v>70</v>
      </c>
      <c r="Y993" t="s">
        <v>77</v>
      </c>
    </row>
    <row r="994" spans="1:25" x14ac:dyDescent="0.35">
      <c r="A994">
        <v>7696</v>
      </c>
      <c r="B994" t="s">
        <v>148</v>
      </c>
      <c r="C994" s="1">
        <v>45237</v>
      </c>
      <c r="D994" s="1">
        <v>45626</v>
      </c>
      <c r="E994">
        <v>12</v>
      </c>
      <c r="F994">
        <v>15.99</v>
      </c>
      <c r="G994">
        <f t="shared" si="15"/>
        <v>191.88</v>
      </c>
      <c r="H994">
        <v>235</v>
      </c>
      <c r="I994" t="s">
        <v>26</v>
      </c>
      <c r="J994">
        <v>2</v>
      </c>
      <c r="K994">
        <v>5</v>
      </c>
      <c r="L994" t="b">
        <v>0</v>
      </c>
      <c r="M994">
        <v>709</v>
      </c>
      <c r="N994">
        <v>151</v>
      </c>
      <c r="O994" t="s">
        <v>46</v>
      </c>
      <c r="P994" t="s">
        <v>42</v>
      </c>
      <c r="Q994" t="s">
        <v>36</v>
      </c>
      <c r="R994">
        <v>72</v>
      </c>
      <c r="S994">
        <v>3.7</v>
      </c>
      <c r="T994" t="b">
        <v>0</v>
      </c>
      <c r="U994" t="s">
        <v>30</v>
      </c>
      <c r="V994">
        <v>2163</v>
      </c>
      <c r="W994" t="s">
        <v>59</v>
      </c>
      <c r="X994" t="s">
        <v>62</v>
      </c>
      <c r="Y994" t="s">
        <v>77</v>
      </c>
    </row>
    <row r="995" spans="1:25" x14ac:dyDescent="0.35">
      <c r="A995">
        <v>8552</v>
      </c>
      <c r="B995" t="s">
        <v>25</v>
      </c>
      <c r="C995" s="1">
        <v>45252</v>
      </c>
      <c r="D995" s="1">
        <v>45623</v>
      </c>
      <c r="E995">
        <v>12</v>
      </c>
      <c r="F995">
        <v>15.99</v>
      </c>
      <c r="G995">
        <f t="shared" si="15"/>
        <v>191.88</v>
      </c>
      <c r="H995">
        <v>390</v>
      </c>
      <c r="I995" t="s">
        <v>26</v>
      </c>
      <c r="J995">
        <v>2</v>
      </c>
      <c r="K995">
        <v>4</v>
      </c>
      <c r="L995" t="b">
        <v>0</v>
      </c>
      <c r="M995">
        <v>537</v>
      </c>
      <c r="N995">
        <v>101</v>
      </c>
      <c r="O995" t="s">
        <v>46</v>
      </c>
      <c r="P995" t="s">
        <v>42</v>
      </c>
      <c r="Q995" t="s">
        <v>52</v>
      </c>
      <c r="R995">
        <v>64</v>
      </c>
      <c r="S995">
        <v>3</v>
      </c>
      <c r="T995" t="b">
        <v>1</v>
      </c>
      <c r="U995" t="s">
        <v>30</v>
      </c>
      <c r="V995">
        <v>3726</v>
      </c>
      <c r="W995" t="s">
        <v>37</v>
      </c>
      <c r="X995" t="s">
        <v>70</v>
      </c>
      <c r="Y995" t="s">
        <v>55</v>
      </c>
    </row>
    <row r="996" spans="1:25" x14ac:dyDescent="0.35">
      <c r="A996">
        <v>5065</v>
      </c>
      <c r="B996" t="s">
        <v>169</v>
      </c>
      <c r="C996" s="1">
        <v>44981</v>
      </c>
      <c r="D996" s="1">
        <v>45626</v>
      </c>
      <c r="E996">
        <v>21</v>
      </c>
      <c r="F996">
        <v>11.99</v>
      </c>
      <c r="G996">
        <f t="shared" si="15"/>
        <v>251.79</v>
      </c>
      <c r="H996">
        <v>362</v>
      </c>
      <c r="I996" t="s">
        <v>81</v>
      </c>
      <c r="J996">
        <v>2</v>
      </c>
      <c r="K996">
        <v>6</v>
      </c>
      <c r="L996" t="b">
        <v>1</v>
      </c>
      <c r="M996">
        <v>490</v>
      </c>
      <c r="N996">
        <v>22</v>
      </c>
      <c r="O996" t="s">
        <v>46</v>
      </c>
      <c r="P996" t="s">
        <v>66</v>
      </c>
      <c r="Q996" t="s">
        <v>36</v>
      </c>
      <c r="R996">
        <v>62</v>
      </c>
      <c r="S996">
        <v>4.7</v>
      </c>
      <c r="T996" t="b">
        <v>1</v>
      </c>
      <c r="U996" t="s">
        <v>30</v>
      </c>
      <c r="V996">
        <v>47</v>
      </c>
      <c r="W996" t="s">
        <v>37</v>
      </c>
      <c r="X996" t="s">
        <v>70</v>
      </c>
      <c r="Y996" t="s">
        <v>77</v>
      </c>
    </row>
    <row r="997" spans="1:25" x14ac:dyDescent="0.35">
      <c r="A997">
        <v>6878</v>
      </c>
      <c r="B997" t="s">
        <v>49</v>
      </c>
      <c r="C997" s="1">
        <v>45408</v>
      </c>
      <c r="D997" s="1">
        <v>45623</v>
      </c>
      <c r="E997">
        <v>7</v>
      </c>
      <c r="F997">
        <v>7.99</v>
      </c>
      <c r="G997">
        <f t="shared" si="15"/>
        <v>55.93</v>
      </c>
      <c r="H997">
        <v>136</v>
      </c>
      <c r="I997" t="s">
        <v>45</v>
      </c>
      <c r="J997">
        <v>5</v>
      </c>
      <c r="K997">
        <v>5</v>
      </c>
      <c r="L997" t="b">
        <v>1</v>
      </c>
      <c r="M997">
        <v>20</v>
      </c>
      <c r="N997">
        <v>18</v>
      </c>
      <c r="O997" t="s">
        <v>41</v>
      </c>
      <c r="P997" t="s">
        <v>42</v>
      </c>
      <c r="Q997" t="s">
        <v>29</v>
      </c>
      <c r="R997">
        <v>7</v>
      </c>
      <c r="S997">
        <v>4.4000000000000004</v>
      </c>
      <c r="T997" t="b">
        <v>1</v>
      </c>
      <c r="U997" t="s">
        <v>30</v>
      </c>
      <c r="V997">
        <v>4742</v>
      </c>
      <c r="W997" t="s">
        <v>67</v>
      </c>
      <c r="X997" t="s">
        <v>32</v>
      </c>
      <c r="Y997" t="s">
        <v>33</v>
      </c>
    </row>
    <row r="998" spans="1:25" x14ac:dyDescent="0.35">
      <c r="A998">
        <v>5681</v>
      </c>
      <c r="B998" t="s">
        <v>167</v>
      </c>
      <c r="C998" s="1">
        <v>45420</v>
      </c>
      <c r="D998" s="1">
        <v>45634</v>
      </c>
      <c r="E998">
        <v>7</v>
      </c>
      <c r="F998">
        <v>11.99</v>
      </c>
      <c r="G998">
        <f t="shared" si="15"/>
        <v>83.93</v>
      </c>
      <c r="H998">
        <v>159</v>
      </c>
      <c r="I998" t="s">
        <v>81</v>
      </c>
      <c r="J998">
        <v>4</v>
      </c>
      <c r="K998">
        <v>6</v>
      </c>
      <c r="L998" t="b">
        <v>1</v>
      </c>
      <c r="M998">
        <v>824</v>
      </c>
      <c r="N998">
        <v>31</v>
      </c>
      <c r="O998" t="s">
        <v>50</v>
      </c>
      <c r="P998" t="s">
        <v>66</v>
      </c>
      <c r="Q998" t="s">
        <v>58</v>
      </c>
      <c r="R998">
        <v>13</v>
      </c>
      <c r="S998">
        <v>3.3</v>
      </c>
      <c r="T998" t="b">
        <v>0</v>
      </c>
      <c r="U998" t="s">
        <v>30</v>
      </c>
      <c r="V998">
        <v>2910</v>
      </c>
      <c r="W998" t="s">
        <v>37</v>
      </c>
      <c r="X998" t="s">
        <v>54</v>
      </c>
      <c r="Y998" t="s">
        <v>55</v>
      </c>
    </row>
    <row r="999" spans="1:25" x14ac:dyDescent="0.35">
      <c r="A999">
        <v>4448</v>
      </c>
      <c r="B999" t="s">
        <v>123</v>
      </c>
      <c r="C999" s="1">
        <v>45374</v>
      </c>
      <c r="D999" s="1">
        <v>45642</v>
      </c>
      <c r="E999">
        <v>8</v>
      </c>
      <c r="F999">
        <v>11.99</v>
      </c>
      <c r="G999">
        <f t="shared" si="15"/>
        <v>95.92</v>
      </c>
      <c r="H999">
        <v>99</v>
      </c>
      <c r="I999" t="s">
        <v>45</v>
      </c>
      <c r="J999">
        <v>4</v>
      </c>
      <c r="K999">
        <v>2</v>
      </c>
      <c r="L999" t="b">
        <v>0</v>
      </c>
      <c r="M999">
        <v>319</v>
      </c>
      <c r="N999">
        <v>187</v>
      </c>
      <c r="O999" t="s">
        <v>61</v>
      </c>
      <c r="P999" t="s">
        <v>51</v>
      </c>
      <c r="Q999" t="s">
        <v>58</v>
      </c>
      <c r="R999">
        <v>58</v>
      </c>
      <c r="S999">
        <v>3.6</v>
      </c>
      <c r="T999" t="b">
        <v>0</v>
      </c>
      <c r="U999" t="s">
        <v>30</v>
      </c>
      <c r="V999">
        <v>1180</v>
      </c>
      <c r="W999" t="s">
        <v>67</v>
      </c>
      <c r="X999" t="s">
        <v>32</v>
      </c>
      <c r="Y999" t="s">
        <v>55</v>
      </c>
    </row>
    <row r="1000" spans="1:25" x14ac:dyDescent="0.35">
      <c r="A1000">
        <v>5795</v>
      </c>
      <c r="B1000" t="s">
        <v>148</v>
      </c>
      <c r="C1000" s="1">
        <v>45255</v>
      </c>
      <c r="D1000" s="1">
        <v>45639</v>
      </c>
      <c r="E1000">
        <v>12</v>
      </c>
      <c r="F1000">
        <v>11.99</v>
      </c>
      <c r="G1000">
        <f t="shared" si="15"/>
        <v>143.88</v>
      </c>
      <c r="H1000">
        <v>157</v>
      </c>
      <c r="I1000" t="s">
        <v>26</v>
      </c>
      <c r="J1000">
        <v>4</v>
      </c>
      <c r="K1000">
        <v>2</v>
      </c>
      <c r="L1000" t="b">
        <v>0</v>
      </c>
      <c r="M1000">
        <v>754</v>
      </c>
      <c r="N1000">
        <v>23</v>
      </c>
      <c r="O1000" t="s">
        <v>65</v>
      </c>
      <c r="P1000" t="s">
        <v>42</v>
      </c>
      <c r="Q1000" t="s">
        <v>52</v>
      </c>
      <c r="R1000">
        <v>43</v>
      </c>
      <c r="S1000">
        <v>4.4000000000000004</v>
      </c>
      <c r="T1000" t="b">
        <v>0</v>
      </c>
      <c r="U1000" t="s">
        <v>30</v>
      </c>
      <c r="V1000">
        <v>1965</v>
      </c>
      <c r="W1000" t="s">
        <v>59</v>
      </c>
      <c r="X1000" t="s">
        <v>38</v>
      </c>
      <c r="Y1000" t="s">
        <v>55</v>
      </c>
    </row>
    <row r="1001" spans="1:25" x14ac:dyDescent="0.35">
      <c r="A1001">
        <v>5320</v>
      </c>
      <c r="B1001" t="s">
        <v>136</v>
      </c>
      <c r="C1001" s="1">
        <v>45197</v>
      </c>
      <c r="D1001" s="1">
        <v>45635</v>
      </c>
      <c r="E1001">
        <v>14</v>
      </c>
      <c r="F1001">
        <v>11.99</v>
      </c>
      <c r="G1001">
        <f t="shared" si="15"/>
        <v>167.86</v>
      </c>
      <c r="H1001">
        <v>123</v>
      </c>
      <c r="I1001" t="s">
        <v>48</v>
      </c>
      <c r="J1001">
        <v>1</v>
      </c>
      <c r="K1001">
        <v>6</v>
      </c>
      <c r="L1001" t="b">
        <v>0</v>
      </c>
      <c r="M1001">
        <v>718</v>
      </c>
      <c r="N1001">
        <v>25</v>
      </c>
      <c r="O1001" t="s">
        <v>27</v>
      </c>
      <c r="P1001" t="s">
        <v>28</v>
      </c>
      <c r="Q1001" t="s">
        <v>36</v>
      </c>
      <c r="R1001">
        <v>73</v>
      </c>
      <c r="S1001">
        <v>4.4000000000000004</v>
      </c>
      <c r="T1001" t="b">
        <v>0</v>
      </c>
      <c r="U1001" t="s">
        <v>30</v>
      </c>
      <c r="V1001">
        <v>3179</v>
      </c>
      <c r="W1001" t="s">
        <v>53</v>
      </c>
      <c r="X1001" t="s">
        <v>38</v>
      </c>
      <c r="Y1001" t="s">
        <v>55</v>
      </c>
    </row>
  </sheetData>
  <autoFilter ref="C1:C1001" xr:uid="{9518007E-F7D7-4B66-BF30-272465C8DE9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Subscription &amp; revenue anys.</vt:lpstr>
      <vt:lpstr>User engagement matrix</vt:lpstr>
      <vt:lpstr>Demographic &amp; behavioral</vt:lpstr>
      <vt:lpstr>Retention and loyalty</vt:lpstr>
      <vt:lpstr>Payment prefrence and regional </vt:lpstr>
      <vt:lpstr>Sheet1</vt:lpstr>
      <vt:lpstr>Sheet2</vt:lpstr>
      <vt:lpstr>streaming_service_data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dc:creator>
  <cp:lastModifiedBy>Hardika Mehta</cp:lastModifiedBy>
  <dcterms:created xsi:type="dcterms:W3CDTF">2026-05-04T05:29:17Z</dcterms:created>
  <dcterms:modified xsi:type="dcterms:W3CDTF">2026-05-17T09:09:37Z</dcterms:modified>
</cp:coreProperties>
</file>